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380" tabRatio="870"/>
  </bookViews>
  <sheets>
    <sheet name="对比上月表" sheetId="31" r:id="rId1"/>
    <sheet name="对比去年同期表" sheetId="32" r:id="rId2"/>
    <sheet name="分时段-上报" sheetId="33" r:id="rId3"/>
    <sheet name="营业透视" sheetId="30" r:id="rId4"/>
    <sheet name="营业基础表" sheetId="4" r:id="rId5"/>
    <sheet name="去年营业基础表" sheetId="27" r:id="rId6"/>
    <sheet name="去年同期" sheetId="19" r:id="rId7"/>
    <sheet name="21号之后" sheetId="12" r:id="rId8"/>
    <sheet name="分时段透视" sheetId="29" r:id="rId9"/>
    <sheet name="分时段基础表" sheetId="1" r:id="rId10"/>
    <sheet name="月经营目标" sheetId="17" r:id="rId11"/>
    <sheet name="上月数据" sheetId="18" r:id="rId12"/>
  </sheets>
  <definedNames>
    <definedName name="_xlnm._FilterDatabase" localSheetId="4" hidden="1">营业基础表!$A$1:$M$211</definedName>
    <definedName name="_xlnm._FilterDatabase" localSheetId="5" hidden="1">去年营业基础表!$A$1:$P$71</definedName>
    <definedName name="_xlnm._FilterDatabase" localSheetId="6" hidden="1">去年同期!$A$1:$N$211</definedName>
    <definedName name="_xlnm._FilterDatabase" localSheetId="7" hidden="1">'21号之后'!$A$1:$O$155</definedName>
    <definedName name="_xlnm._FilterDatabase" localSheetId="9" hidden="1">分时段基础表!$A$1:$K$841</definedName>
    <definedName name="_xlnm._FilterDatabase" localSheetId="10" hidden="1">月经营目标!$B$2:$L$9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<sst xmlns="http://schemas.openxmlformats.org/spreadsheetml/2006/main" count="10955" uniqueCount="282">
  <si>
    <t>加拿大-各门店2025年6月10日环比数据-星期二</t>
  </si>
  <si>
    <t>项目</t>
  </si>
  <si>
    <t>内容</t>
  </si>
  <si>
    <t>加拿大一店</t>
  </si>
  <si>
    <t>加拿大二店</t>
  </si>
  <si>
    <t>加拿大三店</t>
  </si>
  <si>
    <t>加拿大四店</t>
  </si>
  <si>
    <t>加拿大五店</t>
  </si>
  <si>
    <t>加拿大六店</t>
  </si>
  <si>
    <t>加拿大七店</t>
  </si>
  <si>
    <t>加拿大片区</t>
  </si>
  <si>
    <t>桌数
（考核）</t>
  </si>
  <si>
    <t>今日总桌数</t>
  </si>
  <si>
    <t>今日外卖桌数</t>
  </si>
  <si>
    <t>今日未计入考核桌数</t>
  </si>
  <si>
    <t>6月总桌数</t>
  </si>
  <si>
    <t>上月同期总桌数</t>
  </si>
  <si>
    <t>对比上月同期总桌数</t>
  </si>
  <si>
    <t>下降209.5桌</t>
  </si>
  <si>
    <t>下降181.2桌</t>
  </si>
  <si>
    <t>下降94.9桌</t>
  </si>
  <si>
    <t>下降404.7桌</t>
  </si>
  <si>
    <t>下降300.6桌</t>
  </si>
  <si>
    <t>下降370.7桌</t>
  </si>
  <si>
    <t>下降276.6桌</t>
  </si>
  <si>
    <t>下降1838.2桌</t>
  </si>
  <si>
    <t>收入
（不含税-万加元）</t>
  </si>
  <si>
    <t>今日营业收入</t>
  </si>
  <si>
    <t>本月截止目前营业收入</t>
  </si>
  <si>
    <t>上月截止目前营业收入</t>
  </si>
  <si>
    <t>环比营业收入变化</t>
  </si>
  <si>
    <t>本月营业收入目标</t>
  </si>
  <si>
    <t>本月截止目标完成率</t>
  </si>
  <si>
    <t>标准时间进度</t>
  </si>
  <si>
    <t>优惠总金额</t>
  </si>
  <si>
    <t>优惠占比</t>
  </si>
  <si>
    <t>单桌消费
（不含税）</t>
  </si>
  <si>
    <t>今日人均消费</t>
  </si>
  <si>
    <t>今日消费客数</t>
  </si>
  <si>
    <t>今日单桌消费</t>
  </si>
  <si>
    <t>截止今日单桌消费</t>
  </si>
  <si>
    <t>上月单桌消费</t>
  </si>
  <si>
    <t>环比上月变化</t>
  </si>
  <si>
    <t>翻台率</t>
  </si>
  <si>
    <t>名次</t>
  </si>
  <si>
    <t>第1名</t>
  </si>
  <si>
    <t>第2名</t>
  </si>
  <si>
    <t>第3名</t>
  </si>
  <si>
    <t>第4名</t>
  </si>
  <si>
    <t>第5名</t>
  </si>
  <si>
    <t>第6名</t>
  </si>
  <si>
    <t>第7名</t>
  </si>
  <si>
    <t>当月累计平均翻台率</t>
  </si>
  <si>
    <t>6月10日翻台率排名</t>
  </si>
  <si>
    <t>6月平均翻台率排名</t>
  </si>
  <si>
    <t>加拿大-各门店2025年6月10日同比数据-星期二</t>
  </si>
  <si>
    <t>海外区域2025年6月份截至10日星期二翻台率前50%排名</t>
  </si>
  <si>
    <t>分类</t>
  </si>
  <si>
    <t>西部</t>
  </si>
  <si>
    <t>东部</t>
  </si>
  <si>
    <t>排名</t>
  </si>
  <si>
    <t>国家</t>
  </si>
  <si>
    <t>翻台率（考核）</t>
  </si>
  <si>
    <t>国家经理</t>
  </si>
  <si>
    <t>韩国</t>
  </si>
  <si>
    <t>尹大进</t>
  </si>
  <si>
    <t>桌数
对比同期数据</t>
  </si>
  <si>
    <t>本月截止目前</t>
  </si>
  <si>
    <t>越南（7家）</t>
  </si>
  <si>
    <t>TRAN THUY TIEN</t>
  </si>
  <si>
    <t>去年截止同期</t>
  </si>
  <si>
    <t>印度尼西亚</t>
  </si>
  <si>
    <t>糜学征</t>
  </si>
  <si>
    <t>对比去年同期</t>
  </si>
  <si>
    <t>阿联酋</t>
  </si>
  <si>
    <t>李俊文</t>
  </si>
  <si>
    <t>桌数增长率</t>
  </si>
  <si>
    <t>澳大利亚</t>
  </si>
  <si>
    <t>顾天辰</t>
  </si>
  <si>
    <t>翻台率
对比同期数据</t>
  </si>
  <si>
    <t>越南（9家）</t>
  </si>
  <si>
    <t>宁美雪</t>
  </si>
  <si>
    <t>加拿大</t>
  </si>
  <si>
    <t>蒋冰遇</t>
  </si>
  <si>
    <t>日本</t>
  </si>
  <si>
    <t>曲笑辰</t>
  </si>
  <si>
    <t>翻台率增长率</t>
  </si>
  <si>
    <t>营业收入
（不含税-万加元）</t>
  </si>
  <si>
    <t>英国</t>
  </si>
  <si>
    <t>LI WEIQI</t>
  </si>
  <si>
    <r>
      <rPr>
        <sz val="11"/>
        <color theme="1"/>
        <rFont val="Calibri"/>
        <charset val="134"/>
        <scheme val="minor"/>
      </rPr>
      <t>马来西亚</t>
    </r>
    <r>
      <rPr>
        <sz val="8"/>
        <color theme="1"/>
        <rFont val="Calibri"/>
        <charset val="134"/>
        <scheme val="minor"/>
      </rPr>
      <t>（8家）</t>
    </r>
  </si>
  <si>
    <t>朱国庆</t>
  </si>
  <si>
    <t>收入增长率</t>
  </si>
  <si>
    <t>刘丽</t>
  </si>
  <si>
    <t>单桌消费
对比同期数据</t>
  </si>
  <si>
    <t>单桌消费增长率</t>
  </si>
  <si>
    <t>马来西亚（10家）</t>
  </si>
  <si>
    <t>杜莹琦</t>
  </si>
  <si>
    <t>校对</t>
  </si>
  <si>
    <t>越南（1家）</t>
  </si>
  <si>
    <t>郭淦</t>
  </si>
  <si>
    <t>美国（7家）</t>
  </si>
  <si>
    <t>王海锋</t>
  </si>
  <si>
    <t>美国（6家）</t>
  </si>
  <si>
    <t>王天龙</t>
  </si>
  <si>
    <t>新加坡</t>
  </si>
  <si>
    <t>张涵之</t>
  </si>
  <si>
    <t>门店分时段经营数据2025年6月vs2024年6月截至10日-星期二（考核）</t>
  </si>
  <si>
    <t>门店名称</t>
  </si>
  <si>
    <t>分时段</t>
  </si>
  <si>
    <t>本月目标</t>
  </si>
  <si>
    <t>目标差异</t>
  </si>
  <si>
    <t>同比差异</t>
  </si>
  <si>
    <t>桌数（考核）</t>
  </si>
  <si>
    <t>今年</t>
  </si>
  <si>
    <t>去年</t>
  </si>
  <si>
    <t>08:00-13:59</t>
  </si>
  <si>
    <t>14:00-16:59</t>
  </si>
  <si>
    <t>17:00-21:59</t>
  </si>
  <si>
    <t>22:00-(次)07:59</t>
  </si>
  <si>
    <t>加拿大一店汇总</t>
  </si>
  <si>
    <t>加拿大二店汇总</t>
  </si>
  <si>
    <t>加拿大三店汇总</t>
  </si>
  <si>
    <t>加拿大四店汇总</t>
  </si>
  <si>
    <t>加拿大五店汇总</t>
  </si>
  <si>
    <t>加拿大六店汇总</t>
  </si>
  <si>
    <t>加拿大七店汇总</t>
  </si>
  <si>
    <t>区域整体</t>
  </si>
  <si>
    <t>日期</t>
  </si>
  <si>
    <t>(全部)</t>
  </si>
  <si>
    <t>列标签</t>
  </si>
  <si>
    <t>6</t>
  </si>
  <si>
    <t>求和项:营业桌数(考核)汇总</t>
  </si>
  <si>
    <t>求和项:营业桌数(考核)(外卖)汇总</t>
  </si>
  <si>
    <t>求和项:营业桌数汇总</t>
  </si>
  <si>
    <t>求和项:就餐人数汇总</t>
  </si>
  <si>
    <t>求和项:所有餐位数汇总</t>
  </si>
  <si>
    <t>行标签</t>
  </si>
  <si>
    <t>求和项:营业桌数(考核)</t>
  </si>
  <si>
    <t>求和项:营业桌数(考核)(外卖)</t>
  </si>
  <si>
    <t>求和项:营业桌数</t>
  </si>
  <si>
    <t>求和项:就餐人数</t>
  </si>
  <si>
    <t>求和项:所有餐位数</t>
  </si>
  <si>
    <t>总计</t>
  </si>
  <si>
    <t>本月截至目前翻台率</t>
  </si>
  <si>
    <t>今日翻台率</t>
  </si>
  <si>
    <t>国家负责人</t>
  </si>
  <si>
    <t>开业时间</t>
  </si>
  <si>
    <t>节假日</t>
  </si>
  <si>
    <t>所有餐位数</t>
  </si>
  <si>
    <t>营业桌数</t>
  </si>
  <si>
    <t>营业桌数(考核)</t>
  </si>
  <si>
    <t>翻台率(考核)</t>
  </si>
  <si>
    <t>营业收入(不含税)</t>
  </si>
  <si>
    <t>营业桌数(考核)(外卖)</t>
  </si>
  <si>
    <t>就餐人数</t>
  </si>
  <si>
    <t>优惠总金额(不含税)</t>
  </si>
  <si>
    <t>20250501</t>
  </si>
  <si>
    <t>2018-12-18</t>
  </si>
  <si>
    <t>工作日</t>
  </si>
  <si>
    <t>2024-05-01</t>
  </si>
  <si>
    <t>2020-08-17</t>
  </si>
  <si>
    <t>2020-07-27</t>
  </si>
  <si>
    <t>2022-10-03</t>
  </si>
  <si>
    <t>2024-01-09</t>
  </si>
  <si>
    <t>2020-10-30</t>
  </si>
  <si>
    <t>20250601</t>
  </si>
  <si>
    <t>20250502</t>
  </si>
  <si>
    <t>20250602</t>
  </si>
  <si>
    <t>20250503</t>
  </si>
  <si>
    <t>20250603</t>
  </si>
  <si>
    <t>20250504</t>
  </si>
  <si>
    <t>20250604</t>
  </si>
  <si>
    <t>20250505</t>
  </si>
  <si>
    <t>20250605</t>
  </si>
  <si>
    <t>20250506</t>
  </si>
  <si>
    <t>20250606</t>
  </si>
  <si>
    <t>20250507</t>
  </si>
  <si>
    <t>20250607</t>
  </si>
  <si>
    <t>20250508</t>
  </si>
  <si>
    <t>20250608</t>
  </si>
  <si>
    <t>20250509</t>
  </si>
  <si>
    <t>20250609</t>
  </si>
  <si>
    <t>20250510</t>
  </si>
  <si>
    <t>20250610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</si>
  <si>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</si>
  <si>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</si>
  <si>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</si>
  <si>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</si>
  <si>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</si>
  <si>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</si>
  <si>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</si>
  <si>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</si>
  <si>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</si>
  <si>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</si>
  <si>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开业日期</t>
  </si>
  <si>
    <t>营业桌数(不含员工餐)</t>
  </si>
  <si>
    <t>翻台率(不含员工餐)</t>
  </si>
  <si>
    <t>营业收入(含税)</t>
  </si>
  <si>
    <t>优惠总金额(含税)</t>
  </si>
  <si>
    <t>去年同期翻台率（不含员工餐）</t>
  </si>
  <si>
    <t>大区经理</t>
  </si>
  <si>
    <t>求和项:营业桌数(不含员工餐)</t>
  </si>
  <si>
    <t>求和项:营业收入(含税)</t>
  </si>
  <si>
    <t>20240630</t>
  </si>
  <si>
    <t>20240629</t>
  </si>
  <si>
    <t>税率</t>
  </si>
  <si>
    <t>单桌消费</t>
  </si>
  <si>
    <t>20240628</t>
  </si>
  <si>
    <t>20240627</t>
  </si>
  <si>
    <t>20240626</t>
  </si>
  <si>
    <t>20240625</t>
  </si>
  <si>
    <t>20240624</t>
  </si>
  <si>
    <t>20240623</t>
  </si>
  <si>
    <t>20240622</t>
  </si>
  <si>
    <t>20240621</t>
  </si>
  <si>
    <t>20240620</t>
  </si>
  <si>
    <t>20240619</t>
  </si>
  <si>
    <t>20240618</t>
  </si>
  <si>
    <t>20240617</t>
  </si>
  <si>
    <t>20240616</t>
  </si>
  <si>
    <t>20240615</t>
  </si>
  <si>
    <t>20240614</t>
  </si>
  <si>
    <t>20240613</t>
  </si>
  <si>
    <t>20240612</t>
  </si>
  <si>
    <t>20240611</t>
  </si>
  <si>
    <t>月份</t>
  </si>
  <si>
    <t>所以餐位数</t>
  </si>
  <si>
    <t>20250521</t>
  </si>
  <si>
    <t>5</t>
  </si>
  <si>
    <t>求和项:所以餐位数</t>
  </si>
  <si>
    <t>上周同期翻台率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</si>
  <si>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</si>
  <si>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</si>
  <si>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</si>
  <si>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</si>
  <si>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</si>
  <si>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</si>
  <si>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</si>
  <si>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</si>
  <si>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</si>
  <si>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</si>
  <si>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</t>
  </si>
  <si>
    <t>2024</t>
  </si>
  <si>
    <t>年份</t>
  </si>
  <si>
    <t>01号</t>
  </si>
  <si>
    <t>02号</t>
  </si>
  <si>
    <t>03号</t>
  </si>
  <si>
    <t>04号</t>
  </si>
  <si>
    <t>05号</t>
  </si>
  <si>
    <t>06号</t>
  </si>
  <si>
    <t>07号</t>
  </si>
  <si>
    <t>08号</t>
  </si>
  <si>
    <t>09号</t>
  </si>
  <si>
    <t>10号</t>
  </si>
  <si>
    <t>美金</t>
  </si>
  <si>
    <t>门店</t>
  </si>
  <si>
    <t>收入（加币）</t>
  </si>
  <si>
    <t>人工占比</t>
  </si>
  <si>
    <t>经营净利润</t>
  </si>
  <si>
    <t>汇率</t>
  </si>
  <si>
    <t>收入</t>
  </si>
  <si>
    <t>20240731</t>
  </si>
  <si>
    <t>今日外卖桌数（考核）</t>
  </si>
  <si>
    <t>今日营业收入（不含税-万加币）</t>
  </si>
  <si>
    <t>本月截止目前营业收入（不含税-万加元）</t>
  </si>
  <si>
    <t>本月营业收入目标（不含税-万加元）</t>
  </si>
  <si>
    <t>营业收入目标完成率（截至目前收入/收入目标）</t>
  </si>
  <si>
    <t>时间进度(目前日期/本月天数）</t>
  </si>
  <si>
    <t>优惠总金额（不含税-万加元）</t>
  </si>
  <si>
    <t>本月截至目前单桌消费</t>
  </si>
  <si>
    <t>去年同期月份单桌消费</t>
  </si>
  <si>
    <t>环比上月</t>
  </si>
  <si>
    <t>上月翻台率</t>
  </si>
  <si>
    <t>对比上月</t>
  </si>
  <si>
    <t>对比上周</t>
  </si>
  <si>
    <t>上周同期桌数</t>
  </si>
  <si>
    <t>对比上周同期桌数</t>
  </si>
  <si>
    <t>7月总桌数</t>
  </si>
  <si>
    <t>异常提示</t>
  </si>
  <si>
    <t>7月31日翻台率排名</t>
  </si>
  <si>
    <t>7月平均翻台率排名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</si>
</sst>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#,##0.00_ ;[Red]\-#,##0.00\ "/>
    <numFmt numFmtId="178" formatCode="0.0%"/>
    <numFmt numFmtId="179" formatCode="0.00_ ;[Red]\-0.00\ "/>
    <numFmt numFmtId="180" formatCode="0.00_);[Red]\(0.00\)"/>
    <numFmt numFmtId="181" formatCode="[&gt;=100000000]0&quot;.&quot;00,,&quot;亿&quot;;[&gt;=10000]0&quot;.&quot;0,&quot;万&quot;;0.0#;"/>
    <numFmt numFmtId="182" formatCode="0.0_ ;[Red]\-0.0\ "/>
    <numFmt numFmtId="183" formatCode="0_ ;[Red]\-0\ "/>
  </numFmts>
  <fonts count="48">
    <font>
      <sz val="11"/>
      <color theme="1"/>
      <name val="Calibri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7030A0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b/>
      <sz val="11"/>
      <color theme="4"/>
      <name val="微软雅黑"/>
      <charset val="134"/>
    </font>
    <font>
      <b/>
      <sz val="11"/>
      <name val="微软雅黑"/>
      <charset val="134"/>
    </font>
    <font>
      <b/>
      <sz val="16"/>
      <color rgb="FFFF0000"/>
      <name val="微软雅黑"/>
      <charset val="134"/>
    </font>
    <font>
      <b/>
      <sz val="9"/>
      <name val="楷体"/>
      <charset val="134"/>
    </font>
    <font>
      <sz val="9"/>
      <name val="楷体"/>
      <charset val="134"/>
    </font>
    <font>
      <b/>
      <sz val="11"/>
      <color rgb="FF000000"/>
      <name val="Calibri"/>
      <charset val="134"/>
      <scheme val="minor"/>
    </font>
    <font>
      <sz val="11"/>
      <color rgb="FF191919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.5"/>
      <color rgb="FF000000"/>
      <name val="Calibri"/>
      <charset val="134"/>
      <scheme val="minor"/>
    </font>
    <font>
      <sz val="10.5"/>
      <color rgb="FF000000"/>
      <name val="Calibri"/>
      <charset val="134"/>
      <scheme val="minor"/>
    </font>
    <font>
      <b/>
      <sz val="10.5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.5"/>
      <name val="Calibri"/>
      <charset val="134"/>
      <scheme val="minor"/>
    </font>
    <font>
      <b/>
      <sz val="10"/>
      <color theme="1"/>
      <name val="等线"/>
      <charset val="134"/>
    </font>
    <font>
      <b/>
      <sz val="15.75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theme="4" tint="0.799981688894314"/>
      </patternFill>
    </fill>
    <fill>
      <patternFill patternType="solid">
        <fgColor theme="9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4D6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4D6D9"/>
      </right>
      <top style="thin">
        <color rgb="FFFFFFFF"/>
      </top>
      <bottom style="thin">
        <color rgb="FFD4D6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/>
      <top style="medium">
        <color auto="1"/>
      </top>
      <bottom style="thin">
        <color rgb="FFDEE0E3"/>
      </bottom>
      <diagonal/>
    </border>
    <border>
      <left/>
      <right/>
      <top style="medium">
        <color auto="1"/>
      </top>
      <bottom style="thin">
        <color rgb="FFDEE0E3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DEE0E3"/>
      </right>
      <top style="medium">
        <color auto="1"/>
      </top>
      <bottom style="thin">
        <color rgb="FFDEE0E3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5" borderId="5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6" borderId="56" applyNumberFormat="0" applyAlignment="0" applyProtection="0">
      <alignment vertical="center"/>
    </xf>
    <xf numFmtId="0" fontId="37" fillId="17" borderId="57" applyNumberFormat="0" applyAlignment="0" applyProtection="0">
      <alignment vertical="center"/>
    </xf>
    <xf numFmtId="0" fontId="38" fillId="17" borderId="56" applyNumberFormat="0" applyAlignment="0" applyProtection="0">
      <alignment vertical="center"/>
    </xf>
    <xf numFmtId="0" fontId="39" fillId="18" borderId="58" applyNumberFormat="0" applyAlignment="0" applyProtection="0">
      <alignment vertical="center"/>
    </xf>
    <xf numFmtId="0" fontId="40" fillId="0" borderId="59" applyNumberFormat="0" applyFill="0" applyAlignment="0" applyProtection="0">
      <alignment vertical="center"/>
    </xf>
    <xf numFmtId="0" fontId="41" fillId="0" borderId="60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0" fontId="0" fillId="0" borderId="0" xfId="54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79" fontId="3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7" fontId="8" fillId="2" borderId="3" xfId="0" applyNumberFormat="1" applyFont="1" applyFill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9" fontId="9" fillId="0" borderId="3" xfId="0" applyNumberFormat="1" applyFont="1" applyBorder="1" applyAlignment="1">
      <alignment horizontal="center" vertical="center"/>
    </xf>
    <xf numFmtId="0" fontId="10" fillId="3" borderId="0" xfId="53" applyFont="1" applyFill="1">
      <alignment vertical="center"/>
    </xf>
    <xf numFmtId="0" fontId="11" fillId="3" borderId="0" xfId="53" applyFont="1" applyFill="1">
      <alignment vertical="center"/>
    </xf>
    <xf numFmtId="176" fontId="11" fillId="3" borderId="0" xfId="55" applyFont="1" applyFill="1">
      <alignment vertical="center"/>
    </xf>
    <xf numFmtId="0" fontId="10" fillId="3" borderId="3" xfId="53" applyFont="1" applyFill="1" applyBorder="1">
      <alignment vertical="center"/>
    </xf>
    <xf numFmtId="0" fontId="11" fillId="3" borderId="3" xfId="53" applyFont="1" applyFill="1" applyBorder="1">
      <alignment vertical="center"/>
    </xf>
    <xf numFmtId="0" fontId="10" fillId="4" borderId="3" xfId="53" applyFont="1" applyFill="1" applyBorder="1">
      <alignment vertical="center"/>
    </xf>
    <xf numFmtId="180" fontId="11" fillId="3" borderId="3" xfId="53" applyNumberFormat="1" applyFont="1" applyFill="1" applyBorder="1">
      <alignment vertical="center"/>
    </xf>
    <xf numFmtId="176" fontId="11" fillId="3" borderId="3" xfId="53" applyNumberFormat="1" applyFont="1" applyFill="1" applyBorder="1">
      <alignment vertical="center"/>
    </xf>
    <xf numFmtId="178" fontId="11" fillId="3" borderId="3" xfId="53" applyNumberFormat="1" applyFont="1" applyFill="1" applyBorder="1">
      <alignment vertical="center"/>
    </xf>
    <xf numFmtId="176" fontId="10" fillId="5" borderId="3" xfId="55" applyFont="1" applyFill="1" applyBorder="1" applyAlignment="1">
      <alignment horizontal="center" vertical="center"/>
    </xf>
    <xf numFmtId="176" fontId="11" fillId="3" borderId="3" xfId="55" applyFont="1" applyFill="1" applyBorder="1">
      <alignment vertical="center"/>
    </xf>
    <xf numFmtId="0" fontId="0" fillId="0" borderId="0" xfId="0" applyAlignment="1">
      <alignment horizontal="center"/>
    </xf>
    <xf numFmtId="0" fontId="12" fillId="6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181" fontId="13" fillId="0" borderId="8" xfId="0" applyNumberFormat="1" applyFont="1" applyBorder="1" applyAlignment="1">
      <alignment horizontal="right" vertical="center"/>
    </xf>
    <xf numFmtId="4" fontId="13" fillId="0" borderId="8" xfId="0" applyNumberFormat="1" applyFont="1" applyBorder="1" applyAlignment="1">
      <alignment horizontal="right" vertical="center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4" fillId="7" borderId="0" xfId="0" applyFont="1" applyFill="1"/>
    <xf numFmtId="2" fontId="14" fillId="0" borderId="0" xfId="0" applyNumberFormat="1" applyFont="1"/>
    <xf numFmtId="2" fontId="0" fillId="0" borderId="0" xfId="0" applyNumberFormat="1"/>
    <xf numFmtId="2" fontId="14" fillId="7" borderId="0" xfId="0" applyNumberFormat="1" applyFont="1" applyFill="1"/>
    <xf numFmtId="0" fontId="12" fillId="6" borderId="7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181" fontId="13" fillId="0" borderId="8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4" fillId="7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2" fillId="0" borderId="13" xfId="0" applyFont="1" applyBorder="1" applyAlignment="1">
      <alignment horizontal="center" vertical="center"/>
    </xf>
    <xf numFmtId="4" fontId="13" fillId="0" borderId="8" xfId="0" applyNumberFormat="1" applyFont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12" fillId="8" borderId="7" xfId="0" applyFont="1" applyFill="1" applyBorder="1" applyAlignment="1">
      <alignment horizontal="left" vertical="center"/>
    </xf>
    <xf numFmtId="0" fontId="14" fillId="0" borderId="0" xfId="0" applyFont="1"/>
    <xf numFmtId="0" fontId="15" fillId="9" borderId="1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179" fontId="0" fillId="11" borderId="3" xfId="0" applyNumberFormat="1" applyFill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179" fontId="14" fillId="11" borderId="3" xfId="0" applyNumberFormat="1" applyFont="1" applyFill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79" fontId="0" fillId="0" borderId="3" xfId="0" applyNumberForma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79" fontId="14" fillId="0" borderId="3" xfId="0" applyNumberFormat="1" applyFont="1" applyBorder="1" applyAlignment="1">
      <alignment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179" fontId="14" fillId="12" borderId="3" xfId="0" applyNumberFormat="1" applyFont="1" applyFill="1" applyBorder="1" applyAlignment="1">
      <alignment vertical="center"/>
    </xf>
    <xf numFmtId="0" fontId="14" fillId="10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/>
    </xf>
    <xf numFmtId="58" fontId="14" fillId="10" borderId="4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/>
    </xf>
    <xf numFmtId="58" fontId="14" fillId="10" borderId="5" xfId="0" applyNumberFormat="1" applyFont="1" applyFill="1" applyBorder="1" applyAlignment="1">
      <alignment horizontal="center" vertical="center"/>
    </xf>
    <xf numFmtId="179" fontId="0" fillId="11" borderId="3" xfId="1" applyNumberFormat="1" applyFont="1" applyFill="1" applyBorder="1" applyAlignment="1">
      <alignment vertical="center"/>
    </xf>
    <xf numFmtId="179" fontId="0" fillId="11" borderId="5" xfId="0" applyNumberFormat="1" applyFill="1" applyBorder="1"/>
    <xf numFmtId="179" fontId="0" fillId="11" borderId="3" xfId="0" applyNumberFormat="1" applyFill="1" applyBorder="1"/>
    <xf numFmtId="179" fontId="14" fillId="11" borderId="3" xfId="1" applyNumberFormat="1" applyFont="1" applyFill="1" applyBorder="1" applyAlignment="1">
      <alignment vertical="center"/>
    </xf>
    <xf numFmtId="179" fontId="14" fillId="11" borderId="3" xfId="0" applyNumberFormat="1" applyFont="1" applyFill="1" applyBorder="1"/>
    <xf numFmtId="179" fontId="0" fillId="0" borderId="3" xfId="1" applyNumberFormat="1" applyFont="1" applyFill="1" applyBorder="1" applyAlignment="1">
      <alignment vertical="center"/>
    </xf>
    <xf numFmtId="179" fontId="0" fillId="0" borderId="3" xfId="0" applyNumberFormat="1" applyBorder="1"/>
    <xf numFmtId="179" fontId="14" fillId="0" borderId="3" xfId="1" applyNumberFormat="1" applyFont="1" applyFill="1" applyBorder="1" applyAlignment="1">
      <alignment vertical="center"/>
    </xf>
    <xf numFmtId="179" fontId="14" fillId="0" borderId="3" xfId="0" applyNumberFormat="1" applyFont="1" applyBorder="1"/>
    <xf numFmtId="0" fontId="17" fillId="12" borderId="15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7" fillId="12" borderId="16" xfId="0" applyFont="1" applyFill="1" applyBorder="1" applyAlignment="1">
      <alignment horizontal="center" vertical="center"/>
    </xf>
    <xf numFmtId="0" fontId="0" fillId="11" borderId="5" xfId="0" applyFill="1" applyBorder="1" applyAlignment="1">
      <alignment vertical="center"/>
    </xf>
    <xf numFmtId="182" fontId="14" fillId="12" borderId="3" xfId="0" applyNumberFormat="1" applyFont="1" applyFill="1" applyBorder="1" applyAlignment="1">
      <alignment vertical="center"/>
    </xf>
    <xf numFmtId="183" fontId="14" fillId="12" borderId="3" xfId="0" applyNumberFormat="1" applyFont="1" applyFill="1" applyBorder="1" applyAlignment="1">
      <alignment vertical="center"/>
    </xf>
    <xf numFmtId="178" fontId="17" fillId="0" borderId="0" xfId="3" applyNumberFormat="1" applyFont="1" applyAlignme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12" fillId="13" borderId="17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 vertical="center"/>
    </xf>
    <xf numFmtId="0" fontId="18" fillId="13" borderId="20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12" fillId="13" borderId="21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0" fontId="18" fillId="13" borderId="23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176" fontId="19" fillId="0" borderId="19" xfId="0" applyNumberFormat="1" applyFont="1" applyBorder="1" applyAlignment="1">
      <alignment horizontal="right" vertical="center"/>
    </xf>
    <xf numFmtId="176" fontId="19" fillId="0" borderId="21" xfId="0" applyNumberFormat="1" applyFont="1" applyBorder="1" applyAlignment="1">
      <alignment horizontal="right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176" fontId="19" fillId="0" borderId="25" xfId="0" applyNumberFormat="1" applyFont="1" applyBorder="1" applyAlignment="1">
      <alignment horizontal="right" vertical="center"/>
    </xf>
    <xf numFmtId="176" fontId="19" fillId="0" borderId="3" xfId="0" applyNumberFormat="1" applyFont="1" applyBorder="1" applyAlignment="1">
      <alignment horizontal="right" vertical="center"/>
    </xf>
    <xf numFmtId="0" fontId="19" fillId="0" borderId="22" xfId="0" applyFont="1" applyBorder="1" applyAlignment="1">
      <alignment horizontal="center" vertical="center"/>
    </xf>
    <xf numFmtId="178" fontId="20" fillId="14" borderId="23" xfId="3" applyNumberFormat="1" applyFont="1" applyFill="1" applyBorder="1" applyAlignment="1">
      <alignment horizontal="center" vertical="center"/>
    </xf>
    <xf numFmtId="178" fontId="20" fillId="14" borderId="22" xfId="3" applyNumberFormat="1" applyFont="1" applyFill="1" applyBorder="1" applyAlignment="1">
      <alignment horizontal="right" vertical="center"/>
    </xf>
    <xf numFmtId="178" fontId="20" fillId="14" borderId="24" xfId="3" applyNumberFormat="1" applyFont="1" applyFill="1" applyBorder="1" applyAlignment="1">
      <alignment horizontal="right" vertical="center"/>
    </xf>
    <xf numFmtId="0" fontId="21" fillId="0" borderId="27" xfId="0" applyFont="1" applyBorder="1" applyAlignment="1">
      <alignment horizontal="left"/>
    </xf>
    <xf numFmtId="0" fontId="21" fillId="0" borderId="28" xfId="0" applyFont="1" applyBorder="1" applyAlignment="1">
      <alignment horizontal="left"/>
    </xf>
    <xf numFmtId="0" fontId="14" fillId="7" borderId="0" xfId="0" applyFont="1" applyFill="1" applyAlignment="1">
      <alignment horizontal="center"/>
    </xf>
    <xf numFmtId="176" fontId="0" fillId="7" borderId="0" xfId="0" applyNumberFormat="1" applyFill="1"/>
    <xf numFmtId="0" fontId="12" fillId="13" borderId="20" xfId="0" applyFont="1" applyFill="1" applyBorder="1" applyAlignment="1">
      <alignment horizontal="center" vertical="center"/>
    </xf>
    <xf numFmtId="0" fontId="18" fillId="13" borderId="29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176" fontId="19" fillId="0" borderId="30" xfId="0" applyNumberFormat="1" applyFont="1" applyBorder="1" applyAlignment="1">
      <alignment horizontal="right" vertical="center"/>
    </xf>
    <xf numFmtId="176" fontId="19" fillId="0" borderId="1" xfId="0" applyNumberFormat="1" applyFont="1" applyBorder="1" applyAlignment="1">
      <alignment horizontal="right" vertical="center"/>
    </xf>
    <xf numFmtId="176" fontId="19" fillId="0" borderId="20" xfId="0" applyNumberFormat="1" applyFont="1" applyBorder="1" applyAlignment="1">
      <alignment horizontal="right" vertical="center"/>
    </xf>
    <xf numFmtId="176" fontId="19" fillId="0" borderId="31" xfId="0" applyNumberFormat="1" applyFont="1" applyBorder="1" applyAlignment="1">
      <alignment horizontal="right" vertical="center"/>
    </xf>
    <xf numFmtId="176" fontId="19" fillId="0" borderId="5" xfId="0" applyNumberFormat="1" applyFont="1" applyBorder="1" applyAlignment="1">
      <alignment horizontal="right" vertical="center"/>
    </xf>
    <xf numFmtId="176" fontId="19" fillId="0" borderId="26" xfId="0" applyNumberFormat="1" applyFont="1" applyBorder="1" applyAlignment="1">
      <alignment horizontal="right" vertical="center"/>
    </xf>
    <xf numFmtId="0" fontId="21" fillId="0" borderId="32" xfId="0" applyFont="1" applyBorder="1" applyAlignment="1">
      <alignment horizontal="left"/>
    </xf>
    <xf numFmtId="0" fontId="12" fillId="13" borderId="33" xfId="0" applyFont="1" applyFill="1" applyBorder="1" applyAlignment="1">
      <alignment horizontal="center" vertical="center"/>
    </xf>
    <xf numFmtId="0" fontId="18" fillId="13" borderId="34" xfId="0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/>
    </xf>
    <xf numFmtId="0" fontId="18" fillId="13" borderId="36" xfId="0" applyFont="1" applyFill="1" applyBorder="1" applyAlignment="1">
      <alignment horizontal="center" vertical="center"/>
    </xf>
    <xf numFmtId="0" fontId="18" fillId="13" borderId="37" xfId="0" applyFont="1" applyFill="1" applyBorder="1" applyAlignment="1">
      <alignment horizontal="center" vertical="center"/>
    </xf>
    <xf numFmtId="0" fontId="18" fillId="13" borderId="38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76" fontId="19" fillId="0" borderId="40" xfId="0" applyNumberFormat="1" applyFont="1" applyBorder="1" applyAlignment="1">
      <alignment horizontal="right" vertical="center"/>
    </xf>
    <xf numFmtId="176" fontId="19" fillId="0" borderId="41" xfId="0" applyNumberFormat="1" applyFont="1" applyBorder="1" applyAlignment="1">
      <alignment horizontal="right" vertical="center"/>
    </xf>
    <xf numFmtId="0" fontId="22" fillId="0" borderId="39" xfId="0" applyFont="1" applyBorder="1" applyAlignment="1">
      <alignment horizontal="center" vertical="center"/>
    </xf>
    <xf numFmtId="178" fontId="20" fillId="14" borderId="42" xfId="3" applyNumberFormat="1" applyFont="1" applyFill="1" applyBorder="1" applyAlignment="1">
      <alignment horizontal="right" vertical="center"/>
    </xf>
    <xf numFmtId="176" fontId="19" fillId="0" borderId="43" xfId="0" applyNumberFormat="1" applyFont="1" applyBorder="1" applyAlignment="1">
      <alignment horizontal="right" vertical="center"/>
    </xf>
    <xf numFmtId="176" fontId="19" fillId="0" borderId="39" xfId="0" applyNumberFormat="1" applyFont="1" applyBorder="1" applyAlignment="1">
      <alignment horizontal="right" vertical="center"/>
    </xf>
    <xf numFmtId="0" fontId="0" fillId="0" borderId="44" xfId="0" applyFont="1" applyBorder="1" applyAlignment="1">
      <alignment horizontal="center" vertical="center"/>
    </xf>
    <xf numFmtId="178" fontId="20" fillId="14" borderId="44" xfId="3" applyNumberFormat="1" applyFont="1" applyFill="1" applyBorder="1" applyAlignment="1">
      <alignment horizontal="right" vertical="center"/>
    </xf>
    <xf numFmtId="178" fontId="17" fillId="0" borderId="0" xfId="3" applyNumberFormat="1" applyFont="1" applyAlignment="1">
      <alignment horizontal="center" vertical="center"/>
    </xf>
    <xf numFmtId="176" fontId="19" fillId="0" borderId="36" xfId="0" applyNumberFormat="1" applyFont="1" applyBorder="1" applyAlignment="1">
      <alignment horizontal="right" vertical="center"/>
    </xf>
    <xf numFmtId="0" fontId="18" fillId="13" borderId="45" xfId="0" applyFont="1" applyFill="1" applyBorder="1" applyAlignment="1">
      <alignment horizontal="center" vertical="center"/>
    </xf>
    <xf numFmtId="0" fontId="18" fillId="13" borderId="46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13" borderId="0" xfId="0" applyFont="1" applyFill="1" applyAlignment="1">
      <alignment horizontal="center"/>
    </xf>
    <xf numFmtId="180" fontId="0" fillId="0" borderId="39" xfId="0" applyNumberFormat="1" applyFont="1" applyBorder="1" applyAlignment="1">
      <alignment horizontal="center" vertical="center"/>
    </xf>
    <xf numFmtId="178" fontId="23" fillId="0" borderId="0" xfId="3" applyNumberFormat="1" applyFont="1" applyAlignment="1">
      <alignment horizontal="center"/>
    </xf>
    <xf numFmtId="180" fontId="0" fillId="0" borderId="44" xfId="0" applyNumberFormat="1" applyFont="1" applyBorder="1" applyAlignment="1">
      <alignment horizontal="center" vertical="center"/>
    </xf>
    <xf numFmtId="0" fontId="23" fillId="0" borderId="0" xfId="3" applyNumberFormat="1" applyFont="1" applyBorder="1" applyAlignment="1">
      <alignment horizontal="center" vertical="center"/>
    </xf>
    <xf numFmtId="180" fontId="23" fillId="0" borderId="0" xfId="3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80" fontId="23" fillId="0" borderId="0" xfId="3" applyNumberFormat="1" applyFont="1" applyFill="1" applyBorder="1" applyAlignment="1">
      <alignment horizontal="center" vertical="center"/>
    </xf>
    <xf numFmtId="178" fontId="23" fillId="0" borderId="0" xfId="3" applyNumberFormat="1" applyFont="1" applyBorder="1" applyAlignment="1">
      <alignment horizontal="center"/>
    </xf>
    <xf numFmtId="0" fontId="24" fillId="13" borderId="47" xfId="0" applyFont="1" applyFill="1" applyBorder="1" applyAlignment="1">
      <alignment horizontal="center" vertical="center"/>
    </xf>
    <xf numFmtId="0" fontId="24" fillId="13" borderId="48" xfId="0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right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right" vertical="center"/>
    </xf>
    <xf numFmtId="0" fontId="25" fillId="0" borderId="2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25" fillId="7" borderId="44" xfId="0" applyFont="1" applyFill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2" fontId="25" fillId="0" borderId="19" xfId="0" applyNumberFormat="1" applyFont="1" applyBorder="1" applyAlignment="1">
      <alignment horizontal="center" vertical="center"/>
    </xf>
    <xf numFmtId="2" fontId="25" fillId="0" borderId="21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25" fillId="7" borderId="39" xfId="0" applyFont="1" applyFill="1" applyBorder="1" applyAlignment="1">
      <alignment horizontal="right" vertical="center"/>
    </xf>
    <xf numFmtId="2" fontId="25" fillId="7" borderId="25" xfId="0" applyNumberFormat="1" applyFont="1" applyFill="1" applyBorder="1" applyAlignment="1">
      <alignment horizontal="center" vertical="center"/>
    </xf>
    <xf numFmtId="2" fontId="25" fillId="7" borderId="3" xfId="0" applyNumberFormat="1" applyFont="1" applyFill="1" applyBorder="1" applyAlignment="1">
      <alignment horizontal="center" vertical="center"/>
    </xf>
    <xf numFmtId="2" fontId="25" fillId="0" borderId="25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178" fontId="25" fillId="7" borderId="25" xfId="3" applyNumberFormat="1" applyFont="1" applyFill="1" applyBorder="1" applyAlignment="1">
      <alignment horizontal="center" vertical="center"/>
    </xf>
    <xf numFmtId="178" fontId="25" fillId="7" borderId="3" xfId="3" applyNumberFormat="1" applyFont="1" applyFill="1" applyBorder="1" applyAlignment="1">
      <alignment horizontal="center" vertical="center"/>
    </xf>
    <xf numFmtId="178" fontId="25" fillId="0" borderId="25" xfId="3" applyNumberFormat="1" applyFont="1" applyFill="1" applyBorder="1" applyAlignment="1">
      <alignment horizontal="center" vertical="center"/>
    </xf>
    <xf numFmtId="178" fontId="25" fillId="0" borderId="3" xfId="3" applyNumberFormat="1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right" vertical="center"/>
    </xf>
    <xf numFmtId="10" fontId="25" fillId="0" borderId="22" xfId="3" applyNumberFormat="1" applyFont="1" applyFill="1" applyBorder="1" applyAlignment="1">
      <alignment horizontal="center" vertical="center"/>
    </xf>
    <xf numFmtId="10" fontId="25" fillId="0" borderId="24" xfId="3" applyNumberFormat="1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180" fontId="25" fillId="0" borderId="49" xfId="0" applyNumberFormat="1" applyFont="1" applyBorder="1" applyAlignment="1">
      <alignment horizontal="center" vertical="center"/>
    </xf>
    <xf numFmtId="180" fontId="25" fillId="0" borderId="21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2" fontId="25" fillId="0" borderId="6" xfId="0" applyNumberFormat="1" applyFont="1" applyBorder="1" applyAlignment="1">
      <alignment horizontal="center" vertical="center"/>
    </xf>
    <xf numFmtId="2" fontId="25" fillId="7" borderId="6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4" fillId="13" borderId="52" xfId="0" applyFont="1" applyFill="1" applyBorder="1" applyAlignment="1">
      <alignment horizontal="center" vertical="center"/>
    </xf>
    <xf numFmtId="0" fontId="18" fillId="13" borderId="33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2" fontId="25" fillId="0" borderId="20" xfId="0" applyNumberFormat="1" applyFont="1" applyBorder="1" applyAlignment="1">
      <alignment horizontal="center" vertical="center"/>
    </xf>
    <xf numFmtId="2" fontId="25" fillId="7" borderId="26" xfId="0" applyNumberFormat="1" applyFont="1" applyFill="1" applyBorder="1" applyAlignment="1">
      <alignment horizontal="center" vertical="center"/>
    </xf>
    <xf numFmtId="2" fontId="25" fillId="0" borderId="26" xfId="0" applyNumberFormat="1" applyFont="1" applyBorder="1" applyAlignment="1">
      <alignment horizontal="center" vertical="center"/>
    </xf>
    <xf numFmtId="178" fontId="25" fillId="7" borderId="26" xfId="3" applyNumberFormat="1" applyFont="1" applyFill="1" applyBorder="1" applyAlignment="1">
      <alignment horizontal="center" vertical="center"/>
    </xf>
    <xf numFmtId="178" fontId="25" fillId="0" borderId="26" xfId="3" applyNumberFormat="1" applyFont="1" applyFill="1" applyBorder="1" applyAlignment="1">
      <alignment horizontal="center" vertical="center"/>
    </xf>
    <xf numFmtId="10" fontId="25" fillId="0" borderId="23" xfId="3" applyNumberFormat="1" applyFont="1" applyFill="1" applyBorder="1" applyAlignment="1">
      <alignment horizontal="center" vertical="center"/>
    </xf>
    <xf numFmtId="180" fontId="25" fillId="0" borderId="20" xfId="0" applyNumberFormat="1" applyFont="1" applyBorder="1" applyAlignment="1">
      <alignment horizontal="center" vertical="center"/>
    </xf>
    <xf numFmtId="2" fontId="27" fillId="0" borderId="26" xfId="0" applyNumberFormat="1" applyFont="1" applyBorder="1" applyAlignment="1">
      <alignment horizontal="center" vertical="center"/>
    </xf>
    <xf numFmtId="2" fontId="27" fillId="0" borderId="23" xfId="0" applyNumberFormat="1" applyFont="1" applyBorder="1" applyAlignment="1">
      <alignment horizontal="center" vertic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百分比 2" xfId="49"/>
    <cellStyle name="常规 10" xfId="50"/>
    <cellStyle name="常规 11" xfId="51"/>
    <cellStyle name="常规 2" xfId="52"/>
    <cellStyle name="常规 3" xfId="53"/>
    <cellStyle name="常规 4" xfId="54"/>
    <cellStyle name="千位分隔 2" xfId="55"/>
  </cellStyles>
  <dxfs count="6">
    <dxf>
      <font>
        <color rgb="FF00B05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theme="5" tint="0.599963377788629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FF5050"/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5510950231" refreshedBy="Peter Li" recordCount="1492">
  <cacheSource type="worksheet">
    <worksheetSource ref="A1:O1048576" sheet="21号之后"/>
  </cacheSource>
  <cacheFields count="15">
    <cacheField name="日期" numFmtId="0">
      <sharedItems containsBlank="1" count="45">
        <s v="20250521"/>
        <s v="20250522"/>
        <s v="20250523"/>
        <s v="20250524"/>
        <s v="20250525"/>
        <s v="20250526"/>
        <s v="20250527"/>
        <s v="20250528"/>
        <s v="20250529"/>
        <s v="20250530"/>
        <s v="20250531"/>
        <s v="20250601"/>
        <s v="20250602"/>
        <s v="20250603"/>
        <s v="20250604"/>
        <s v="20250605"/>
        <s v="20250606"/>
        <s v="20250607"/>
        <s v="20250608"/>
        <s v="20250609"/>
        <s v="20250610"/>
        <m/>
        <s v="20240724" u="1"/>
        <s v="20240725" u="1"/>
        <s v="20240726" u="1"/>
        <s v="20240727" u="1"/>
        <s v="20240728" u="1"/>
        <s v="20240729" u="1"/>
        <s v="20240730" u="1"/>
        <s v="20240731" u="1"/>
        <s v="20240801" u="1"/>
        <s v="20240802" u="1"/>
        <s v="20240803" u="1"/>
        <s v="20240804" u="1"/>
        <s v="20240805" u="1"/>
        <s v="20240806" u="1"/>
        <s v="20240807" u="1"/>
        <s v="20240808" u="1"/>
        <s v="20240809" u="1"/>
        <s v="20240810" u="1"/>
        <s v="20240811" u="1"/>
        <s v="20240812" u="1"/>
        <s v="20240813" u="1"/>
        <s v="20240814" u="1"/>
        <s v="20240815" u="1"/>
      </sharedItems>
    </cacheField>
    <cacheField name="月份" numFmtId="0"/>
    <cacheField name="国家" numFmtId="0"/>
    <cacheField name="国家负责人" numFmtId="0"/>
    <cacheField name="门店名称" numFmtId="0">
      <sharedItems containsBlank="1" count="8">
        <s v="加拿大一店"/>
        <s v="加拿大七店"/>
        <s v="加拿大三店"/>
        <s v="加拿大二店"/>
        <s v="加拿大五店"/>
        <s v="加拿大六店"/>
        <s v="加拿大四店"/>
        <m/>
      </sharedItems>
    </cacheField>
    <cacheField name="开业日期" numFmtId="0"/>
    <cacheField name="节假日" numFmtId="0"/>
    <cacheField name="所以餐位数" numFmtId="0"/>
    <cacheField name="营业桌数" numFmtId="0"/>
    <cacheField name="营业桌数(考核)" numFmtId="0"/>
    <cacheField name="翻台率(考核)" numFmtId="0"/>
    <cacheField name="营业收入(含税)" numFmtId="0"/>
    <cacheField name="营业桌数(考核)(外卖)" numFmtId="0"/>
    <cacheField name="就餐人数" numFmtId="0"/>
    <cacheField name="优惠总金额(含税)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5556451389" refreshedBy="Peter Li" recordCount="2600">
  <cacheSource type="worksheet">
    <worksheetSource ref="A1:K1048576" sheet="分时段基础表"/>
  </cacheSource>
  <cacheFields count="11">
    <cacheField name="日期" numFmtId="0">
      <sharedItems containsBlank="1" count="61">
        <s v="20240601"/>
        <s v="20250501"/>
        <s v="20250601"/>
        <s v="20250602"/>
        <s v="20240602"/>
        <s v="20250502"/>
        <s v="20250603"/>
        <s v="20240603"/>
        <s v="20250503"/>
        <s v="20250604"/>
        <s v="20240604"/>
        <s v="20250504"/>
        <s v="20250605"/>
        <s v="20240605"/>
        <s v="20250505"/>
        <s v="20250606"/>
        <s v="20240606"/>
        <s v="20250506"/>
        <s v="20250607"/>
        <s v="20240607"/>
        <s v="20250507"/>
        <s v="20250608"/>
        <s v="20240608"/>
        <s v="20250508"/>
        <s v="20250609"/>
        <s v="20240609"/>
        <s v="20250509"/>
        <s v="20250610"/>
        <s v="20240610"/>
        <s v="20250510"/>
        <m/>
        <s v="20240701" u="1"/>
        <s v="20240801" u="1"/>
        <s v="20240802" u="1"/>
        <s v="20240702" u="1"/>
        <s v="20240803" u="1"/>
        <s v="20240703" u="1"/>
        <s v="20240804" u="1"/>
        <s v="20240704" u="1"/>
        <s v="20240805" u="1"/>
        <s v="20240705" u="1"/>
        <s v="20240806" u="1"/>
        <s v="20240706" u="1"/>
        <s v="20240807" u="1"/>
        <s v="20240707" u="1"/>
        <s v="20240808" u="1"/>
        <s v="20240708" u="1"/>
        <s v="20240809" u="1"/>
        <s v="20240709" u="1"/>
        <s v="20240810" u="1"/>
        <s v="20240710" u="1"/>
        <s v="20240811" u="1"/>
        <s v="20240711" u="1"/>
        <s v="20240812" u="1"/>
        <s v="20240712" u="1"/>
        <s v="20240813" u="1"/>
        <s v="20240713" u="1"/>
        <s v="20240814" u="1"/>
        <s v="20240714" u="1"/>
        <s v="20240815" u="1"/>
        <s v="20240715" u="1"/>
      </sharedItems>
    </cacheField>
    <cacheField name="年份" numFmtId="0">
      <sharedItems containsBlank="1" containsNumber="1" containsInteger="1" containsMixedTypes="1" count="4">
        <s v="2024"/>
        <n v="5"/>
        <s v="2025"/>
        <m/>
      </sharedItems>
    </cacheField>
    <cacheField name="日期2" numFmtId="0"/>
    <cacheField name="国家" numFmtId="0"/>
    <cacheField name="国家负责人" numFmtId="0"/>
    <cacheField name="门店名称" numFmtId="0">
      <sharedItems containsBlank="1" count="8">
        <s v="加拿大一店"/>
        <s v="加拿大七店"/>
        <s v="加拿大三店"/>
        <s v="加拿大二店"/>
        <s v="加拿大五店"/>
        <s v="加拿大六店"/>
        <s v="加拿大四店"/>
        <m/>
      </sharedItems>
    </cacheField>
    <cacheField name="分时段" numFmtId="0">
      <sharedItems containsBlank="1" count="5">
        <s v="08:00-13:59"/>
        <s v="14:00-16:59"/>
        <s v="17:00-21:59"/>
        <s v="22:00-(次)07:59"/>
        <m/>
      </sharedItems>
    </cacheField>
    <cacheField name="节假日" numFmtId="0"/>
    <cacheField name="所有餐位数" numFmtId="0"/>
    <cacheField name="营业桌数(考核)" numFmtId="0"/>
    <cacheField name="翻台率(考核)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5599046296" refreshedBy="Peter Li" recordCount="211">
  <cacheSource type="worksheet">
    <worksheetSource ref="A1:P1048576" sheet="去年同期"/>
  </cacheSource>
  <cacheFields count="16">
    <cacheField name="日期" numFmtId="0"/>
    <cacheField name="国家" numFmtId="0"/>
    <cacheField name="大区经理" numFmtId="0"/>
    <cacheField name="门店名称" numFmtId="0">
      <sharedItems containsBlank="1" count="8">
        <s v="加拿大一店"/>
        <s v="加拿大七店"/>
        <s v="加拿大三店"/>
        <s v="加拿大二店"/>
        <s v="加拿大五店"/>
        <s v="加拿大六店"/>
        <s v="加拿大四店"/>
        <m/>
      </sharedItems>
    </cacheField>
    <cacheField name="开业日期" numFmtId="0"/>
    <cacheField name="节假日" numFmtId="0"/>
    <cacheField name="所有餐位数" numFmtId="0"/>
    <cacheField name="营业桌数" numFmtId="0"/>
    <cacheField name="营业桌数(不含员工餐)" numFmtId="0"/>
    <cacheField name="营业桌数(考核)" numFmtId="0"/>
    <cacheField name="翻台率(不含员工餐)" numFmtId="0"/>
    <cacheField name="翻台率(考核)" numFmtId="0"/>
    <cacheField name="营业收入(含税)" numFmtId="0"/>
    <cacheField name="营业桌数(考核)(外卖)" numFmtId="0"/>
    <cacheField name="就餐人数" numFmtId="0"/>
    <cacheField name="优惠总金额(含税)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5602429398" refreshedBy="Peter Li" recordCount="76">
  <cacheSource type="worksheet">
    <worksheetSource ref="A1:P1048576" sheet="去年营业基础表"/>
  </cacheSource>
  <cacheFields count="16">
    <cacheField name="日期" numFmtId="0"/>
    <cacheField name="国家" numFmtId="0"/>
    <cacheField name="国家负责人" numFmtId="0"/>
    <cacheField name="门店名称" numFmtId="0">
      <sharedItems containsBlank="1" count="8">
        <s v="加拿大一店"/>
        <s v="加拿大七店"/>
        <s v="加拿大三店"/>
        <s v="加拿大二店"/>
        <s v="加拿大五店"/>
        <s v="加拿大六店"/>
        <s v="加拿大四店"/>
        <m/>
      </sharedItems>
    </cacheField>
    <cacheField name="开业日期" numFmtId="0"/>
    <cacheField name="节假日" numFmtId="0"/>
    <cacheField name="所有餐位数" numFmtId="0"/>
    <cacheField name="营业桌数" numFmtId="0"/>
    <cacheField name="营业桌数(不含员工餐)" numFmtId="0"/>
    <cacheField name="营业桌数(考核)" numFmtId="0"/>
    <cacheField name="翻台率(不含员工餐)" numFmtId="0"/>
    <cacheField name="翻台率(考核)" numFmtId="0"/>
    <cacheField name="营业收入(含税)" numFmtId="0"/>
    <cacheField name="营业桌数(考核)(外卖)" numFmtId="0"/>
    <cacheField name="就餐人数" numFmtId="0"/>
    <cacheField name="优惠总金额(含税)" numFmtId="0"/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5619702546" refreshedBy="Peter Li" recordCount="211">
  <cacheSource type="worksheet">
    <worksheetSource ref="A1:N1048576" sheet="营业基础表"/>
  </cacheSource>
  <cacheFields count="15">
    <cacheField name="日期" numFmtId="0">
      <sharedItems containsBlank="1" count="51">
        <s v="20250501"/>
        <s v="20250601"/>
        <s v="20250502"/>
        <s v="20250602"/>
        <s v="20250503"/>
        <s v="20250603"/>
        <s v="20250504"/>
        <s v="20250604"/>
        <s v="20250505"/>
        <s v="20250605"/>
        <s v="20250506"/>
        <s v="20250606"/>
        <s v="20250507"/>
        <s v="20250607"/>
        <s v="20250508"/>
        <s v="20250608"/>
        <s v="20250509"/>
        <s v="20250609"/>
        <s v="20250510"/>
        <s v="20250610"/>
        <m/>
        <s v="20240701" u="1"/>
        <s v="20240801" u="1"/>
        <s v="20240702" u="1"/>
        <s v="20240802" u="1"/>
        <s v="20240703" u="1"/>
        <s v="20240803" u="1"/>
        <s v="20240704" u="1"/>
        <s v="20240804" u="1"/>
        <s v="20240705" u="1"/>
        <s v="20240805" u="1"/>
        <s v="20240706" u="1"/>
        <s v="20240806" u="1"/>
        <s v="20240707" u="1"/>
        <s v="20240807" u="1"/>
        <s v="20240708" u="1"/>
        <s v="20240808" u="1"/>
        <s v="20240709" u="1"/>
        <s v="20240809" u="1"/>
        <s v="20240710" u="1"/>
        <s v="20240810" u="1"/>
        <s v="20240711" u="1"/>
        <s v="20240811" u="1"/>
        <s v="20240712" u="1"/>
        <s v="20240812" u="1"/>
        <s v="20240713" u="1"/>
        <s v="20240813" u="1"/>
        <s v="20240714" u="1"/>
        <s v="20240814" u="1"/>
        <s v="20240715" u="1"/>
        <s v="20240815" u="1"/>
      </sharedItems>
    </cacheField>
    <cacheField name="月份" numFmtId="0">
      <sharedItems containsBlank="1" containsNumber="1" containsInteger="1" containsMixedTypes="1" count="5">
        <n v="5"/>
        <s v="6"/>
        <m/>
        <n v="7" u="1"/>
        <n v="8" u="1"/>
      </sharedItems>
    </cacheField>
    <cacheField name="国家" numFmtId="0"/>
    <cacheField name="国家负责人" numFmtId="0"/>
    <cacheField name="门店名称" numFmtId="0">
      <sharedItems containsBlank="1" count="8">
        <s v="加拿大一店"/>
        <s v="加拿大七店"/>
        <s v="加拿大三店"/>
        <s v="加拿大二店"/>
        <s v="加拿大五店"/>
        <s v="加拿大六店"/>
        <s v="加拿大四店"/>
        <m/>
      </sharedItems>
    </cacheField>
    <cacheField name="开业时间" numFmtId="0"/>
    <cacheField name="节假日" numFmtId="0"/>
    <cacheField name="所有餐位数" numFmtId="0"/>
    <cacheField name="营业桌数" numFmtId="0"/>
    <cacheField name="营业桌数(考核)" numFmtId="0"/>
    <cacheField name="翻台率(考核)" numFmtId="0"/>
    <cacheField name="营业收入(不含税)" numFmtId="0"/>
    <cacheField name="营业桌数(考核)(外卖)" numFmtId="0"/>
    <cacheField name="就餐人数" numFmtId="0"/>
    <cacheField name="优惠总金额(不含税)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2"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  <r>
    <x v="4294967295"/>
    <m/>
    <m/>
    <m/>
    <x v="429496729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00"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  <r>
    <x v="4294967295"/>
    <x v="4294967295"/>
    <m/>
    <m/>
    <m/>
    <x v="4294967295"/>
    <x v="4294967295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1"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6"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  <r>
    <m/>
    <m/>
    <m/>
    <x v="4294967295"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11"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  <r>
    <x v="4294967295"/>
    <x v="4294967295"/>
    <m/>
    <m/>
    <x v="429496729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2" cacheId="4" dataPosition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3:P13" firstHeaderRow="1" firstDataRow="3" firstDataCol="1" rowPageCount="1" colPageCount="1"/>
  <pivotFields count="15">
    <pivotField axis="axisPage" multipleItemSelectionAllowed="1" showAll="0">
      <items count="52">
        <item m="1" x="21"/>
        <item m="1" x="23"/>
        <item m="1" x="25"/>
        <item m="1" x="27"/>
        <item m="1" x="29"/>
        <item m="1" x="31"/>
        <item m="1" x="33"/>
        <item m="1" x="35"/>
        <item m="1" x="37"/>
        <item m="1" x="39"/>
        <item m="1" x="41"/>
        <item m="1" x="43"/>
        <item m="1" x="45"/>
        <item m="1" x="47"/>
        <item m="1" x="22"/>
        <item m="1" x="24"/>
        <item m="1" x="26"/>
        <item m="1" x="28"/>
        <item m="1" x="30"/>
        <item m="1" x="32"/>
        <item m="1" x="34"/>
        <item m="1" x="36"/>
        <item m="1" x="38"/>
        <item m="1" x="40"/>
        <item m="1" x="42"/>
        <item m="1" x="44"/>
        <item m="1" x="46"/>
        <item m="1" x="48"/>
        <item x="20"/>
        <item m="1" x="49"/>
        <item m="1"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6">
        <item h="1" x="2"/>
        <item m="1" x="3"/>
        <item m="1" x="4"/>
        <item x="0"/>
        <item x="1"/>
        <item t="default"/>
      </items>
    </pivotField>
    <pivotField showAll="0"/>
    <pivotField showAll="0"/>
    <pivotField axis="axisRow" showAll="0">
      <items count="9">
        <item x="0"/>
        <item x="3"/>
        <item x="2"/>
        <item x="6"/>
        <item x="4"/>
        <item x="5"/>
        <item x="1"/>
        <item x="7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15">
    <i>
      <x v="3"/>
      <x/>
    </i>
    <i r="1" i="1">
      <x v="1"/>
    </i>
    <i r="1" i="2">
      <x v="2"/>
    </i>
    <i r="1" i="3">
      <x v="3"/>
    </i>
    <i r="1" i="4">
      <x v="4"/>
    </i>
    <i>
      <x v="4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pageFields count="1">
    <pageField fld="0"/>
  </pageFields>
  <dataFields count="5">
    <dataField name="求和项:营业桌数(考核)" fld="9" baseField="0" baseItem="0"/>
    <dataField name="求和项:营业桌数(考核)(外卖)" fld="12" baseField="0" baseItem="0"/>
    <dataField name="求和项:营业桌数" fld="8" baseField="0" baseItem="0"/>
    <dataField name="求和项:就餐人数" fld="13" baseField="0" baseItem="0"/>
    <dataField name="求和项:所有餐位数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3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R1:T9" firstHeaderRow="0" firstDataRow="1" firstDataCol="1"/>
  <pivotFields count="16">
    <pivotField showAll="0"/>
    <pivotField showAll="0"/>
    <pivotField showAll="0"/>
    <pivotField axis="axisRow" showAll="0">
      <items count="9">
        <item x="0"/>
        <item x="3"/>
        <item x="2"/>
        <item x="6"/>
        <item x="4"/>
        <item h="1" x="7"/>
        <item x="5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桌数(考核)" fld="9" baseField="0" baseItem="0"/>
    <dataField name="求和项:所有餐位数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2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R1:T9" firstHeaderRow="0" firstDataRow="1" firstDataCol="1"/>
  <pivotFields count="16">
    <pivotField showAll="0"/>
    <pivotField showAll="0"/>
    <pivotField showAll="0"/>
    <pivotField axis="axisRow" showAll="0">
      <items count="9">
        <item x="0"/>
        <item x="3"/>
        <item x="2"/>
        <item x="6"/>
        <item x="4"/>
        <item h="1" x="7"/>
        <item x="5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桌数(不含员工餐)" fld="8" baseField="0" baseItem="0"/>
    <dataField name="求和项:营业收入(含税)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Q3:S11" firstHeaderRow="0" firstDataRow="1" firstDataCol="1" rowPageCount="1" colPageCount="1"/>
  <pivotFields count="15">
    <pivotField axis="axisPage" multipleItemSelectionAllowed="1" showAll="0">
      <items count="46"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m="1" x="37"/>
        <item h="1" m="1" x="38"/>
        <item h="1" m="1" x="39"/>
        <item h="1" m="1" x="40"/>
        <item h="1" m="1" x="41"/>
        <item h="1" m="1" x="42"/>
        <item h="1" m="1" x="43"/>
        <item x="21"/>
        <item h="1"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axis="axisRow" showAll="0">
      <items count="9">
        <item x="0"/>
        <item x="3"/>
        <item x="2"/>
        <item x="6"/>
        <item x="4"/>
        <item x="5"/>
        <item x="1"/>
        <item h="1" x="7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/>
  </pageFields>
  <dataFields count="2">
    <dataField name="求和项:营业桌数(考核)" fld="9" baseField="0" baseItem="0"/>
    <dataField name="求和项:所以餐位数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4:G42" firstHeaderRow="1" firstDataRow="3" firstDataCol="1" rowPageCount="1" colPageCount="1"/>
  <pivotFields count="11">
    <pivotField axis="axisPage" multipleItemSelectionAllowed="1" showAll="0">
      <items count="62">
        <item h="1" m="1" x="31"/>
        <item h="1" m="1" x="34"/>
        <item h="1" m="1" x="36"/>
        <item h="1" m="1" x="38"/>
        <item h="1" m="1" x="40"/>
        <item h="1" m="1" x="42"/>
        <item h="1" m="1" x="44"/>
        <item h="1" m="1" x="46"/>
        <item h="1" m="1" x="48"/>
        <item h="1" m="1" x="50"/>
        <item h="1" m="1" x="52"/>
        <item h="1" m="1" x="54"/>
        <item h="1" m="1" x="56"/>
        <item h="1" m="1" x="58"/>
        <item h="1" m="1" x="32"/>
        <item h="1" m="1" x="33"/>
        <item h="1" m="1" x="35"/>
        <item h="1" m="1" x="37"/>
        <item h="1" m="1" x="39"/>
        <item h="1" m="1" x="41"/>
        <item h="1" m="1" x="43"/>
        <item h="1" m="1" x="45"/>
        <item h="1" m="1" x="47"/>
        <item h="1" m="1" x="49"/>
        <item h="1" m="1" x="51"/>
        <item h="1" m="1" x="53"/>
        <item h="1" m="1" x="55"/>
        <item h="1" m="1" x="57"/>
        <item x="30"/>
        <item m="1" x="59"/>
        <item h="1" m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multipleItemSelectionAllowed="1" showAll="0">
      <items count="5">
        <item h="1" x="1"/>
        <item x="2"/>
        <item h="1" x="3"/>
        <item x="0"/>
        <item t="default"/>
      </items>
    </pivotField>
    <pivotField showAll="0"/>
    <pivotField showAll="0"/>
    <pivotField showAll="0"/>
    <pivotField axis="axisRow" showAll="0">
      <items count="9">
        <item x="0"/>
        <item x="3"/>
        <item x="2"/>
        <item x="6"/>
        <item x="4"/>
        <item x="5"/>
        <item x="1"/>
        <item x="7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  <pivotField showAll="0"/>
  </pivotFields>
  <rowFields count="2">
    <field x="5"/>
    <field x="6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2">
    <field x="-2"/>
    <field x="1"/>
  </colFields>
  <colItems count="6">
    <i>
      <x/>
      <x v="1"/>
    </i>
    <i r="1">
      <x v="3"/>
    </i>
    <i i="1">
      <x v="1"/>
      <x v="1"/>
    </i>
    <i r="1" i="1">
      <x v="3"/>
    </i>
    <i t="grand">
      <x/>
    </i>
    <i t="grand">
      <x/>
    </i>
  </colItems>
  <pageFields count="1">
    <pageField fld="0"/>
  </pageFields>
  <dataFields count="2">
    <dataField name="求和项:所有餐位数" fld="8" baseField="0" baseItem="0"/>
    <dataField name="求和项:营业桌数(考核)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J29"/>
  <sheetViews>
    <sheetView tabSelected="1" zoomScale="89" zoomScaleNormal="89" workbookViewId="0">
      <selection activeCell="C23" sqref="C23"/>
    </sheetView>
  </sheetViews>
  <sheetFormatPr defaultColWidth="9" defaultRowHeight="16.8"/>
  <cols>
    <col min="1" max="1" width="13.5859375" customWidth="1"/>
    <col min="2" max="2" width="20.5" customWidth="1"/>
    <col min="3" max="5" width="9.9140625" customWidth="1"/>
    <col min="6" max="9" width="10.5859375" customWidth="1"/>
    <col min="10" max="10" width="17.4140625" customWidth="1"/>
  </cols>
  <sheetData>
    <row r="1" ht="18.35" spans="1:10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228"/>
    </row>
    <row r="2" ht="17.55" spans="1:10">
      <c r="A2" s="188" t="s">
        <v>1</v>
      </c>
      <c r="B2" s="189" t="s">
        <v>2</v>
      </c>
      <c r="C2" s="189" t="s">
        <v>3</v>
      </c>
      <c r="D2" s="189" t="s">
        <v>4</v>
      </c>
      <c r="E2" s="189" t="s">
        <v>5</v>
      </c>
      <c r="F2" s="189" t="s">
        <v>6</v>
      </c>
      <c r="G2" s="189" t="s">
        <v>7</v>
      </c>
      <c r="H2" s="189" t="s">
        <v>8</v>
      </c>
      <c r="I2" s="189" t="s">
        <v>9</v>
      </c>
      <c r="J2" s="229" t="s">
        <v>10</v>
      </c>
    </row>
    <row r="3" ht="14.5" customHeight="1" spans="1:10">
      <c r="A3" s="190" t="s">
        <v>11</v>
      </c>
      <c r="B3" s="191" t="s">
        <v>12</v>
      </c>
      <c r="C3" s="192">
        <v>188.8</v>
      </c>
      <c r="D3" s="193">
        <v>76</v>
      </c>
      <c r="E3" s="193">
        <v>190.8</v>
      </c>
      <c r="F3" s="193">
        <v>166</v>
      </c>
      <c r="G3" s="193">
        <v>248.9</v>
      </c>
      <c r="H3" s="193">
        <v>136.4</v>
      </c>
      <c r="I3" s="193">
        <v>177.2</v>
      </c>
      <c r="J3" s="230">
        <f>SUM(C3:I3)</f>
        <v>1184.1</v>
      </c>
    </row>
    <row r="4" spans="1:10">
      <c r="A4" s="194"/>
      <c r="B4" s="195" t="s">
        <v>13</v>
      </c>
      <c r="C4" s="196">
        <v>2.7</v>
      </c>
      <c r="D4" s="197">
        <v>2</v>
      </c>
      <c r="E4" s="197">
        <v>1</v>
      </c>
      <c r="F4" s="197">
        <v>0.7</v>
      </c>
      <c r="G4" s="197">
        <v>1</v>
      </c>
      <c r="H4" s="197">
        <v>0</v>
      </c>
      <c r="I4" s="197">
        <v>0</v>
      </c>
      <c r="J4" s="231">
        <f>SUM(C4:I4)</f>
        <v>7.4</v>
      </c>
    </row>
    <row r="5" spans="1:10">
      <c r="A5" s="194"/>
      <c r="B5" s="195" t="s">
        <v>14</v>
      </c>
      <c r="C5" s="196">
        <v>10.2</v>
      </c>
      <c r="D5" s="197">
        <v>8</v>
      </c>
      <c r="E5" s="197">
        <v>7.19999999999999</v>
      </c>
      <c r="F5" s="197">
        <v>4.00000000000003</v>
      </c>
      <c r="G5" s="197">
        <v>9.10000000000002</v>
      </c>
      <c r="H5" s="197">
        <v>10.6</v>
      </c>
      <c r="I5" s="197">
        <v>8.80000000000001</v>
      </c>
      <c r="J5" s="231">
        <f>SUM(C5:I5)</f>
        <v>57.9</v>
      </c>
    </row>
    <row r="6" spans="1:10">
      <c r="A6" s="194"/>
      <c r="B6" s="195" t="s">
        <v>15</v>
      </c>
      <c r="C6" s="196">
        <v>2009.9</v>
      </c>
      <c r="D6" s="197">
        <v>1032.7</v>
      </c>
      <c r="E6" s="197">
        <v>2339</v>
      </c>
      <c r="F6" s="197">
        <v>2361.5</v>
      </c>
      <c r="G6" s="197">
        <v>2425</v>
      </c>
      <c r="H6" s="197">
        <v>1667.8</v>
      </c>
      <c r="I6" s="197">
        <v>1915.8</v>
      </c>
      <c r="J6" s="231">
        <f>SUM(C6:I6)</f>
        <v>13751.7</v>
      </c>
    </row>
    <row r="7" spans="1:10">
      <c r="A7" s="194"/>
      <c r="B7" s="195" t="s">
        <v>16</v>
      </c>
      <c r="C7" s="196">
        <v>2219.4</v>
      </c>
      <c r="D7" s="197">
        <v>1213.9</v>
      </c>
      <c r="E7" s="197">
        <v>2433.9</v>
      </c>
      <c r="F7" s="197">
        <v>2766.2</v>
      </c>
      <c r="G7" s="197">
        <v>2725.6</v>
      </c>
      <c r="H7" s="197">
        <v>2038.5</v>
      </c>
      <c r="I7" s="197">
        <v>2192.4</v>
      </c>
      <c r="J7" s="231">
        <f>SUM(C7:I7)</f>
        <v>15589.9</v>
      </c>
    </row>
    <row r="8" ht="17.55" spans="1:10">
      <c r="A8" s="198"/>
      <c r="B8" s="199" t="s">
        <v>17</v>
      </c>
      <c r="C8" s="200" t="s">
        <v>18</v>
      </c>
      <c r="D8" s="201" t="s">
        <v>19</v>
      </c>
      <c r="E8" s="201" t="s">
        <v>20</v>
      </c>
      <c r="F8" s="201" t="s">
        <v>21</v>
      </c>
      <c r="G8" s="201" t="s">
        <v>22</v>
      </c>
      <c r="H8" s="201" t="s">
        <v>23</v>
      </c>
      <c r="I8" s="201" t="s">
        <v>24</v>
      </c>
      <c r="J8" s="232" t="s">
        <v>25</v>
      </c>
    </row>
    <row r="9" ht="14" customHeight="1" spans="1:10">
      <c r="A9" s="190" t="s">
        <v>26</v>
      </c>
      <c r="B9" s="191" t="s">
        <v>27</v>
      </c>
      <c r="C9" s="202">
        <v>2.614664</v>
      </c>
      <c r="D9" s="203">
        <v>1.097667</v>
      </c>
      <c r="E9" s="203">
        <v>2.405718</v>
      </c>
      <c r="F9" s="203">
        <v>1.961853</v>
      </c>
      <c r="G9" s="203">
        <v>3.301498</v>
      </c>
      <c r="H9" s="203">
        <v>1.606719</v>
      </c>
      <c r="I9" s="203">
        <v>2.334567</v>
      </c>
      <c r="J9" s="233">
        <f t="shared" ref="J9:J13" si="0">SUM(C9:I9)</f>
        <v>15.322686</v>
      </c>
    </row>
    <row r="10" spans="1:10">
      <c r="A10" s="204"/>
      <c r="B10" s="205" t="s">
        <v>28</v>
      </c>
      <c r="C10" s="206">
        <v>31.209183</v>
      </c>
      <c r="D10" s="207">
        <v>15.025883</v>
      </c>
      <c r="E10" s="207">
        <v>30.108325</v>
      </c>
      <c r="F10" s="207">
        <v>30.659877</v>
      </c>
      <c r="G10" s="207">
        <v>33.479293</v>
      </c>
      <c r="H10" s="207">
        <v>21.640455</v>
      </c>
      <c r="I10" s="207">
        <v>27.499755</v>
      </c>
      <c r="J10" s="234">
        <f t="shared" si="0"/>
        <v>189.622771</v>
      </c>
    </row>
    <row r="11" spans="1:10">
      <c r="A11" s="204"/>
      <c r="B11" s="195" t="s">
        <v>29</v>
      </c>
      <c r="C11" s="208">
        <v>33.740449</v>
      </c>
      <c r="D11" s="209">
        <v>17.148154</v>
      </c>
      <c r="E11" s="209">
        <v>31.631194</v>
      </c>
      <c r="F11" s="209">
        <v>38.194233</v>
      </c>
      <c r="G11" s="209">
        <v>39.59826</v>
      </c>
      <c r="H11" s="209">
        <v>26.588432</v>
      </c>
      <c r="I11" s="209">
        <v>32.873486</v>
      </c>
      <c r="J11" s="235">
        <f t="shared" si="0"/>
        <v>219.774208</v>
      </c>
    </row>
    <row r="12" spans="1:10">
      <c r="A12" s="204"/>
      <c r="B12" s="195" t="s">
        <v>30</v>
      </c>
      <c r="C12" s="208">
        <f t="shared" ref="C12:I12" si="1">C10-C11</f>
        <v>-2.53126599999999</v>
      </c>
      <c r="D12" s="209">
        <f t="shared" si="1"/>
        <v>-2.122271</v>
      </c>
      <c r="E12" s="209">
        <f t="shared" si="1"/>
        <v>-1.522869</v>
      </c>
      <c r="F12" s="209">
        <f t="shared" si="1"/>
        <v>-7.534356</v>
      </c>
      <c r="G12" s="209">
        <f t="shared" si="1"/>
        <v>-6.11896699999999</v>
      </c>
      <c r="H12" s="209">
        <f t="shared" si="1"/>
        <v>-4.94797699999999</v>
      </c>
      <c r="I12" s="209">
        <f t="shared" si="1"/>
        <v>-5.373731</v>
      </c>
      <c r="J12" s="235">
        <f t="shared" si="0"/>
        <v>-30.151437</v>
      </c>
    </row>
    <row r="13" spans="1:10">
      <c r="A13" s="204"/>
      <c r="B13" s="195" t="s">
        <v>31</v>
      </c>
      <c r="C13" s="208">
        <v>101.49</v>
      </c>
      <c r="D13" s="209">
        <v>53</v>
      </c>
      <c r="E13" s="209">
        <v>92.85</v>
      </c>
      <c r="F13" s="209">
        <v>110</v>
      </c>
      <c r="G13" s="209">
        <v>114.4</v>
      </c>
      <c r="H13" s="209">
        <v>71</v>
      </c>
      <c r="I13" s="209">
        <v>98</v>
      </c>
      <c r="J13" s="235">
        <f t="shared" si="0"/>
        <v>640.74</v>
      </c>
    </row>
    <row r="14" spans="1:10">
      <c r="A14" s="204"/>
      <c r="B14" s="205" t="s">
        <v>32</v>
      </c>
      <c r="C14" s="210">
        <f t="shared" ref="C14:J14" si="2">IFERROR(C10/C13,0)</f>
        <v>0.307509932013006</v>
      </c>
      <c r="D14" s="211">
        <f t="shared" si="2"/>
        <v>0.283507226415094</v>
      </c>
      <c r="E14" s="211">
        <f t="shared" si="2"/>
        <v>0.324268443726441</v>
      </c>
      <c r="F14" s="211">
        <f t="shared" si="2"/>
        <v>0.278726154545454</v>
      </c>
      <c r="G14" s="211">
        <f t="shared" si="2"/>
        <v>0.292651162587413</v>
      </c>
      <c r="H14" s="211">
        <f t="shared" si="2"/>
        <v>0.30479514084507</v>
      </c>
      <c r="I14" s="211">
        <f t="shared" si="2"/>
        <v>0.280609744897959</v>
      </c>
      <c r="J14" s="236">
        <f t="shared" si="2"/>
        <v>0.295943395136873</v>
      </c>
    </row>
    <row r="15" spans="1:10">
      <c r="A15" s="204"/>
      <c r="B15" s="195" t="s">
        <v>33</v>
      </c>
      <c r="C15" s="212">
        <v>0.333333333333333</v>
      </c>
      <c r="D15" s="213">
        <v>0.333333333333333</v>
      </c>
      <c r="E15" s="213">
        <v>0.333333333333333</v>
      </c>
      <c r="F15" s="213">
        <v>0.333333333333333</v>
      </c>
      <c r="G15" s="213">
        <v>0.333333333333333</v>
      </c>
      <c r="H15" s="213">
        <v>0.333333333333333</v>
      </c>
      <c r="I15" s="213">
        <v>0.333333333333333</v>
      </c>
      <c r="J15" s="237">
        <v>0.333333333333333</v>
      </c>
    </row>
    <row r="16" spans="1:10">
      <c r="A16" s="204"/>
      <c r="B16" s="195" t="s">
        <v>34</v>
      </c>
      <c r="C16" s="208">
        <v>2.470407</v>
      </c>
      <c r="D16" s="209">
        <v>1.482385</v>
      </c>
      <c r="E16" s="209">
        <v>2.073459</v>
      </c>
      <c r="F16" s="209">
        <v>1.72099600000001</v>
      </c>
      <c r="G16" s="209">
        <v>2.142662</v>
      </c>
      <c r="H16" s="209">
        <v>1.069269</v>
      </c>
      <c r="I16" s="209">
        <v>2.128414</v>
      </c>
      <c r="J16" s="235">
        <v>13.087592</v>
      </c>
    </row>
    <row r="17" ht="17.55" spans="1:10">
      <c r="A17" s="214"/>
      <c r="B17" s="215" t="s">
        <v>35</v>
      </c>
      <c r="C17" s="216">
        <f t="shared" ref="C17:J17" si="3">C16/C10</f>
        <v>0.0791564136747828</v>
      </c>
      <c r="D17" s="217">
        <f t="shared" si="3"/>
        <v>0.0986554334277726</v>
      </c>
      <c r="E17" s="217">
        <f t="shared" si="3"/>
        <v>0.0688666340621738</v>
      </c>
      <c r="F17" s="217">
        <f t="shared" si="3"/>
        <v>0.0561318624989919</v>
      </c>
      <c r="G17" s="217">
        <f t="shared" si="3"/>
        <v>0.0639996191078468</v>
      </c>
      <c r="H17" s="217">
        <f t="shared" si="3"/>
        <v>0.0494106524100347</v>
      </c>
      <c r="I17" s="217">
        <f t="shared" si="3"/>
        <v>0.0773975622691911</v>
      </c>
      <c r="J17" s="238">
        <f t="shared" si="3"/>
        <v>0.0690190947584033</v>
      </c>
    </row>
    <row r="18" ht="14" customHeight="1" spans="1:10">
      <c r="A18" s="218" t="s">
        <v>36</v>
      </c>
      <c r="B18" s="191" t="s">
        <v>37</v>
      </c>
      <c r="C18" s="219">
        <f t="shared" ref="C18:J18" si="4">IFERROR(C9/C19*10000,0)</f>
        <v>43.505224625624</v>
      </c>
      <c r="D18" s="220">
        <f t="shared" si="4"/>
        <v>48.3553744493392</v>
      </c>
      <c r="E18" s="220">
        <f t="shared" si="4"/>
        <v>40.0953</v>
      </c>
      <c r="F18" s="220">
        <f t="shared" si="4"/>
        <v>42.3726349892009</v>
      </c>
      <c r="G18" s="220">
        <f t="shared" si="4"/>
        <v>47.0969757489301</v>
      </c>
      <c r="H18" s="220">
        <f t="shared" si="4"/>
        <v>42.6185411140583</v>
      </c>
      <c r="I18" s="220">
        <f t="shared" si="4"/>
        <v>45.068861003861</v>
      </c>
      <c r="J18" s="239">
        <f t="shared" si="4"/>
        <v>43.94231717809</v>
      </c>
    </row>
    <row r="19" spans="1:10">
      <c r="A19" s="221"/>
      <c r="B19" s="195" t="s">
        <v>38</v>
      </c>
      <c r="C19" s="222">
        <v>601</v>
      </c>
      <c r="D19" s="197">
        <v>227</v>
      </c>
      <c r="E19" s="197">
        <v>600</v>
      </c>
      <c r="F19" s="197">
        <v>463</v>
      </c>
      <c r="G19" s="197">
        <v>701</v>
      </c>
      <c r="H19" s="197">
        <v>377</v>
      </c>
      <c r="I19" s="197">
        <v>518</v>
      </c>
      <c r="J19" s="231">
        <f>SUM(C19:I19)</f>
        <v>3487</v>
      </c>
    </row>
    <row r="20" spans="1:10">
      <c r="A20" s="221"/>
      <c r="B20" s="195" t="s">
        <v>39</v>
      </c>
      <c r="C20" s="223">
        <v>131.390150753769</v>
      </c>
      <c r="D20" s="209">
        <v>130.674642857143</v>
      </c>
      <c r="E20" s="209">
        <v>121.500909090909</v>
      </c>
      <c r="F20" s="209">
        <v>115.403117647059</v>
      </c>
      <c r="G20" s="209">
        <v>127.96503875969</v>
      </c>
      <c r="H20" s="209">
        <v>109.300612244898</v>
      </c>
      <c r="I20" s="209">
        <v>125.51435483871</v>
      </c>
      <c r="J20" s="235">
        <v>123.371062801932</v>
      </c>
    </row>
    <row r="21" spans="1:10">
      <c r="A21" s="221"/>
      <c r="B21" s="205" t="s">
        <v>40</v>
      </c>
      <c r="C21" s="224">
        <v>148.191752136752</v>
      </c>
      <c r="D21" s="207">
        <v>135.735167118338</v>
      </c>
      <c r="E21" s="207">
        <v>124.465998346424</v>
      </c>
      <c r="F21" s="207">
        <v>125.913252566735</v>
      </c>
      <c r="G21" s="207">
        <v>132.696365437971</v>
      </c>
      <c r="H21" s="207">
        <v>120.492511135857</v>
      </c>
      <c r="I21" s="207">
        <v>137.224326347305</v>
      </c>
      <c r="J21" s="234">
        <v>131.773989576095</v>
      </c>
    </row>
    <row r="22" spans="1:10">
      <c r="A22" s="221"/>
      <c r="B22" s="195" t="s">
        <v>41</v>
      </c>
      <c r="C22" s="223">
        <v>147.363593552908</v>
      </c>
      <c r="D22" s="209">
        <v>140.390845795538</v>
      </c>
      <c r="E22" s="209">
        <v>126.066591681925</v>
      </c>
      <c r="F22" s="209">
        <v>134.177358940713</v>
      </c>
      <c r="G22" s="209">
        <v>137.785988330555</v>
      </c>
      <c r="H22" s="209">
        <v>126.163015107682</v>
      </c>
      <c r="I22" s="209">
        <v>144.230536941581</v>
      </c>
      <c r="J22" s="235">
        <v>136.389676745757</v>
      </c>
    </row>
    <row r="23" ht="17.55" spans="1:10">
      <c r="A23" s="221"/>
      <c r="B23" s="195" t="s">
        <v>42</v>
      </c>
      <c r="C23" s="223">
        <f t="shared" ref="C23:J23" si="5">C21-C22</f>
        <v>0.828158583844015</v>
      </c>
      <c r="D23" s="223">
        <f t="shared" si="5"/>
        <v>-4.6556786772</v>
      </c>
      <c r="E23" s="223">
        <f t="shared" si="5"/>
        <v>-1.600593335501</v>
      </c>
      <c r="F23" s="223">
        <f t="shared" si="5"/>
        <v>-8.264106373978</v>
      </c>
      <c r="G23" s="223">
        <f t="shared" si="5"/>
        <v>-5.089622892584</v>
      </c>
      <c r="H23" s="223">
        <f t="shared" si="5"/>
        <v>-5.670503971825</v>
      </c>
      <c r="I23" s="223">
        <f t="shared" si="5"/>
        <v>-7.00621059427598</v>
      </c>
      <c r="J23" s="235">
        <f t="shared" si="5"/>
        <v>-4.61568716966198</v>
      </c>
    </row>
    <row r="24" ht="17.55" spans="1:10">
      <c r="A24" s="225" t="s">
        <v>43</v>
      </c>
      <c r="B24" s="189" t="s">
        <v>44</v>
      </c>
      <c r="C24" s="189" t="s">
        <v>45</v>
      </c>
      <c r="D24" s="189" t="s">
        <v>46</v>
      </c>
      <c r="E24" s="189" t="s">
        <v>47</v>
      </c>
      <c r="F24" s="189" t="s">
        <v>48</v>
      </c>
      <c r="G24" s="189" t="s">
        <v>49</v>
      </c>
      <c r="H24" s="189" t="s">
        <v>50</v>
      </c>
      <c r="I24" s="189" t="s">
        <v>51</v>
      </c>
      <c r="J24" s="229" t="s">
        <v>52</v>
      </c>
    </row>
    <row r="25" ht="14" customHeight="1" spans="1:10">
      <c r="A25" s="204"/>
      <c r="B25" s="195" t="s">
        <v>53</v>
      </c>
      <c r="C25" s="222" t="s">
        <v>7</v>
      </c>
      <c r="D25" s="197" t="s">
        <v>5</v>
      </c>
      <c r="E25" s="197" t="s">
        <v>3</v>
      </c>
      <c r="F25" s="197" t="s">
        <v>9</v>
      </c>
      <c r="G25" s="197" t="s">
        <v>8</v>
      </c>
      <c r="H25" s="197" t="s">
        <v>6</v>
      </c>
      <c r="I25" s="197" t="s">
        <v>4</v>
      </c>
      <c r="J25" s="240">
        <v>3.67</v>
      </c>
    </row>
    <row r="26" ht="14" customHeight="1" spans="1:10">
      <c r="A26" s="204"/>
      <c r="B26" s="195"/>
      <c r="C26" s="222">
        <v>4.53</v>
      </c>
      <c r="D26" s="197">
        <v>3.98</v>
      </c>
      <c r="E26" s="197">
        <v>3.56</v>
      </c>
      <c r="F26" s="197">
        <v>3.11</v>
      </c>
      <c r="G26" s="197">
        <v>2.44</v>
      </c>
      <c r="H26" s="197">
        <v>2.37</v>
      </c>
      <c r="I26" s="197">
        <v>2.11</v>
      </c>
      <c r="J26" s="240"/>
    </row>
    <row r="27" ht="14" customHeight="1" spans="1:10">
      <c r="A27" s="204"/>
      <c r="B27" s="195" t="s">
        <v>54</v>
      </c>
      <c r="C27" s="222" t="s">
        <v>5</v>
      </c>
      <c r="D27" s="197" t="s">
        <v>7</v>
      </c>
      <c r="E27" s="197" t="s">
        <v>3</v>
      </c>
      <c r="F27" s="197" t="s">
        <v>6</v>
      </c>
      <c r="G27" s="197" t="s">
        <v>9</v>
      </c>
      <c r="H27" s="197" t="s">
        <v>8</v>
      </c>
      <c r="I27" s="197" t="s">
        <v>4</v>
      </c>
      <c r="J27" s="240"/>
    </row>
    <row r="28" ht="14.5" customHeight="1" spans="1:10">
      <c r="A28" s="214"/>
      <c r="B28" s="215"/>
      <c r="C28" s="226">
        <v>4.87</v>
      </c>
      <c r="D28" s="227">
        <v>4.41</v>
      </c>
      <c r="E28" s="227">
        <v>3.79</v>
      </c>
      <c r="F28" s="227">
        <v>3.37</v>
      </c>
      <c r="G28" s="227">
        <v>3.36</v>
      </c>
      <c r="H28" s="227">
        <v>2.98</v>
      </c>
      <c r="I28" s="227">
        <v>2.87</v>
      </c>
      <c r="J28" s="241"/>
    </row>
    <row r="29" spans="1:1">
      <c r="A29" s="76"/>
    </row>
  </sheetData>
  <mergeCells count="8">
    <mergeCell ref="A1:J1"/>
    <mergeCell ref="A3:A8"/>
    <mergeCell ref="A9:A17"/>
    <mergeCell ref="A18:A23"/>
    <mergeCell ref="A24:A28"/>
    <mergeCell ref="B25:B26"/>
    <mergeCell ref="B27:B28"/>
    <mergeCell ref="J25:J28"/>
  </mergeCells>
  <conditionalFormatting sqref="C8:J8">
    <cfRule type="containsText" dxfId="0" priority="1" operator="between" text="上升">
      <formula>NOT(ISERROR(SEARCH("上升",C8)))</formula>
    </cfRule>
    <cfRule type="containsText" dxfId="1" priority="2" operator="between" text="下降">
      <formula>NOT(ISERROR(SEARCH("下降",C8)))</formula>
    </cfRule>
    <cfRule type="cellIs" dxfId="1" priority="3" operator="equal">
      <formula>"下降"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Q27"/>
  <sheetViews>
    <sheetView zoomScale="130" zoomScaleNormal="130" workbookViewId="0">
      <selection activeCell="J24" sqref="J24"/>
    </sheetView>
  </sheetViews>
  <sheetFormatPr defaultColWidth="9" defaultRowHeight="16.8"/>
  <cols>
    <col min="1" max="1" width="12.75" style="44" customWidth="1"/>
    <col min="2" max="2" width="13.3359375" style="44" customWidth="1"/>
    <col min="3" max="5" width="10" customWidth="1"/>
    <col min="6" max="6" width="11.3359375" customWidth="1"/>
    <col min="7" max="7" width="10.4140625" customWidth="1"/>
    <col min="8" max="8" width="11.3359375" customWidth="1"/>
    <col min="9" max="9" width="10" customWidth="1"/>
    <col min="10" max="10" width="21" customWidth="1"/>
    <col min="12" max="12" width="9.25" style="120" customWidth="1"/>
    <col min="13" max="13" width="17" style="120" customWidth="1"/>
    <col min="14" max="14" width="21.1640625" style="120" customWidth="1"/>
    <col min="15" max="15" width="16.25" style="121" customWidth="1"/>
  </cols>
  <sheetData>
    <row r="1" s="44" customFormat="1" ht="17.55" spans="1:15">
      <c r="A1" s="122" t="s">
        <v>55</v>
      </c>
      <c r="B1" s="123"/>
      <c r="C1" s="123"/>
      <c r="D1" s="123"/>
      <c r="E1" s="123"/>
      <c r="F1" s="123"/>
      <c r="G1" s="123"/>
      <c r="H1" s="123"/>
      <c r="I1" s="123"/>
      <c r="J1" s="157"/>
      <c r="L1" s="158" t="s">
        <v>56</v>
      </c>
      <c r="M1" s="174"/>
      <c r="N1" s="175"/>
      <c r="O1" s="176"/>
    </row>
    <row r="2" s="44" customFormat="1" ht="15" customHeight="1" spans="1:15">
      <c r="A2" s="124" t="s">
        <v>57</v>
      </c>
      <c r="B2" s="125" t="s">
        <v>2</v>
      </c>
      <c r="C2" s="126" t="s">
        <v>58</v>
      </c>
      <c r="D2" s="127"/>
      <c r="E2" s="147"/>
      <c r="F2" s="126" t="s">
        <v>59</v>
      </c>
      <c r="G2" s="127"/>
      <c r="H2" s="127"/>
      <c r="I2" s="147"/>
      <c r="J2" s="159" t="s">
        <v>10</v>
      </c>
      <c r="L2" s="160" t="s">
        <v>60</v>
      </c>
      <c r="M2" s="160" t="s">
        <v>61</v>
      </c>
      <c r="N2" s="160" t="s">
        <v>62</v>
      </c>
      <c r="O2" s="177" t="s">
        <v>63</v>
      </c>
    </row>
    <row r="3" s="44" customFormat="1" ht="15" customHeight="1" spans="1:15">
      <c r="A3" s="128"/>
      <c r="B3" s="129"/>
      <c r="C3" s="128" t="s">
        <v>3</v>
      </c>
      <c r="D3" s="130" t="s">
        <v>4</v>
      </c>
      <c r="E3" s="129" t="s">
        <v>9</v>
      </c>
      <c r="F3" s="148" t="s">
        <v>5</v>
      </c>
      <c r="G3" s="149" t="s">
        <v>6</v>
      </c>
      <c r="H3" s="149" t="s">
        <v>7</v>
      </c>
      <c r="I3" s="161" t="s">
        <v>8</v>
      </c>
      <c r="J3" s="162"/>
      <c r="L3" s="163">
        <v>1</v>
      </c>
      <c r="M3" s="163" t="s">
        <v>64</v>
      </c>
      <c r="N3" s="178">
        <v>5.57</v>
      </c>
      <c r="O3" s="121" t="s">
        <v>65</v>
      </c>
    </row>
    <row r="4" ht="15" customHeight="1" spans="1:15">
      <c r="A4" s="131" t="s">
        <v>66</v>
      </c>
      <c r="B4" s="132" t="s">
        <v>67</v>
      </c>
      <c r="C4" s="133">
        <f>对比上月表!C6</f>
        <v>2009.9</v>
      </c>
      <c r="D4" s="134">
        <f>对比上月表!D6</f>
        <v>1032.7</v>
      </c>
      <c r="E4" s="150">
        <f>对比上月表!I6</f>
        <v>1915.8</v>
      </c>
      <c r="F4" s="133">
        <f>对比上月表!E6</f>
        <v>2339</v>
      </c>
      <c r="G4" s="134">
        <f>对比上月表!F6</f>
        <v>2361.5</v>
      </c>
      <c r="H4" s="134">
        <f>对比上月表!G6</f>
        <v>2425</v>
      </c>
      <c r="I4" s="152">
        <f>对比上月表!H6</f>
        <v>1667.8</v>
      </c>
      <c r="J4" s="164">
        <f>SUM(C4:E4,F4:I4)</f>
        <v>13751.7</v>
      </c>
      <c r="L4" s="163">
        <v>2</v>
      </c>
      <c r="M4" s="163" t="s">
        <v>68</v>
      </c>
      <c r="N4" s="178">
        <v>5.03</v>
      </c>
      <c r="O4" s="121" t="s">
        <v>69</v>
      </c>
    </row>
    <row r="5" ht="15" customHeight="1" spans="1:15">
      <c r="A5" s="135"/>
      <c r="B5" s="136" t="s">
        <v>70</v>
      </c>
      <c r="C5" s="137">
        <v>2382</v>
      </c>
      <c r="D5" s="138">
        <v>1224</v>
      </c>
      <c r="E5" s="151">
        <v>1962</v>
      </c>
      <c r="F5" s="137">
        <v>2856</v>
      </c>
      <c r="G5" s="138">
        <v>3111</v>
      </c>
      <c r="H5" s="138">
        <v>2813</v>
      </c>
      <c r="I5" s="155">
        <v>1482</v>
      </c>
      <c r="J5" s="165">
        <f>SUM(C5:E5,F5:I5)</f>
        <v>15830</v>
      </c>
      <c r="L5" s="163">
        <v>3</v>
      </c>
      <c r="M5" s="163" t="s">
        <v>71</v>
      </c>
      <c r="N5" s="178">
        <v>4.53</v>
      </c>
      <c r="O5" s="179" t="s">
        <v>72</v>
      </c>
    </row>
    <row r="6" ht="15" customHeight="1" spans="1:15">
      <c r="A6" s="135"/>
      <c r="B6" s="136" t="s">
        <v>73</v>
      </c>
      <c r="C6" s="137">
        <f t="shared" ref="C6:I6" si="0">C4-C5</f>
        <v>-372.1</v>
      </c>
      <c r="D6" s="138">
        <f t="shared" si="0"/>
        <v>-191.3</v>
      </c>
      <c r="E6" s="138">
        <f t="shared" si="0"/>
        <v>-46.2</v>
      </c>
      <c r="F6" s="137">
        <f t="shared" si="0"/>
        <v>-517</v>
      </c>
      <c r="G6" s="138">
        <f t="shared" si="0"/>
        <v>-749.5</v>
      </c>
      <c r="H6" s="138">
        <f t="shared" si="0"/>
        <v>-388</v>
      </c>
      <c r="I6" s="155">
        <f t="shared" si="0"/>
        <v>185.8</v>
      </c>
      <c r="J6" s="165">
        <f>SUM(C6:I6)</f>
        <v>-2078.3</v>
      </c>
      <c r="L6" s="166">
        <v>4</v>
      </c>
      <c r="M6" s="163" t="s">
        <v>74</v>
      </c>
      <c r="N6" s="178">
        <v>4.46</v>
      </c>
      <c r="O6" s="121" t="s">
        <v>75</v>
      </c>
    </row>
    <row r="7" s="119" customFormat="1" ht="15" customHeight="1" spans="1:15">
      <c r="A7" s="139"/>
      <c r="B7" s="140" t="s">
        <v>76</v>
      </c>
      <c r="C7" s="141">
        <f t="shared" ref="C7:J7" si="1">C6/C5</f>
        <v>-0.156213266162888</v>
      </c>
      <c r="D7" s="142">
        <f t="shared" si="1"/>
        <v>-0.156290849673203</v>
      </c>
      <c r="E7" s="142">
        <f t="shared" si="1"/>
        <v>-0.0235474006116208</v>
      </c>
      <c r="F7" s="141">
        <f t="shared" si="1"/>
        <v>-0.181022408963585</v>
      </c>
      <c r="G7" s="142">
        <f t="shared" si="1"/>
        <v>-0.240919318547091</v>
      </c>
      <c r="H7" s="142">
        <f t="shared" si="1"/>
        <v>-0.137931034482759</v>
      </c>
      <c r="I7" s="142">
        <f t="shared" si="1"/>
        <v>0.125371120107962</v>
      </c>
      <c r="J7" s="167">
        <f t="shared" si="1"/>
        <v>-0.131288692356286</v>
      </c>
      <c r="L7" s="163">
        <v>5</v>
      </c>
      <c r="M7" s="163" t="s">
        <v>77</v>
      </c>
      <c r="N7" s="178">
        <v>3.97</v>
      </c>
      <c r="O7" s="121" t="s">
        <v>78</v>
      </c>
    </row>
    <row r="8" ht="15" customHeight="1" spans="1:15">
      <c r="A8" s="131" t="s">
        <v>79</v>
      </c>
      <c r="B8" s="132" t="s">
        <v>67</v>
      </c>
      <c r="C8" s="133">
        <v>3.7922641509434</v>
      </c>
      <c r="D8" s="134">
        <v>2.86861111111111</v>
      </c>
      <c r="E8" s="152">
        <v>3.36105263157895</v>
      </c>
      <c r="F8" s="153">
        <v>4.87291666666667</v>
      </c>
      <c r="G8" s="154">
        <v>3.37357142857143</v>
      </c>
      <c r="H8" s="154">
        <v>4.40909090909091</v>
      </c>
      <c r="I8" s="168">
        <v>2.97821428571428</v>
      </c>
      <c r="J8" s="169">
        <v>3.67</v>
      </c>
      <c r="L8" s="163">
        <v>6</v>
      </c>
      <c r="M8" s="163" t="s">
        <v>80</v>
      </c>
      <c r="N8" s="178">
        <v>3.91</v>
      </c>
      <c r="O8" s="121" t="s">
        <v>81</v>
      </c>
    </row>
    <row r="9" ht="15" customHeight="1" spans="1:15">
      <c r="A9" s="135"/>
      <c r="B9" s="136" t="s">
        <v>70</v>
      </c>
      <c r="C9" s="137">
        <v>4.49433962264151</v>
      </c>
      <c r="D9" s="138">
        <v>3.4</v>
      </c>
      <c r="E9" s="138">
        <v>3.44210526315789</v>
      </c>
      <c r="F9" s="137">
        <v>5.95</v>
      </c>
      <c r="G9" s="138">
        <v>4.44428571428571</v>
      </c>
      <c r="H9" s="138">
        <v>5.11454545454545</v>
      </c>
      <c r="I9" s="138">
        <v>3.06198347107438</v>
      </c>
      <c r="J9" s="169">
        <v>4.30865541643985</v>
      </c>
      <c r="L9" s="163">
        <v>7</v>
      </c>
      <c r="M9" s="163" t="s">
        <v>82</v>
      </c>
      <c r="N9" s="178">
        <v>3.84</v>
      </c>
      <c r="O9" s="179" t="s">
        <v>83</v>
      </c>
    </row>
    <row r="10" ht="15" customHeight="1" spans="1:15">
      <c r="A10" s="135"/>
      <c r="B10" s="136" t="s">
        <v>73</v>
      </c>
      <c r="C10" s="137">
        <f t="shared" ref="C10:J10" si="2">C8-C9</f>
        <v>-0.702075471698113</v>
      </c>
      <c r="D10" s="138">
        <f t="shared" si="2"/>
        <v>-0.531388888888888</v>
      </c>
      <c r="E10" s="138">
        <f t="shared" si="2"/>
        <v>-0.0810526315789475</v>
      </c>
      <c r="F10" s="137">
        <f t="shared" si="2"/>
        <v>-1.07708333333333</v>
      </c>
      <c r="G10" s="138">
        <f t="shared" si="2"/>
        <v>-1.07071428571429</v>
      </c>
      <c r="H10" s="138">
        <f t="shared" si="2"/>
        <v>-0.705454545454545</v>
      </c>
      <c r="I10" s="155">
        <f t="shared" si="2"/>
        <v>-0.083769185360095</v>
      </c>
      <c r="J10" s="169">
        <f t="shared" si="2"/>
        <v>-0.638655416439848</v>
      </c>
      <c r="L10" s="170">
        <v>8</v>
      </c>
      <c r="M10" s="170" t="s">
        <v>84</v>
      </c>
      <c r="N10" s="180">
        <v>3.83</v>
      </c>
      <c r="O10" s="179" t="s">
        <v>85</v>
      </c>
    </row>
    <row r="11" s="119" customFormat="1" ht="15" customHeight="1" spans="1:15">
      <c r="A11" s="139"/>
      <c r="B11" s="140" t="s">
        <v>86</v>
      </c>
      <c r="C11" s="141">
        <f t="shared" ref="C11:J11" si="3">C10/C9</f>
        <v>-0.156213266162888</v>
      </c>
      <c r="D11" s="142">
        <f t="shared" si="3"/>
        <v>-0.156290849673203</v>
      </c>
      <c r="E11" s="142">
        <f t="shared" si="3"/>
        <v>-0.0235474006116208</v>
      </c>
      <c r="F11" s="141">
        <f t="shared" si="3"/>
        <v>-0.181022408963585</v>
      </c>
      <c r="G11" s="142">
        <f t="shared" si="3"/>
        <v>-0.240919318547091</v>
      </c>
      <c r="H11" s="142">
        <f t="shared" si="3"/>
        <v>-0.137931034482759</v>
      </c>
      <c r="I11" s="142">
        <f t="shared" si="3"/>
        <v>-0.0273578176209757</v>
      </c>
      <c r="J11" s="171">
        <f t="shared" si="3"/>
        <v>-0.148226152874289</v>
      </c>
      <c r="L11" s="172"/>
      <c r="M11" s="172"/>
      <c r="N11" s="172"/>
      <c r="O11" s="179"/>
    </row>
    <row r="12" ht="15" customHeight="1" spans="1:17">
      <c r="A12" s="131" t="s">
        <v>87</v>
      </c>
      <c r="B12" s="132" t="s">
        <v>67</v>
      </c>
      <c r="C12" s="133">
        <f>对比上月表!C10</f>
        <v>31.209183</v>
      </c>
      <c r="D12" s="134">
        <f>对比上月表!D10</f>
        <v>15.025883</v>
      </c>
      <c r="E12" s="152">
        <f>对比上月表!I10</f>
        <v>27.499755</v>
      </c>
      <c r="F12" s="133">
        <f>对比上月表!E10</f>
        <v>30.108325</v>
      </c>
      <c r="G12" s="134">
        <f>对比上月表!F10</f>
        <v>30.659877</v>
      </c>
      <c r="H12" s="134">
        <f>对比上月表!G10</f>
        <v>33.479293</v>
      </c>
      <c r="I12" s="152">
        <f>对比上月表!H10</f>
        <v>21.640455</v>
      </c>
      <c r="J12" s="173">
        <f>SUM(C12:E12,F12:I12)</f>
        <v>189.622771</v>
      </c>
      <c r="O12" s="181" t="s">
        <v>84</v>
      </c>
      <c r="P12" s="182">
        <v>3.88</v>
      </c>
      <c r="Q12" s="121" t="s">
        <v>85</v>
      </c>
    </row>
    <row r="13" ht="15" customHeight="1" spans="1:17">
      <c r="A13" s="135"/>
      <c r="B13" s="136" t="s">
        <v>70</v>
      </c>
      <c r="C13" s="137">
        <v>34.8357761904762</v>
      </c>
      <c r="D13" s="138">
        <v>17.0264047619048</v>
      </c>
      <c r="E13" s="155">
        <v>31.444180952381</v>
      </c>
      <c r="F13" s="137">
        <v>33.9782982300885</v>
      </c>
      <c r="G13" s="138">
        <v>36.4815539823009</v>
      </c>
      <c r="H13" s="138">
        <v>32.5197424778761</v>
      </c>
      <c r="I13" s="155">
        <v>18.5447879973907</v>
      </c>
      <c r="J13" s="169">
        <v>204.830744592418</v>
      </c>
      <c r="O13" s="176" t="s">
        <v>88</v>
      </c>
      <c r="P13" s="183">
        <v>3.98</v>
      </c>
      <c r="Q13" s="121" t="s">
        <v>89</v>
      </c>
    </row>
    <row r="14" ht="15" customHeight="1" spans="1:17">
      <c r="A14" s="135"/>
      <c r="B14" s="136" t="s">
        <v>73</v>
      </c>
      <c r="C14" s="137">
        <f t="shared" ref="C14:J14" si="4">C12-C13</f>
        <v>-3.62659319047617</v>
      </c>
      <c r="D14" s="138">
        <f t="shared" si="4"/>
        <v>-2.00052176190475</v>
      </c>
      <c r="E14" s="138">
        <f t="shared" si="4"/>
        <v>-3.94442595238095</v>
      </c>
      <c r="F14" s="137">
        <f t="shared" si="4"/>
        <v>-3.8699732300885</v>
      </c>
      <c r="G14" s="138">
        <f t="shared" si="4"/>
        <v>-5.82167698230089</v>
      </c>
      <c r="H14" s="138">
        <f t="shared" si="4"/>
        <v>0.959550522123891</v>
      </c>
      <c r="I14" s="155">
        <f t="shared" si="4"/>
        <v>3.09566700260926</v>
      </c>
      <c r="J14" s="169">
        <f t="shared" si="4"/>
        <v>-15.2079735924181</v>
      </c>
      <c r="O14" s="176" t="s">
        <v>90</v>
      </c>
      <c r="P14" s="183">
        <v>3.93</v>
      </c>
      <c r="Q14" s="121" t="s">
        <v>91</v>
      </c>
    </row>
    <row r="15" s="119" customFormat="1" ht="15" customHeight="1" spans="1:17">
      <c r="A15" s="139"/>
      <c r="B15" s="140" t="s">
        <v>92</v>
      </c>
      <c r="C15" s="141">
        <f t="shared" ref="C15:J15" si="5">C14/C13</f>
        <v>-0.104105422271821</v>
      </c>
      <c r="D15" s="142">
        <f t="shared" si="5"/>
        <v>-0.117495254569583</v>
      </c>
      <c r="E15" s="142">
        <f t="shared" si="5"/>
        <v>-0.125442159182152</v>
      </c>
      <c r="F15" s="141">
        <f t="shared" si="5"/>
        <v>-0.113895440080091</v>
      </c>
      <c r="G15" s="142">
        <f t="shared" si="5"/>
        <v>-0.159578645830857</v>
      </c>
      <c r="H15" s="142">
        <f t="shared" si="5"/>
        <v>0.0295067072802527</v>
      </c>
      <c r="I15" s="142">
        <f t="shared" si="5"/>
        <v>0.166929220384985</v>
      </c>
      <c r="J15" s="171">
        <f t="shared" si="5"/>
        <v>-0.0742465376605434</v>
      </c>
      <c r="L15" s="120"/>
      <c r="M15" s="120"/>
      <c r="N15" s="120"/>
      <c r="O15" s="176" t="s">
        <v>77</v>
      </c>
      <c r="P15" s="183">
        <v>3.94</v>
      </c>
      <c r="Q15" s="185" t="s">
        <v>93</v>
      </c>
    </row>
    <row r="16" ht="15" customHeight="1" spans="1:17">
      <c r="A16" s="131" t="s">
        <v>94</v>
      </c>
      <c r="B16" s="132" t="s">
        <v>67</v>
      </c>
      <c r="C16" s="133">
        <f>对比上月表!C21</f>
        <v>148.191752136752</v>
      </c>
      <c r="D16" s="134">
        <f>对比上月表!D21</f>
        <v>135.735167118338</v>
      </c>
      <c r="E16" s="152">
        <f>对比上月表!I21</f>
        <v>137.224326347305</v>
      </c>
      <c r="F16" s="133">
        <f>对比上月表!E21</f>
        <v>124.465998346424</v>
      </c>
      <c r="G16" s="134">
        <f>对比上月表!F21</f>
        <v>125.913252566735</v>
      </c>
      <c r="H16" s="134">
        <f>对比上月表!G21</f>
        <v>132.696365437971</v>
      </c>
      <c r="I16" s="152">
        <f>对比上月表!H21</f>
        <v>120.492511135857</v>
      </c>
      <c r="J16" s="173">
        <f>对比上月表!J21</f>
        <v>131.773989576095</v>
      </c>
      <c r="M16" s="181"/>
      <c r="N16" s="182"/>
      <c r="O16" s="181" t="s">
        <v>71</v>
      </c>
      <c r="P16" s="182">
        <v>6.75</v>
      </c>
      <c r="Q16" s="121" t="s">
        <v>72</v>
      </c>
    </row>
    <row r="17" ht="15" customHeight="1" spans="1:17">
      <c r="A17" s="135"/>
      <c r="B17" s="136" t="s">
        <v>70</v>
      </c>
      <c r="C17" s="137">
        <v>140.978454838026</v>
      </c>
      <c r="D17" s="138">
        <v>133.435773996119</v>
      </c>
      <c r="E17" s="155">
        <v>157.773110649177</v>
      </c>
      <c r="F17" s="137">
        <v>117.045464106402</v>
      </c>
      <c r="G17" s="138">
        <v>115.521070241611</v>
      </c>
      <c r="H17" s="138">
        <v>112.681020366861</v>
      </c>
      <c r="I17" s="155">
        <v>121.287037262202</v>
      </c>
      <c r="J17" s="169">
        <v>126.153922592566</v>
      </c>
      <c r="O17" s="181" t="s">
        <v>68</v>
      </c>
      <c r="P17" s="182">
        <v>6.72</v>
      </c>
      <c r="Q17" s="121" t="s">
        <v>69</v>
      </c>
    </row>
    <row r="18" ht="15" customHeight="1" spans="1:17">
      <c r="A18" s="135"/>
      <c r="B18" s="136" t="s">
        <v>73</v>
      </c>
      <c r="C18" s="137">
        <f t="shared" ref="C18:J18" si="6">C16-C17</f>
        <v>7.21329729872633</v>
      </c>
      <c r="D18" s="138">
        <f t="shared" si="6"/>
        <v>2.2993931222191</v>
      </c>
      <c r="E18" s="138">
        <f t="shared" si="6"/>
        <v>-20.5487843018715</v>
      </c>
      <c r="F18" s="137">
        <f t="shared" si="6"/>
        <v>7.42053424002218</v>
      </c>
      <c r="G18" s="138">
        <f t="shared" si="6"/>
        <v>10.3921823251237</v>
      </c>
      <c r="H18" s="138">
        <f t="shared" si="6"/>
        <v>20.0153450711096</v>
      </c>
      <c r="I18" s="155">
        <f t="shared" si="6"/>
        <v>-0.794526126344863</v>
      </c>
      <c r="J18" s="169">
        <f t="shared" si="6"/>
        <v>5.620066983529</v>
      </c>
      <c r="O18" s="181" t="s">
        <v>64</v>
      </c>
      <c r="P18" s="182">
        <v>6.44</v>
      </c>
      <c r="Q18" s="121" t="s">
        <v>65</v>
      </c>
    </row>
    <row r="19" s="119" customFormat="1" ht="15" customHeight="1" spans="1:17">
      <c r="A19" s="139"/>
      <c r="B19" s="140" t="s">
        <v>95</v>
      </c>
      <c r="C19" s="141">
        <f t="shared" ref="C19:J19" si="7">C18/C17</f>
        <v>0.0511659551597008</v>
      </c>
      <c r="D19" s="142">
        <f t="shared" si="7"/>
        <v>0.0172322088249436</v>
      </c>
      <c r="E19" s="142">
        <f t="shared" si="7"/>
        <v>-0.130242626372269</v>
      </c>
      <c r="F19" s="141">
        <f t="shared" si="7"/>
        <v>0.0633987339592795</v>
      </c>
      <c r="G19" s="142">
        <f t="shared" si="7"/>
        <v>0.0899591936205969</v>
      </c>
      <c r="H19" s="142">
        <f t="shared" si="7"/>
        <v>0.177628361954344</v>
      </c>
      <c r="I19" s="142">
        <f t="shared" si="7"/>
        <v>-0.00655079177692526</v>
      </c>
      <c r="J19" s="171">
        <f t="shared" si="7"/>
        <v>0.0445492844616484</v>
      </c>
      <c r="L19" s="172"/>
      <c r="M19" s="172"/>
      <c r="N19" s="172"/>
      <c r="O19" s="181" t="s">
        <v>80</v>
      </c>
      <c r="P19" s="182">
        <v>6.3</v>
      </c>
      <c r="Q19" s="121" t="s">
        <v>81</v>
      </c>
    </row>
    <row r="20" spans="1:17">
      <c r="A20" s="143"/>
      <c r="B20" s="144"/>
      <c r="C20" s="144"/>
      <c r="D20" s="144"/>
      <c r="E20" s="156"/>
      <c r="O20" s="181" t="s">
        <v>96</v>
      </c>
      <c r="P20" s="182">
        <v>6.01</v>
      </c>
      <c r="Q20" s="121" t="s">
        <v>97</v>
      </c>
    </row>
    <row r="21" spans="15:17">
      <c r="O21" s="181" t="s">
        <v>82</v>
      </c>
      <c r="P21" s="182">
        <v>5.93</v>
      </c>
      <c r="Q21" s="121" t="s">
        <v>83</v>
      </c>
    </row>
    <row r="22" spans="2:17">
      <c r="B22" s="145" t="s">
        <v>98</v>
      </c>
      <c r="C22" s="146">
        <f>C9-'分时段-上报'!D8</f>
        <v>0</v>
      </c>
      <c r="D22" s="146">
        <f>D9-'分时段-上报'!D13</f>
        <v>0</v>
      </c>
      <c r="E22" s="146">
        <f>E9-'分时段-上报'!D38</f>
        <v>0</v>
      </c>
      <c r="F22" s="146">
        <f>F9-'分时段-上报'!D18</f>
        <v>0</v>
      </c>
      <c r="G22" s="146">
        <f>G9-'分时段-上报'!D23</f>
        <v>0</v>
      </c>
      <c r="H22" s="146">
        <f>H9-'分时段-上报'!D28</f>
        <v>0</v>
      </c>
      <c r="I22" s="146">
        <f>I9-'分时段-上报'!D33</f>
        <v>0</v>
      </c>
      <c r="O22" s="181" t="s">
        <v>99</v>
      </c>
      <c r="P22" s="182">
        <v>5.6</v>
      </c>
      <c r="Q22" s="121" t="s">
        <v>100</v>
      </c>
    </row>
    <row r="23" spans="15:17">
      <c r="O23" s="181" t="s">
        <v>101</v>
      </c>
      <c r="P23" s="182">
        <v>4.66</v>
      </c>
      <c r="Q23" s="121" t="s">
        <v>102</v>
      </c>
    </row>
    <row r="24" spans="15:17">
      <c r="O24" s="181" t="s">
        <v>103</v>
      </c>
      <c r="P24" s="182">
        <v>4.47</v>
      </c>
      <c r="Q24" s="121" t="s">
        <v>104</v>
      </c>
    </row>
    <row r="25" spans="15:17">
      <c r="O25" s="181" t="s">
        <v>74</v>
      </c>
      <c r="P25" s="182">
        <v>6.04</v>
      </c>
      <c r="Q25" s="121" t="s">
        <v>75</v>
      </c>
    </row>
    <row r="26" spans="15:17">
      <c r="O26" s="176" t="s">
        <v>77</v>
      </c>
      <c r="P26" s="183">
        <v>3.94</v>
      </c>
      <c r="Q26" s="185" t="s">
        <v>78</v>
      </c>
    </row>
    <row r="27" spans="15:17">
      <c r="O27" s="121" t="s">
        <v>105</v>
      </c>
      <c r="P27" s="184">
        <v>4.52</v>
      </c>
      <c r="Q27" s="121" t="s">
        <v>106</v>
      </c>
    </row>
  </sheetData>
  <mergeCells count="12">
    <mergeCell ref="A1:J1"/>
    <mergeCell ref="L1:N1"/>
    <mergeCell ref="C2:E2"/>
    <mergeCell ref="F2:I2"/>
    <mergeCell ref="A20:E20"/>
    <mergeCell ref="A2:A3"/>
    <mergeCell ref="A4:A7"/>
    <mergeCell ref="A8:A11"/>
    <mergeCell ref="A12:A15"/>
    <mergeCell ref="A16:A19"/>
    <mergeCell ref="B2:B3"/>
    <mergeCell ref="J2:J3"/>
  </mergeCells>
  <conditionalFormatting sqref="O6">
    <cfRule type="duplicateValues" dxfId="2" priority="1"/>
  </conditionalFormatting>
  <conditionalFormatting sqref="C7:E7">
    <cfRule type="top10" dxfId="3" priority="9" percent="1" rank="10"/>
  </conditionalFormatting>
  <conditionalFormatting sqref="F7:I7">
    <cfRule type="top10" dxfId="3" priority="5" percent="1" rank="10"/>
  </conditionalFormatting>
  <conditionalFormatting sqref="C11:E11">
    <cfRule type="top10" dxfId="3" priority="8" percent="1" rank="10"/>
  </conditionalFormatting>
  <conditionalFormatting sqref="F11:I11">
    <cfRule type="top10" dxfId="3" priority="4" percent="1" rank="10"/>
  </conditionalFormatting>
  <conditionalFormatting sqref="C15:E15">
    <cfRule type="top10" dxfId="3" priority="7" percent="1" rank="10"/>
  </conditionalFormatting>
  <conditionalFormatting sqref="F15:I15">
    <cfRule type="top10" dxfId="3" priority="3" percent="1" rank="10"/>
  </conditionalFormatting>
  <conditionalFormatting sqref="C19:E19">
    <cfRule type="top10" dxfId="3" priority="6" percent="1" rank="10"/>
  </conditionalFormatting>
  <conditionalFormatting sqref="F19:I19">
    <cfRule type="top10" dxfId="3" priority="2" percent="1" rank="10"/>
  </conditionalFormatting>
  <conditionalFormatting sqref="Q$1:Q$1048576">
    <cfRule type="duplicateValues" dxfId="2" priority="10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L39"/>
  <sheetViews>
    <sheetView showZeros="0" workbookViewId="0">
      <pane xSplit="2" ySplit="3" topLeftCell="C4" activePane="bottomRight" state="frozen"/>
      <selection/>
      <selection pane="topRight"/>
      <selection pane="bottomLeft"/>
      <selection pane="bottomRight" activeCell="A1" sqref="A1:L39"/>
    </sheetView>
  </sheetViews>
  <sheetFormatPr defaultColWidth="10.5" defaultRowHeight="16.8"/>
  <cols>
    <col min="1" max="1" width="10.4140625" customWidth="1"/>
    <col min="2" max="2" width="14.0859375" customWidth="1"/>
    <col min="3" max="4" width="8.4140625" customWidth="1"/>
    <col min="5" max="7" width="8.5" customWidth="1"/>
    <col min="8" max="9" width="14.3359375" customWidth="1"/>
    <col min="10" max="11" width="9.1640625" customWidth="1"/>
    <col min="12" max="12" width="9.0859375" customWidth="1"/>
  </cols>
  <sheetData>
    <row r="1" ht="22.5" customHeight="1" spans="1:12">
      <c r="A1" s="77" t="s">
        <v>107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>
      <c r="A2" s="78" t="s">
        <v>108</v>
      </c>
      <c r="B2" s="78" t="s">
        <v>109</v>
      </c>
      <c r="C2" s="79" t="s">
        <v>62</v>
      </c>
      <c r="D2" s="80"/>
      <c r="E2" s="98" t="s">
        <v>110</v>
      </c>
      <c r="F2" s="78" t="s">
        <v>111</v>
      </c>
      <c r="G2" s="99" t="s">
        <v>112</v>
      </c>
      <c r="H2" s="100">
        <v>45818</v>
      </c>
      <c r="I2" s="100">
        <v>45818</v>
      </c>
      <c r="J2" s="79" t="s">
        <v>113</v>
      </c>
      <c r="K2" s="80"/>
      <c r="L2" s="113" t="s">
        <v>112</v>
      </c>
    </row>
    <row r="3" spans="1:12">
      <c r="A3" s="81"/>
      <c r="B3" s="81"/>
      <c r="C3" s="82" t="s">
        <v>114</v>
      </c>
      <c r="D3" s="82" t="s">
        <v>115</v>
      </c>
      <c r="E3" s="101"/>
      <c r="F3" s="81"/>
      <c r="G3" s="102"/>
      <c r="H3" s="103" t="s">
        <v>62</v>
      </c>
      <c r="I3" s="103" t="s">
        <v>113</v>
      </c>
      <c r="J3" s="114" t="s">
        <v>114</v>
      </c>
      <c r="K3" s="82" t="s">
        <v>115</v>
      </c>
      <c r="L3" s="115"/>
    </row>
    <row r="4" spans="1:12">
      <c r="A4" s="83" t="s">
        <v>3</v>
      </c>
      <c r="B4" s="84" t="s">
        <v>116</v>
      </c>
      <c r="C4" s="85">
        <v>0.722452830188679</v>
      </c>
      <c r="D4" s="85">
        <v>0.816981132075472</v>
      </c>
      <c r="E4" s="85">
        <v>0.85</v>
      </c>
      <c r="F4" s="85">
        <f>C4-E4</f>
        <v>-0.127547169811321</v>
      </c>
      <c r="G4" s="104">
        <f>C4-D4</f>
        <v>-0.0945283018867925</v>
      </c>
      <c r="H4" s="105">
        <v>0.615094339622641</v>
      </c>
      <c r="I4" s="116">
        <v>32.6</v>
      </c>
      <c r="J4" s="84">
        <v>382.9</v>
      </c>
      <c r="K4" s="84">
        <v>433</v>
      </c>
      <c r="L4" s="84">
        <f>J4-K4</f>
        <v>-50.1</v>
      </c>
    </row>
    <row r="5" spans="1:12">
      <c r="A5" s="83" t="s">
        <v>3</v>
      </c>
      <c r="B5" s="84" t="s">
        <v>117</v>
      </c>
      <c r="C5" s="85">
        <v>0.463207547169811</v>
      </c>
      <c r="D5" s="85">
        <v>0.573584905660377</v>
      </c>
      <c r="E5" s="85">
        <v>0.6</v>
      </c>
      <c r="F5" s="85">
        <f t="shared" ref="F5:F39" si="0">C5-E5</f>
        <v>-0.136792452830189</v>
      </c>
      <c r="G5" s="104">
        <f t="shared" ref="G5:G39" si="1">C5-D5</f>
        <v>-0.110377358490566</v>
      </c>
      <c r="H5" s="106">
        <v>0.49622641509434</v>
      </c>
      <c r="I5" s="116">
        <v>26.3</v>
      </c>
      <c r="J5" s="84">
        <v>245.5</v>
      </c>
      <c r="K5" s="84">
        <v>304</v>
      </c>
      <c r="L5" s="84">
        <f t="shared" ref="L5:L39" si="2">J5-K5</f>
        <v>-58.4999999999999</v>
      </c>
    </row>
    <row r="6" spans="1:12">
      <c r="A6" s="83" t="s">
        <v>3</v>
      </c>
      <c r="B6" s="84" t="s">
        <v>118</v>
      </c>
      <c r="C6" s="85">
        <v>1.85056603773585</v>
      </c>
      <c r="D6" s="85">
        <v>2.14150943396226</v>
      </c>
      <c r="E6" s="85">
        <v>1.97</v>
      </c>
      <c r="F6" s="85">
        <f t="shared" si="0"/>
        <v>-0.11943396226415</v>
      </c>
      <c r="G6" s="104">
        <f t="shared" si="1"/>
        <v>-0.290943396226415</v>
      </c>
      <c r="H6" s="106">
        <v>1.62452830188679</v>
      </c>
      <c r="I6" s="116">
        <v>86.1</v>
      </c>
      <c r="J6" s="84">
        <v>980.8</v>
      </c>
      <c r="K6" s="84">
        <v>1135</v>
      </c>
      <c r="L6" s="84">
        <f t="shared" si="2"/>
        <v>-154.2</v>
      </c>
    </row>
    <row r="7" spans="1:12">
      <c r="A7" s="83" t="s">
        <v>3</v>
      </c>
      <c r="B7" s="84" t="s">
        <v>119</v>
      </c>
      <c r="C7" s="85">
        <v>0.756037735849057</v>
      </c>
      <c r="D7" s="85">
        <v>0.962264150943396</v>
      </c>
      <c r="E7" s="85">
        <v>0.78</v>
      </c>
      <c r="F7" s="85">
        <f t="shared" si="0"/>
        <v>-0.0239622641509435</v>
      </c>
      <c r="G7" s="104">
        <f t="shared" si="1"/>
        <v>-0.20622641509434</v>
      </c>
      <c r="H7" s="106">
        <v>0.826415094339623</v>
      </c>
      <c r="I7" s="116">
        <v>43.8</v>
      </c>
      <c r="J7" s="84">
        <v>400.7</v>
      </c>
      <c r="K7" s="84">
        <v>510</v>
      </c>
      <c r="L7" s="84">
        <f t="shared" si="2"/>
        <v>-109.3</v>
      </c>
    </row>
    <row r="8" s="76" customFormat="1" spans="1:12">
      <c r="A8" s="86" t="s">
        <v>120</v>
      </c>
      <c r="B8" s="87"/>
      <c r="C8" s="88">
        <v>3.7922641509434</v>
      </c>
      <c r="D8" s="88">
        <v>4.49433962264151</v>
      </c>
      <c r="E8" s="88">
        <v>4.2</v>
      </c>
      <c r="F8" s="85">
        <f t="shared" si="0"/>
        <v>-0.407735849056603</v>
      </c>
      <c r="G8" s="107">
        <f t="shared" si="1"/>
        <v>-0.702075471698113</v>
      </c>
      <c r="H8" s="108">
        <v>3.5622641509434</v>
      </c>
      <c r="I8" s="83">
        <v>188.8</v>
      </c>
      <c r="J8" s="83">
        <v>2009.9</v>
      </c>
      <c r="K8" s="83">
        <v>2382</v>
      </c>
      <c r="L8" s="83">
        <f t="shared" si="2"/>
        <v>-372.1</v>
      </c>
    </row>
    <row r="9" spans="1:12">
      <c r="A9" s="89" t="s">
        <v>4</v>
      </c>
      <c r="B9" s="90" t="s">
        <v>116</v>
      </c>
      <c r="C9" s="91">
        <v>0.515833333333333</v>
      </c>
      <c r="D9" s="91">
        <v>0.694444444444444</v>
      </c>
      <c r="E9" s="91">
        <v>0.5</v>
      </c>
      <c r="F9" s="91">
        <f t="shared" si="0"/>
        <v>0.0158333333333334</v>
      </c>
      <c r="G9" s="109">
        <f t="shared" si="1"/>
        <v>-0.178611111111111</v>
      </c>
      <c r="H9" s="110">
        <v>0.327777777777778</v>
      </c>
      <c r="I9" s="90">
        <v>11.8</v>
      </c>
      <c r="J9" s="90">
        <v>185.7</v>
      </c>
      <c r="K9" s="90">
        <v>250</v>
      </c>
      <c r="L9" s="90">
        <f t="shared" si="2"/>
        <v>-64.3</v>
      </c>
    </row>
    <row r="10" spans="1:12">
      <c r="A10" s="89" t="s">
        <v>4</v>
      </c>
      <c r="B10" s="90" t="s">
        <v>117</v>
      </c>
      <c r="C10" s="91">
        <v>0.408611111111111</v>
      </c>
      <c r="D10" s="91">
        <v>0.45</v>
      </c>
      <c r="E10" s="91">
        <v>0.5</v>
      </c>
      <c r="F10" s="91">
        <f t="shared" si="0"/>
        <v>-0.0913888888888889</v>
      </c>
      <c r="G10" s="109">
        <f t="shared" si="1"/>
        <v>-0.0413888888888889</v>
      </c>
      <c r="H10" s="110">
        <v>0.455555555555555</v>
      </c>
      <c r="I10" s="90">
        <v>16.4</v>
      </c>
      <c r="J10" s="90">
        <v>147.1</v>
      </c>
      <c r="K10" s="90">
        <v>162</v>
      </c>
      <c r="L10" s="90">
        <f t="shared" si="2"/>
        <v>-14.9</v>
      </c>
    </row>
    <row r="11" spans="1:12">
      <c r="A11" s="89" t="s">
        <v>4</v>
      </c>
      <c r="B11" s="90" t="s">
        <v>118</v>
      </c>
      <c r="C11" s="91">
        <v>1.53138888888889</v>
      </c>
      <c r="D11" s="91">
        <v>1.86944444444444</v>
      </c>
      <c r="E11" s="91">
        <v>1.8</v>
      </c>
      <c r="F11" s="91">
        <f t="shared" si="0"/>
        <v>-0.268611111111111</v>
      </c>
      <c r="G11" s="109">
        <f t="shared" si="1"/>
        <v>-0.338055555555555</v>
      </c>
      <c r="H11" s="110">
        <v>1.22777777777778</v>
      </c>
      <c r="I11" s="90">
        <v>44.2</v>
      </c>
      <c r="J11" s="90">
        <v>551.3</v>
      </c>
      <c r="K11" s="90">
        <v>673</v>
      </c>
      <c r="L11" s="90">
        <f t="shared" si="2"/>
        <v>-121.7</v>
      </c>
    </row>
    <row r="12" spans="1:12">
      <c r="A12" s="89" t="s">
        <v>4</v>
      </c>
      <c r="B12" s="90" t="s">
        <v>119</v>
      </c>
      <c r="C12" s="91">
        <v>0.412777777777778</v>
      </c>
      <c r="D12" s="91">
        <v>0.386111111111111</v>
      </c>
      <c r="E12" s="91">
        <v>0.7</v>
      </c>
      <c r="F12" s="91">
        <f t="shared" si="0"/>
        <v>-0.287222222222222</v>
      </c>
      <c r="G12" s="109">
        <f t="shared" si="1"/>
        <v>0.0266666666666666</v>
      </c>
      <c r="H12" s="110">
        <v>0.1</v>
      </c>
      <c r="I12" s="90">
        <v>3.6</v>
      </c>
      <c r="J12" s="90">
        <v>148.6</v>
      </c>
      <c r="K12" s="90">
        <v>139</v>
      </c>
      <c r="L12" s="90">
        <f t="shared" si="2"/>
        <v>9.59999999999999</v>
      </c>
    </row>
    <row r="13" s="76" customFormat="1" spans="1:12">
      <c r="A13" s="92" t="s">
        <v>121</v>
      </c>
      <c r="B13" s="93"/>
      <c r="C13" s="94">
        <v>2.86861111111111</v>
      </c>
      <c r="D13" s="94">
        <v>3.4</v>
      </c>
      <c r="E13" s="94">
        <v>3.5</v>
      </c>
      <c r="F13" s="91">
        <f t="shared" si="0"/>
        <v>-0.631388888888889</v>
      </c>
      <c r="G13" s="111">
        <f t="shared" si="1"/>
        <v>-0.531388888888888</v>
      </c>
      <c r="H13" s="112">
        <v>2.11111111111111</v>
      </c>
      <c r="I13" s="89">
        <v>76</v>
      </c>
      <c r="J13" s="89">
        <v>1032.7</v>
      </c>
      <c r="K13" s="89">
        <v>1224</v>
      </c>
      <c r="L13" s="89">
        <f t="shared" si="2"/>
        <v>-191.3</v>
      </c>
    </row>
    <row r="14" spans="1:12">
      <c r="A14" s="83" t="s">
        <v>5</v>
      </c>
      <c r="B14" s="84" t="s">
        <v>116</v>
      </c>
      <c r="C14" s="85">
        <v>1.055625</v>
      </c>
      <c r="D14" s="85">
        <v>1.58541666666667</v>
      </c>
      <c r="E14" s="85">
        <v>1.2</v>
      </c>
      <c r="F14" s="85">
        <f t="shared" si="0"/>
        <v>-0.144375</v>
      </c>
      <c r="G14" s="104">
        <f t="shared" si="1"/>
        <v>-0.529791666666667</v>
      </c>
      <c r="H14" s="106">
        <v>0.764583333333333</v>
      </c>
      <c r="I14" s="84">
        <v>36.7</v>
      </c>
      <c r="J14" s="84">
        <v>506.7</v>
      </c>
      <c r="K14" s="84">
        <v>761</v>
      </c>
      <c r="L14" s="84">
        <f t="shared" si="2"/>
        <v>-254.3</v>
      </c>
    </row>
    <row r="15" spans="1:12">
      <c r="A15" s="83" t="s">
        <v>5</v>
      </c>
      <c r="B15" s="84" t="s">
        <v>117</v>
      </c>
      <c r="C15" s="85">
        <v>0.802916666666667</v>
      </c>
      <c r="D15" s="85">
        <v>1.28125</v>
      </c>
      <c r="E15" s="85">
        <v>1</v>
      </c>
      <c r="F15" s="85">
        <f t="shared" si="0"/>
        <v>-0.197083333333333</v>
      </c>
      <c r="G15" s="104">
        <f t="shared" si="1"/>
        <v>-0.478333333333333</v>
      </c>
      <c r="H15" s="106">
        <v>0.6625</v>
      </c>
      <c r="I15" s="84">
        <v>31.8</v>
      </c>
      <c r="J15" s="84">
        <v>385.4</v>
      </c>
      <c r="K15" s="84">
        <v>615</v>
      </c>
      <c r="L15" s="84">
        <f t="shared" si="2"/>
        <v>-229.6</v>
      </c>
    </row>
    <row r="16" spans="1:12">
      <c r="A16" s="83" t="s">
        <v>5</v>
      </c>
      <c r="B16" s="84" t="s">
        <v>118</v>
      </c>
      <c r="C16" s="85">
        <v>2.21020833333333</v>
      </c>
      <c r="D16" s="85">
        <v>2.44791666666667</v>
      </c>
      <c r="E16" s="85">
        <v>2.2</v>
      </c>
      <c r="F16" s="85">
        <f t="shared" si="0"/>
        <v>0.0102083333333334</v>
      </c>
      <c r="G16" s="104">
        <f t="shared" si="1"/>
        <v>-0.237708333333333</v>
      </c>
      <c r="H16" s="106">
        <v>2.07083333333333</v>
      </c>
      <c r="I16" s="84">
        <v>99.4</v>
      </c>
      <c r="J16" s="84">
        <v>1060.9</v>
      </c>
      <c r="K16" s="84">
        <v>1175</v>
      </c>
      <c r="L16" s="84">
        <f t="shared" si="2"/>
        <v>-114.1</v>
      </c>
    </row>
    <row r="17" spans="1:12">
      <c r="A17" s="83" t="s">
        <v>5</v>
      </c>
      <c r="B17" s="84" t="s">
        <v>119</v>
      </c>
      <c r="C17" s="85">
        <v>0.804166666666667</v>
      </c>
      <c r="D17" s="85">
        <v>0.635416666666667</v>
      </c>
      <c r="E17" s="85">
        <v>0.8</v>
      </c>
      <c r="F17" s="85">
        <f t="shared" si="0"/>
        <v>0.00416666666666654</v>
      </c>
      <c r="G17" s="104">
        <f t="shared" si="1"/>
        <v>0.16875</v>
      </c>
      <c r="H17" s="106">
        <v>0.477083333333333</v>
      </c>
      <c r="I17" s="84">
        <v>22.9</v>
      </c>
      <c r="J17" s="84">
        <v>386</v>
      </c>
      <c r="K17" s="84">
        <v>305</v>
      </c>
      <c r="L17" s="84">
        <f t="shared" si="2"/>
        <v>80.9999999999999</v>
      </c>
    </row>
    <row r="18" s="76" customFormat="1" spans="1:12">
      <c r="A18" s="86" t="s">
        <v>122</v>
      </c>
      <c r="B18" s="87"/>
      <c r="C18" s="88">
        <v>4.87291666666667</v>
      </c>
      <c r="D18" s="88">
        <v>5.95</v>
      </c>
      <c r="E18" s="88">
        <v>5.2</v>
      </c>
      <c r="F18" s="88">
        <f t="shared" si="0"/>
        <v>-0.327083333333334</v>
      </c>
      <c r="G18" s="107">
        <f t="shared" si="1"/>
        <v>-1.07708333333333</v>
      </c>
      <c r="H18" s="108">
        <v>3.975</v>
      </c>
      <c r="I18" s="83">
        <v>190.8</v>
      </c>
      <c r="J18" s="83">
        <v>2339</v>
      </c>
      <c r="K18" s="83">
        <v>2856</v>
      </c>
      <c r="L18" s="83">
        <f t="shared" si="2"/>
        <v>-517</v>
      </c>
    </row>
    <row r="19" spans="1:12">
      <c r="A19" s="89" t="s">
        <v>6</v>
      </c>
      <c r="B19" s="90" t="s">
        <v>116</v>
      </c>
      <c r="C19" s="91">
        <v>0.609714285714286</v>
      </c>
      <c r="D19" s="91">
        <v>0.915714285714286</v>
      </c>
      <c r="E19" s="91">
        <v>0.61</v>
      </c>
      <c r="F19" s="91">
        <f t="shared" si="0"/>
        <v>-0.000285714285714334</v>
      </c>
      <c r="G19" s="109">
        <f t="shared" si="1"/>
        <v>-0.306</v>
      </c>
      <c r="H19" s="110">
        <v>0.562857142857143</v>
      </c>
      <c r="I19" s="90">
        <v>39.4</v>
      </c>
      <c r="J19" s="90">
        <v>426.8</v>
      </c>
      <c r="K19" s="90">
        <v>641</v>
      </c>
      <c r="L19" s="90">
        <f t="shared" si="2"/>
        <v>-214.2</v>
      </c>
    </row>
    <row r="20" spans="1:12">
      <c r="A20" s="89" t="s">
        <v>6</v>
      </c>
      <c r="B20" s="90" t="s">
        <v>117</v>
      </c>
      <c r="C20" s="91">
        <v>0.437571428571429</v>
      </c>
      <c r="D20" s="91">
        <v>0.692857142857143</v>
      </c>
      <c r="E20" s="91">
        <v>0.53</v>
      </c>
      <c r="F20" s="91">
        <f t="shared" si="0"/>
        <v>-0.0924285714285714</v>
      </c>
      <c r="G20" s="109">
        <f t="shared" si="1"/>
        <v>-0.255285714285714</v>
      </c>
      <c r="H20" s="110">
        <v>0.352857142857143</v>
      </c>
      <c r="I20" s="90">
        <v>24.7</v>
      </c>
      <c r="J20" s="90">
        <v>306.3</v>
      </c>
      <c r="K20" s="90">
        <v>485</v>
      </c>
      <c r="L20" s="90">
        <f t="shared" si="2"/>
        <v>-178.7</v>
      </c>
    </row>
    <row r="21" spans="1:12">
      <c r="A21" s="89" t="s">
        <v>6</v>
      </c>
      <c r="B21" s="90" t="s">
        <v>118</v>
      </c>
      <c r="C21" s="91">
        <v>1.537</v>
      </c>
      <c r="D21" s="91">
        <v>1.84428571428571</v>
      </c>
      <c r="E21" s="91">
        <v>1.85</v>
      </c>
      <c r="F21" s="91">
        <f t="shared" si="0"/>
        <v>-0.313</v>
      </c>
      <c r="G21" s="109">
        <f t="shared" si="1"/>
        <v>-0.307285714285714</v>
      </c>
      <c r="H21" s="110">
        <v>0.844285714285714</v>
      </c>
      <c r="I21" s="90">
        <v>59.1</v>
      </c>
      <c r="J21" s="90">
        <v>1075.9</v>
      </c>
      <c r="K21" s="90">
        <v>1291</v>
      </c>
      <c r="L21" s="90">
        <f t="shared" si="2"/>
        <v>-215.1</v>
      </c>
    </row>
    <row r="22" spans="1:12">
      <c r="A22" s="89" t="s">
        <v>6</v>
      </c>
      <c r="B22" s="90" t="s">
        <v>119</v>
      </c>
      <c r="C22" s="91">
        <v>0.789285714285714</v>
      </c>
      <c r="D22" s="91">
        <v>0.991428571428571</v>
      </c>
      <c r="E22" s="91">
        <v>1.01</v>
      </c>
      <c r="F22" s="91">
        <f t="shared" si="0"/>
        <v>-0.220714285714286</v>
      </c>
      <c r="G22" s="109">
        <f t="shared" si="1"/>
        <v>-0.202142857142857</v>
      </c>
      <c r="H22" s="110">
        <v>0.611428571428571</v>
      </c>
      <c r="I22" s="90">
        <v>42.8</v>
      </c>
      <c r="J22" s="90">
        <v>552.5</v>
      </c>
      <c r="K22" s="90">
        <v>694</v>
      </c>
      <c r="L22" s="90">
        <f t="shared" si="2"/>
        <v>-141.5</v>
      </c>
    </row>
    <row r="23" s="76" customFormat="1" spans="1:12">
      <c r="A23" s="92" t="s">
        <v>123</v>
      </c>
      <c r="B23" s="93"/>
      <c r="C23" s="94">
        <v>3.37357142857143</v>
      </c>
      <c r="D23" s="94">
        <v>4.44428571428571</v>
      </c>
      <c r="E23" s="94">
        <v>4</v>
      </c>
      <c r="F23" s="94">
        <f t="shared" si="0"/>
        <v>-0.626428571428571</v>
      </c>
      <c r="G23" s="111">
        <f t="shared" si="1"/>
        <v>-1.07071428571429</v>
      </c>
      <c r="H23" s="112">
        <v>2.37142857142857</v>
      </c>
      <c r="I23" s="89">
        <v>166</v>
      </c>
      <c r="J23" s="89">
        <v>2361.5</v>
      </c>
      <c r="K23" s="89">
        <v>3111</v>
      </c>
      <c r="L23" s="89">
        <f t="shared" si="2"/>
        <v>-749.5</v>
      </c>
    </row>
    <row r="24" spans="1:12">
      <c r="A24" s="83" t="s">
        <v>7</v>
      </c>
      <c r="B24" s="84" t="s">
        <v>116</v>
      </c>
      <c r="C24" s="85">
        <v>0.670181818181818</v>
      </c>
      <c r="D24" s="85">
        <v>0.863636363636364</v>
      </c>
      <c r="E24" s="85">
        <v>0.85</v>
      </c>
      <c r="F24" s="85">
        <f t="shared" si="0"/>
        <v>-0.179818181818182</v>
      </c>
      <c r="G24" s="104">
        <f t="shared" si="1"/>
        <v>-0.193454545454545</v>
      </c>
      <c r="H24" s="106">
        <v>0.661818181818182</v>
      </c>
      <c r="I24" s="84">
        <v>36.4</v>
      </c>
      <c r="J24" s="84">
        <v>368.6</v>
      </c>
      <c r="K24" s="84">
        <v>475</v>
      </c>
      <c r="L24" s="84">
        <f t="shared" si="2"/>
        <v>-106.4</v>
      </c>
    </row>
    <row r="25" spans="1:12">
      <c r="A25" s="83" t="s">
        <v>7</v>
      </c>
      <c r="B25" s="84" t="s">
        <v>117</v>
      </c>
      <c r="C25" s="85">
        <v>0.668545454545455</v>
      </c>
      <c r="D25" s="85">
        <v>0.863636363636364</v>
      </c>
      <c r="E25" s="85">
        <v>0.75</v>
      </c>
      <c r="F25" s="85">
        <f t="shared" si="0"/>
        <v>-0.0814545454545454</v>
      </c>
      <c r="G25" s="104">
        <f t="shared" si="1"/>
        <v>-0.195090909090909</v>
      </c>
      <c r="H25" s="106">
        <v>0.581818181818182</v>
      </c>
      <c r="I25" s="84">
        <v>32</v>
      </c>
      <c r="J25" s="84">
        <v>367.7</v>
      </c>
      <c r="K25" s="84">
        <v>475</v>
      </c>
      <c r="L25" s="84">
        <f t="shared" si="2"/>
        <v>-107.3</v>
      </c>
    </row>
    <row r="26" spans="1:12">
      <c r="A26" s="83" t="s">
        <v>7</v>
      </c>
      <c r="B26" s="84" t="s">
        <v>118</v>
      </c>
      <c r="C26" s="85">
        <v>2.23254545454545</v>
      </c>
      <c r="D26" s="85">
        <v>2.52727272727273</v>
      </c>
      <c r="E26" s="85">
        <v>2.4</v>
      </c>
      <c r="F26" s="85">
        <f t="shared" si="0"/>
        <v>-0.167454545454545</v>
      </c>
      <c r="G26" s="104">
        <f t="shared" si="1"/>
        <v>-0.294727272727273</v>
      </c>
      <c r="H26" s="106">
        <v>2.46727272727273</v>
      </c>
      <c r="I26" s="84">
        <v>135.7</v>
      </c>
      <c r="J26" s="84">
        <v>1227.9</v>
      </c>
      <c r="K26" s="84">
        <v>1390</v>
      </c>
      <c r="L26" s="84">
        <f t="shared" si="2"/>
        <v>-162.1</v>
      </c>
    </row>
    <row r="27" spans="1:12">
      <c r="A27" s="83" t="s">
        <v>7</v>
      </c>
      <c r="B27" s="84" t="s">
        <v>119</v>
      </c>
      <c r="C27" s="85">
        <v>0.837818181818182</v>
      </c>
      <c r="D27" s="85">
        <v>0.86</v>
      </c>
      <c r="E27" s="85">
        <v>1.1</v>
      </c>
      <c r="F27" s="85">
        <f t="shared" si="0"/>
        <v>-0.262181818181818</v>
      </c>
      <c r="G27" s="104">
        <f t="shared" si="1"/>
        <v>-0.0221818181818182</v>
      </c>
      <c r="H27" s="106">
        <v>0.814545454545454</v>
      </c>
      <c r="I27" s="84">
        <v>44.8</v>
      </c>
      <c r="J27" s="84">
        <v>460.8</v>
      </c>
      <c r="K27" s="84">
        <v>473</v>
      </c>
      <c r="L27" s="84">
        <f t="shared" si="2"/>
        <v>-12.2</v>
      </c>
    </row>
    <row r="28" s="76" customFormat="1" spans="1:12">
      <c r="A28" s="86" t="s">
        <v>124</v>
      </c>
      <c r="B28" s="87"/>
      <c r="C28" s="88">
        <v>4.40909090909091</v>
      </c>
      <c r="D28" s="88">
        <v>5.11454545454546</v>
      </c>
      <c r="E28" s="88">
        <v>5.1</v>
      </c>
      <c r="F28" s="88">
        <f t="shared" si="0"/>
        <v>-0.69090909090909</v>
      </c>
      <c r="G28" s="107">
        <f t="shared" si="1"/>
        <v>-0.705454545454546</v>
      </c>
      <c r="H28" s="108">
        <v>4.52545454545455</v>
      </c>
      <c r="I28" s="83">
        <v>248.9</v>
      </c>
      <c r="J28" s="83">
        <v>2425</v>
      </c>
      <c r="K28" s="83">
        <v>2813</v>
      </c>
      <c r="L28" s="83">
        <f t="shared" si="2"/>
        <v>-388</v>
      </c>
    </row>
    <row r="29" spans="1:12">
      <c r="A29" s="89" t="s">
        <v>8</v>
      </c>
      <c r="B29" s="90" t="s">
        <v>116</v>
      </c>
      <c r="C29" s="91">
        <v>0.59875</v>
      </c>
      <c r="D29" s="91">
        <v>0.59504132231405</v>
      </c>
      <c r="E29" s="91">
        <v>0.6</v>
      </c>
      <c r="F29" s="91">
        <f t="shared" si="0"/>
        <v>-0.00124999999999997</v>
      </c>
      <c r="G29" s="109">
        <f t="shared" si="1"/>
        <v>0.0037086776859504</v>
      </c>
      <c r="H29" s="110">
        <v>0.6375</v>
      </c>
      <c r="I29" s="90">
        <v>35.7</v>
      </c>
      <c r="J29" s="90">
        <v>335.3</v>
      </c>
      <c r="K29" s="90">
        <v>288</v>
      </c>
      <c r="L29" s="90">
        <f t="shared" si="2"/>
        <v>47.3</v>
      </c>
    </row>
    <row r="30" spans="1:12">
      <c r="A30" s="89" t="s">
        <v>8</v>
      </c>
      <c r="B30" s="90" t="s">
        <v>117</v>
      </c>
      <c r="C30" s="91">
        <v>0.34875</v>
      </c>
      <c r="D30" s="91">
        <v>0.394628099173554</v>
      </c>
      <c r="E30" s="91">
        <v>0.5</v>
      </c>
      <c r="F30" s="91">
        <f t="shared" si="0"/>
        <v>-0.15125</v>
      </c>
      <c r="G30" s="109">
        <f t="shared" si="1"/>
        <v>-0.0458780991735538</v>
      </c>
      <c r="H30" s="110">
        <v>0.333928571428571</v>
      </c>
      <c r="I30" s="90">
        <v>18.7</v>
      </c>
      <c r="J30" s="90">
        <v>195.3</v>
      </c>
      <c r="K30" s="90">
        <v>191</v>
      </c>
      <c r="L30" s="90">
        <f t="shared" si="2"/>
        <v>4.29999999999998</v>
      </c>
    </row>
    <row r="31" spans="1:12">
      <c r="A31" s="89" t="s">
        <v>8</v>
      </c>
      <c r="B31" s="90" t="s">
        <v>118</v>
      </c>
      <c r="C31" s="91">
        <v>1.48803571428571</v>
      </c>
      <c r="D31" s="91">
        <v>1.65289256198347</v>
      </c>
      <c r="E31" s="91">
        <v>1.8</v>
      </c>
      <c r="F31" s="91">
        <f t="shared" si="0"/>
        <v>-0.311964285714285</v>
      </c>
      <c r="G31" s="109">
        <f t="shared" si="1"/>
        <v>-0.164856847697757</v>
      </c>
      <c r="H31" s="110">
        <v>1.04642857142857</v>
      </c>
      <c r="I31" s="90">
        <v>58.6</v>
      </c>
      <c r="J31" s="90">
        <v>833.3</v>
      </c>
      <c r="K31" s="90">
        <v>800</v>
      </c>
      <c r="L31" s="90">
        <f t="shared" si="2"/>
        <v>33.3000000000002</v>
      </c>
    </row>
    <row r="32" spans="1:12">
      <c r="A32" s="89" t="s">
        <v>8</v>
      </c>
      <c r="B32" s="90" t="s">
        <v>119</v>
      </c>
      <c r="C32" s="91">
        <v>0.542678571428571</v>
      </c>
      <c r="D32" s="91">
        <v>0.419421487603306</v>
      </c>
      <c r="E32" s="91">
        <v>0.7</v>
      </c>
      <c r="F32" s="91">
        <f t="shared" si="0"/>
        <v>-0.157321428571429</v>
      </c>
      <c r="G32" s="109">
        <f t="shared" si="1"/>
        <v>0.123257083825266</v>
      </c>
      <c r="H32" s="110">
        <v>0.417857142857143</v>
      </c>
      <c r="I32" s="90">
        <v>23.4</v>
      </c>
      <c r="J32" s="90">
        <v>303.9</v>
      </c>
      <c r="K32" s="90">
        <v>203</v>
      </c>
      <c r="L32" s="90">
        <f t="shared" si="2"/>
        <v>100.9</v>
      </c>
    </row>
    <row r="33" s="76" customFormat="1" spans="1:12">
      <c r="A33" s="92" t="s">
        <v>125</v>
      </c>
      <c r="B33" s="93"/>
      <c r="C33" s="94">
        <v>2.97821428571429</v>
      </c>
      <c r="D33" s="94">
        <v>3.06198347107438</v>
      </c>
      <c r="E33" s="94">
        <v>3.6</v>
      </c>
      <c r="F33" s="94">
        <f t="shared" si="0"/>
        <v>-0.621785714285714</v>
      </c>
      <c r="G33" s="111">
        <f t="shared" si="1"/>
        <v>-0.0837691853600937</v>
      </c>
      <c r="H33" s="112">
        <v>2.43571428571429</v>
      </c>
      <c r="I33" s="89">
        <v>136.4</v>
      </c>
      <c r="J33" s="89">
        <v>1667.8</v>
      </c>
      <c r="K33" s="89">
        <v>1482</v>
      </c>
      <c r="L33" s="89">
        <f t="shared" si="2"/>
        <v>185.8</v>
      </c>
    </row>
    <row r="34" spans="1:12">
      <c r="A34" s="83" t="s">
        <v>9</v>
      </c>
      <c r="B34" s="84" t="s">
        <v>116</v>
      </c>
      <c r="C34" s="85">
        <v>0.742982456140351</v>
      </c>
      <c r="D34" s="85">
        <v>0.678947368421053</v>
      </c>
      <c r="E34" s="85">
        <v>0.65</v>
      </c>
      <c r="F34" s="85">
        <f t="shared" si="0"/>
        <v>0.0929824561403508</v>
      </c>
      <c r="G34" s="104">
        <f t="shared" si="1"/>
        <v>0.0640350877192982</v>
      </c>
      <c r="H34" s="106">
        <v>0.850877192982456</v>
      </c>
      <c r="I34" s="84">
        <v>48.5</v>
      </c>
      <c r="J34" s="84">
        <v>423.5</v>
      </c>
      <c r="K34" s="84">
        <v>387</v>
      </c>
      <c r="L34" s="84">
        <f t="shared" si="2"/>
        <v>36.5</v>
      </c>
    </row>
    <row r="35" spans="1:12">
      <c r="A35" s="83" t="s">
        <v>9</v>
      </c>
      <c r="B35" s="84" t="s">
        <v>117</v>
      </c>
      <c r="C35" s="85">
        <v>0.445438596491228</v>
      </c>
      <c r="D35" s="85">
        <v>0.610526315789474</v>
      </c>
      <c r="E35" s="85">
        <v>0.65</v>
      </c>
      <c r="F35" s="85">
        <f t="shared" si="0"/>
        <v>-0.204561403508772</v>
      </c>
      <c r="G35" s="104">
        <f t="shared" si="1"/>
        <v>-0.165087719298246</v>
      </c>
      <c r="H35" s="106">
        <v>0.314035087719298</v>
      </c>
      <c r="I35" s="84">
        <v>17.9</v>
      </c>
      <c r="J35" s="84">
        <v>253.9</v>
      </c>
      <c r="K35" s="84">
        <v>348</v>
      </c>
      <c r="L35" s="84">
        <f t="shared" si="2"/>
        <v>-94.1</v>
      </c>
    </row>
    <row r="36" spans="1:12">
      <c r="A36" s="83" t="s">
        <v>9</v>
      </c>
      <c r="B36" s="84" t="s">
        <v>118</v>
      </c>
      <c r="C36" s="85">
        <v>1.62210526315789</v>
      </c>
      <c r="D36" s="85">
        <v>1.92982456140351</v>
      </c>
      <c r="E36" s="85">
        <v>1.85</v>
      </c>
      <c r="F36" s="85">
        <f t="shared" si="0"/>
        <v>-0.227894736842105</v>
      </c>
      <c r="G36" s="104">
        <f t="shared" si="1"/>
        <v>-0.307719298245614</v>
      </c>
      <c r="H36" s="106">
        <v>1.54912280701754</v>
      </c>
      <c r="I36" s="84">
        <v>88.3</v>
      </c>
      <c r="J36" s="84">
        <v>924.6</v>
      </c>
      <c r="K36" s="84">
        <v>1100</v>
      </c>
      <c r="L36" s="84">
        <f t="shared" si="2"/>
        <v>-175.4</v>
      </c>
    </row>
    <row r="37" spans="1:12">
      <c r="A37" s="83" t="s">
        <v>9</v>
      </c>
      <c r="B37" s="84" t="s">
        <v>119</v>
      </c>
      <c r="C37" s="85">
        <v>0.550526315789474</v>
      </c>
      <c r="D37" s="85">
        <v>0.22280701754386</v>
      </c>
      <c r="E37" s="85">
        <v>0.7</v>
      </c>
      <c r="F37" s="85">
        <f t="shared" si="0"/>
        <v>-0.149473684210526</v>
      </c>
      <c r="G37" s="104">
        <f t="shared" si="1"/>
        <v>0.327719298245614</v>
      </c>
      <c r="H37" s="106">
        <v>0.394736842105263</v>
      </c>
      <c r="I37" s="84">
        <v>22.5</v>
      </c>
      <c r="J37" s="84">
        <v>313.8</v>
      </c>
      <c r="K37" s="84">
        <v>127</v>
      </c>
      <c r="L37" s="84">
        <f t="shared" si="2"/>
        <v>186.8</v>
      </c>
    </row>
    <row r="38" s="76" customFormat="1" spans="1:12">
      <c r="A38" s="86" t="s">
        <v>126</v>
      </c>
      <c r="B38" s="87"/>
      <c r="C38" s="88">
        <v>3.36105263157895</v>
      </c>
      <c r="D38" s="88">
        <v>3.44210526315789</v>
      </c>
      <c r="E38" s="88">
        <v>3.85</v>
      </c>
      <c r="F38" s="88">
        <f t="shared" si="0"/>
        <v>-0.488947368421053</v>
      </c>
      <c r="G38" s="107">
        <f t="shared" si="1"/>
        <v>-0.081052631578947</v>
      </c>
      <c r="H38" s="108">
        <v>3.10877192982456</v>
      </c>
      <c r="I38" s="83">
        <v>177.2</v>
      </c>
      <c r="J38" s="83">
        <v>1915.8</v>
      </c>
      <c r="K38" s="83">
        <v>1962</v>
      </c>
      <c r="L38" s="83">
        <f t="shared" si="2"/>
        <v>-46.2</v>
      </c>
    </row>
    <row r="39" s="76" customFormat="1" spans="1:12">
      <c r="A39" s="95" t="s">
        <v>127</v>
      </c>
      <c r="B39" s="96"/>
      <c r="C39" s="97">
        <v>3.67</v>
      </c>
      <c r="D39" s="97">
        <v>4.30865541643985</v>
      </c>
      <c r="E39" s="97">
        <v>4.21</v>
      </c>
      <c r="F39" s="97">
        <f t="shared" si="0"/>
        <v>-0.54</v>
      </c>
      <c r="G39" s="97">
        <f t="shared" si="1"/>
        <v>-0.638655416439848</v>
      </c>
      <c r="H39" s="97">
        <v>3.1576</v>
      </c>
      <c r="I39" s="97">
        <v>1184.1</v>
      </c>
      <c r="J39" s="117">
        <v>13751.7</v>
      </c>
      <c r="K39" s="118">
        <v>15830</v>
      </c>
      <c r="L39" s="97">
        <f t="shared" si="2"/>
        <v>-2078.3</v>
      </c>
    </row>
  </sheetData>
  <sheetProtection insertRows="0" insertColumns="0" deleteColumns="0" deleteRows="0" sort="0" autoFilter="0"/>
  <mergeCells count="17">
    <mergeCell ref="A1:L1"/>
    <mergeCell ref="C2:D2"/>
    <mergeCell ref="J2:K2"/>
    <mergeCell ref="A8:B8"/>
    <mergeCell ref="A13:B13"/>
    <mergeCell ref="A18:B18"/>
    <mergeCell ref="A23:B23"/>
    <mergeCell ref="A28:B28"/>
    <mergeCell ref="A33:B33"/>
    <mergeCell ref="A38:B38"/>
    <mergeCell ref="A39:B39"/>
    <mergeCell ref="A2:A3"/>
    <mergeCell ref="B2:B3"/>
    <mergeCell ref="E2:E3"/>
    <mergeCell ref="F2:F3"/>
    <mergeCell ref="G2:G3"/>
    <mergeCell ref="L2:L3"/>
  </mergeCells>
  <conditionalFormatting sqref="L4:L38">
    <cfRule type="cellIs" dxfId="1" priority="1" operator="lessThan">
      <formula>1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P60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F49" sqref="F49"/>
    </sheetView>
  </sheetViews>
  <sheetFormatPr defaultColWidth="9" defaultRowHeight="16.8"/>
  <cols>
    <col min="1" max="1" width="10.4140625" customWidth="1"/>
    <col min="2" max="2" width="19.9140625" customWidth="1"/>
    <col min="3" max="3" width="25.1640625" customWidth="1"/>
    <col min="4" max="5" width="14.75" customWidth="1"/>
    <col min="6" max="6" width="16.75" customWidth="1"/>
    <col min="7" max="7" width="19.9140625" customWidth="1"/>
    <col min="8" max="8" width="25.1640625" customWidth="1"/>
    <col min="9" max="10" width="14.75" customWidth="1"/>
    <col min="11" max="11" width="16.75" customWidth="1"/>
    <col min="12" max="12" width="23.9140625" customWidth="1"/>
    <col min="13" max="13" width="29.0859375" customWidth="1"/>
    <col min="14" max="15" width="18.6640625" customWidth="1"/>
    <col min="16" max="16" width="20.6640625" customWidth="1"/>
    <col min="17" max="17" width="23.9140625" customWidth="1"/>
    <col min="18" max="18" width="29.0859375" customWidth="1"/>
    <col min="19" max="20" width="18.6640625" customWidth="1"/>
    <col min="21" max="22" width="20.6640625" customWidth="1"/>
  </cols>
  <sheetData>
    <row r="1" spans="1:2">
      <c r="A1" t="s">
        <v>128</v>
      </c>
      <c r="B1" t="s">
        <v>129</v>
      </c>
    </row>
    <row r="3" spans="2:2">
      <c r="B3" t="s">
        <v>130</v>
      </c>
    </row>
    <row r="4" spans="2:16">
      <c r="B4">
        <v>5</v>
      </c>
      <c r="G4" t="s">
        <v>131</v>
      </c>
      <c r="L4" t="s">
        <v>132</v>
      </c>
      <c r="M4" t="s">
        <v>133</v>
      </c>
      <c r="N4" t="s">
        <v>134</v>
      </c>
      <c r="O4" t="s">
        <v>135</v>
      </c>
      <c r="P4" t="s">
        <v>136</v>
      </c>
    </row>
    <row r="5" spans="1:11">
      <c r="A5" t="s">
        <v>137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</row>
    <row r="6" spans="1:16">
      <c r="A6" s="56" t="s">
        <v>3</v>
      </c>
      <c r="B6">
        <v>2219.4</v>
      </c>
      <c r="C6">
        <v>35.8</v>
      </c>
      <c r="D6">
        <v>2308</v>
      </c>
      <c r="E6">
        <v>7099</v>
      </c>
      <c r="F6">
        <v>530</v>
      </c>
      <c r="G6">
        <v>2009.9</v>
      </c>
      <c r="H6">
        <v>26.7</v>
      </c>
      <c r="I6">
        <v>2106</v>
      </c>
      <c r="J6">
        <v>6601</v>
      </c>
      <c r="K6">
        <v>530</v>
      </c>
      <c r="L6">
        <v>4229.3</v>
      </c>
      <c r="M6">
        <v>62.5</v>
      </c>
      <c r="N6">
        <v>4414</v>
      </c>
      <c r="O6">
        <v>13700</v>
      </c>
      <c r="P6">
        <v>1060</v>
      </c>
    </row>
    <row r="7" spans="1:16">
      <c r="A7" s="56" t="s">
        <v>4</v>
      </c>
      <c r="B7">
        <v>1213.9</v>
      </c>
      <c r="C7">
        <v>76.6</v>
      </c>
      <c r="D7">
        <v>1280</v>
      </c>
      <c r="E7">
        <v>3662</v>
      </c>
      <c r="F7">
        <v>360</v>
      </c>
      <c r="G7">
        <v>1032.7</v>
      </c>
      <c r="H7">
        <v>69</v>
      </c>
      <c r="I7">
        <v>1107</v>
      </c>
      <c r="J7">
        <v>3192</v>
      </c>
      <c r="K7">
        <v>360</v>
      </c>
      <c r="L7">
        <v>2246.6</v>
      </c>
      <c r="M7">
        <v>145.6</v>
      </c>
      <c r="N7">
        <v>2387</v>
      </c>
      <c r="O7">
        <v>6854</v>
      </c>
      <c r="P7">
        <v>720</v>
      </c>
    </row>
    <row r="8" spans="1:16">
      <c r="A8" s="56" t="s">
        <v>5</v>
      </c>
      <c r="B8">
        <v>2433.9</v>
      </c>
      <c r="C8">
        <v>24.8</v>
      </c>
      <c r="D8">
        <v>2537</v>
      </c>
      <c r="E8">
        <v>7998</v>
      </c>
      <c r="F8">
        <v>480</v>
      </c>
      <c r="G8">
        <v>2339</v>
      </c>
      <c r="H8">
        <v>24.9</v>
      </c>
      <c r="I8">
        <v>2419</v>
      </c>
      <c r="J8">
        <v>7783</v>
      </c>
      <c r="K8">
        <v>480</v>
      </c>
      <c r="L8">
        <v>4772.9</v>
      </c>
      <c r="M8">
        <v>49.7</v>
      </c>
      <c r="N8">
        <v>4956</v>
      </c>
      <c r="O8">
        <v>15781</v>
      </c>
      <c r="P8">
        <v>960</v>
      </c>
    </row>
    <row r="9" spans="1:16">
      <c r="A9" s="56" t="s">
        <v>6</v>
      </c>
      <c r="B9">
        <v>2766.2</v>
      </c>
      <c r="C9">
        <v>40.1</v>
      </c>
      <c r="D9">
        <v>2846</v>
      </c>
      <c r="E9">
        <v>8591</v>
      </c>
      <c r="F9">
        <v>700</v>
      </c>
      <c r="G9">
        <v>2361.5</v>
      </c>
      <c r="H9">
        <v>23</v>
      </c>
      <c r="I9">
        <v>2435</v>
      </c>
      <c r="J9">
        <v>7371</v>
      </c>
      <c r="K9">
        <v>700</v>
      </c>
      <c r="L9">
        <v>5127.7</v>
      </c>
      <c r="M9">
        <v>63.1</v>
      </c>
      <c r="N9">
        <v>5281</v>
      </c>
      <c r="O9">
        <v>15962</v>
      </c>
      <c r="P9">
        <v>1400</v>
      </c>
    </row>
    <row r="10" spans="1:16">
      <c r="A10" s="56" t="s">
        <v>7</v>
      </c>
      <c r="B10">
        <v>2725.6</v>
      </c>
      <c r="C10">
        <v>18</v>
      </c>
      <c r="D10">
        <v>2819</v>
      </c>
      <c r="E10">
        <v>7583</v>
      </c>
      <c r="F10">
        <v>550</v>
      </c>
      <c r="G10">
        <v>2425</v>
      </c>
      <c r="H10">
        <v>13</v>
      </c>
      <c r="I10">
        <v>2523</v>
      </c>
      <c r="J10">
        <v>6759</v>
      </c>
      <c r="K10">
        <v>550</v>
      </c>
      <c r="L10">
        <v>5150.6</v>
      </c>
      <c r="M10">
        <v>31</v>
      </c>
      <c r="N10">
        <v>5342</v>
      </c>
      <c r="O10">
        <v>14342</v>
      </c>
      <c r="P10">
        <v>1100</v>
      </c>
    </row>
    <row r="11" spans="1:16">
      <c r="A11" s="56" t="s">
        <v>8</v>
      </c>
      <c r="B11">
        <v>2038.5</v>
      </c>
      <c r="C11">
        <v>11</v>
      </c>
      <c r="D11">
        <v>2111</v>
      </c>
      <c r="E11">
        <v>6107</v>
      </c>
      <c r="F11">
        <v>560</v>
      </c>
      <c r="G11">
        <v>1667.8</v>
      </c>
      <c r="H11">
        <v>1</v>
      </c>
      <c r="I11">
        <v>1796</v>
      </c>
      <c r="J11">
        <v>5188</v>
      </c>
      <c r="K11">
        <v>560</v>
      </c>
      <c r="L11">
        <v>3706.3</v>
      </c>
      <c r="M11">
        <v>12</v>
      </c>
      <c r="N11">
        <v>3907</v>
      </c>
      <c r="O11">
        <v>11295</v>
      </c>
      <c r="P11">
        <v>1120</v>
      </c>
    </row>
    <row r="12" spans="1:16">
      <c r="A12" s="56" t="s">
        <v>9</v>
      </c>
      <c r="B12">
        <v>2192.4</v>
      </c>
      <c r="C12">
        <v>0.9</v>
      </c>
      <c r="D12">
        <v>2274</v>
      </c>
      <c r="E12">
        <v>7129</v>
      </c>
      <c r="F12">
        <v>570</v>
      </c>
      <c r="G12">
        <v>1915.8</v>
      </c>
      <c r="H12">
        <v>2</v>
      </c>
      <c r="I12">
        <v>2004</v>
      </c>
      <c r="J12">
        <v>6149</v>
      </c>
      <c r="K12">
        <v>570</v>
      </c>
      <c r="L12">
        <v>4108.2</v>
      </c>
      <c r="M12">
        <v>2.9</v>
      </c>
      <c r="N12">
        <v>4278</v>
      </c>
      <c r="O12">
        <v>13278</v>
      </c>
      <c r="P12">
        <v>1140</v>
      </c>
    </row>
    <row r="13" spans="1:16">
      <c r="A13" s="56" t="s">
        <v>143</v>
      </c>
      <c r="B13">
        <v>15589.9</v>
      </c>
      <c r="C13">
        <v>207.2</v>
      </c>
      <c r="D13">
        <v>16175</v>
      </c>
      <c r="E13">
        <v>48169</v>
      </c>
      <c r="F13">
        <v>3750</v>
      </c>
      <c r="G13">
        <v>13751.7</v>
      </c>
      <c r="H13">
        <v>159.6</v>
      </c>
      <c r="I13">
        <v>14390</v>
      </c>
      <c r="J13">
        <v>43043</v>
      </c>
      <c r="K13">
        <v>3750</v>
      </c>
      <c r="L13">
        <v>29341.6</v>
      </c>
      <c r="M13">
        <v>366.8</v>
      </c>
      <c r="N13">
        <v>30565</v>
      </c>
      <c r="O13">
        <v>91212</v>
      </c>
      <c r="P13">
        <v>7500</v>
      </c>
    </row>
    <row r="26" spans="1:4">
      <c r="A26" t="s">
        <v>137</v>
      </c>
      <c r="B26" t="s">
        <v>138</v>
      </c>
      <c r="C26" t="s">
        <v>140</v>
      </c>
      <c r="D26" s="58" t="s">
        <v>14</v>
      </c>
    </row>
    <row r="27" spans="1:4">
      <c r="A27" t="s">
        <v>3</v>
      </c>
      <c r="B27">
        <v>188.8</v>
      </c>
      <c r="C27">
        <v>199</v>
      </c>
      <c r="D27">
        <f>C27-B27</f>
        <v>10.2</v>
      </c>
    </row>
    <row r="28" spans="1:4">
      <c r="A28" t="s">
        <v>4</v>
      </c>
      <c r="B28">
        <v>76</v>
      </c>
      <c r="C28">
        <v>84</v>
      </c>
      <c r="D28">
        <f t="shared" ref="D28:D34" si="0">C28-B28</f>
        <v>8</v>
      </c>
    </row>
    <row r="29" spans="1:4">
      <c r="A29" t="s">
        <v>5</v>
      </c>
      <c r="B29">
        <v>190.8</v>
      </c>
      <c r="C29">
        <v>198</v>
      </c>
      <c r="D29">
        <f t="shared" si="0"/>
        <v>7.19999999999999</v>
      </c>
    </row>
    <row r="30" spans="1:4">
      <c r="A30" t="s">
        <v>6</v>
      </c>
      <c r="B30">
        <v>166</v>
      </c>
      <c r="C30">
        <v>170</v>
      </c>
      <c r="D30">
        <f t="shared" si="0"/>
        <v>4.00000000000003</v>
      </c>
    </row>
    <row r="31" spans="1:4">
      <c r="A31" t="s">
        <v>7</v>
      </c>
      <c r="B31">
        <v>248.9</v>
      </c>
      <c r="C31">
        <v>258</v>
      </c>
      <c r="D31">
        <f t="shared" si="0"/>
        <v>9.10000000000002</v>
      </c>
    </row>
    <row r="32" spans="1:4">
      <c r="A32" t="s">
        <v>8</v>
      </c>
      <c r="B32">
        <v>136.4</v>
      </c>
      <c r="C32">
        <v>147</v>
      </c>
      <c r="D32">
        <f t="shared" si="0"/>
        <v>10.6</v>
      </c>
    </row>
    <row r="33" spans="1:4">
      <c r="A33" t="s">
        <v>9</v>
      </c>
      <c r="B33">
        <v>177.2</v>
      </c>
      <c r="C33">
        <v>186</v>
      </c>
      <c r="D33">
        <f t="shared" si="0"/>
        <v>8.80000000000001</v>
      </c>
    </row>
    <row r="34" spans="1:4">
      <c r="A34" t="s">
        <v>143</v>
      </c>
      <c r="B34">
        <v>1184.1</v>
      </c>
      <c r="C34">
        <v>1242</v>
      </c>
      <c r="D34">
        <f t="shared" si="0"/>
        <v>57.8999999999999</v>
      </c>
    </row>
    <row r="40" spans="1:4">
      <c r="A40" t="s">
        <v>137</v>
      </c>
      <c r="B40" t="s">
        <v>138</v>
      </c>
      <c r="C40" t="s">
        <v>142</v>
      </c>
      <c r="D40" s="58" t="s">
        <v>144</v>
      </c>
    </row>
    <row r="41" spans="1:4">
      <c r="A41" t="s">
        <v>3</v>
      </c>
      <c r="B41">
        <v>2009.9</v>
      </c>
      <c r="C41">
        <v>530</v>
      </c>
      <c r="D41" s="60">
        <f>B41/C41</f>
        <v>3.7922641509434</v>
      </c>
    </row>
    <row r="42" spans="1:4">
      <c r="A42" t="s">
        <v>4</v>
      </c>
      <c r="B42">
        <v>1032.7</v>
      </c>
      <c r="C42">
        <v>360</v>
      </c>
      <c r="D42" s="60">
        <f t="shared" ref="D42:D48" si="1">B42/C42</f>
        <v>2.86861111111111</v>
      </c>
    </row>
    <row r="43" spans="1:4">
      <c r="A43" t="s">
        <v>5</v>
      </c>
      <c r="B43">
        <v>2339</v>
      </c>
      <c r="C43">
        <v>480</v>
      </c>
      <c r="D43" s="60">
        <f t="shared" si="1"/>
        <v>4.87291666666667</v>
      </c>
    </row>
    <row r="44" spans="1:4">
      <c r="A44" t="s">
        <v>6</v>
      </c>
      <c r="B44">
        <v>2361.5</v>
      </c>
      <c r="C44">
        <v>700</v>
      </c>
      <c r="D44" s="60">
        <f t="shared" si="1"/>
        <v>3.37357142857143</v>
      </c>
    </row>
    <row r="45" spans="1:4">
      <c r="A45" t="s">
        <v>7</v>
      </c>
      <c r="B45">
        <v>2425</v>
      </c>
      <c r="C45">
        <v>550</v>
      </c>
      <c r="D45" s="60">
        <f t="shared" si="1"/>
        <v>4.40909090909091</v>
      </c>
    </row>
    <row r="46" spans="1:4">
      <c r="A46" t="s">
        <v>8</v>
      </c>
      <c r="B46">
        <v>1667.8</v>
      </c>
      <c r="C46">
        <v>560</v>
      </c>
      <c r="D46" s="60">
        <f t="shared" si="1"/>
        <v>2.97821428571428</v>
      </c>
    </row>
    <row r="47" spans="1:4">
      <c r="A47" t="s">
        <v>9</v>
      </c>
      <c r="B47">
        <v>1915.8</v>
      </c>
      <c r="C47">
        <v>570</v>
      </c>
      <c r="D47" s="60">
        <f t="shared" si="1"/>
        <v>3.36105263157895</v>
      </c>
    </row>
    <row r="48" spans="1:4">
      <c r="A48" t="s">
        <v>143</v>
      </c>
      <c r="B48">
        <v>13751.7</v>
      </c>
      <c r="C48">
        <v>3750</v>
      </c>
      <c r="D48" s="60">
        <f t="shared" si="1"/>
        <v>3.66712</v>
      </c>
    </row>
    <row r="52" spans="1:4">
      <c r="A52" t="s">
        <v>137</v>
      </c>
      <c r="B52" t="s">
        <v>138</v>
      </c>
      <c r="C52" t="s">
        <v>142</v>
      </c>
      <c r="D52" s="58" t="s">
        <v>145</v>
      </c>
    </row>
    <row r="53" spans="1:4">
      <c r="A53" t="s">
        <v>3</v>
      </c>
      <c r="B53">
        <v>188.8</v>
      </c>
      <c r="C53">
        <v>53</v>
      </c>
      <c r="D53" s="60">
        <f>B53/C53</f>
        <v>3.5622641509434</v>
      </c>
    </row>
    <row r="54" spans="1:4">
      <c r="A54" t="s">
        <v>4</v>
      </c>
      <c r="B54">
        <v>76</v>
      </c>
      <c r="C54">
        <v>36</v>
      </c>
      <c r="D54" s="60">
        <f t="shared" ref="D54:D60" si="2">B54/C54</f>
        <v>2.11111111111111</v>
      </c>
    </row>
    <row r="55" spans="1:4">
      <c r="A55" t="s">
        <v>5</v>
      </c>
      <c r="B55">
        <v>190.8</v>
      </c>
      <c r="C55">
        <v>48</v>
      </c>
      <c r="D55" s="60">
        <f t="shared" si="2"/>
        <v>3.975</v>
      </c>
    </row>
    <row r="56" spans="1:4">
      <c r="A56" t="s">
        <v>6</v>
      </c>
      <c r="B56">
        <v>166</v>
      </c>
      <c r="C56">
        <v>70</v>
      </c>
      <c r="D56" s="60">
        <f t="shared" si="2"/>
        <v>2.37142857142857</v>
      </c>
    </row>
    <row r="57" spans="1:4">
      <c r="A57" t="s">
        <v>7</v>
      </c>
      <c r="B57">
        <v>248.9</v>
      </c>
      <c r="C57">
        <v>55</v>
      </c>
      <c r="D57" s="60">
        <f t="shared" si="2"/>
        <v>4.52545454545455</v>
      </c>
    </row>
    <row r="58" spans="1:4">
      <c r="A58" t="s">
        <v>8</v>
      </c>
      <c r="B58">
        <v>136.4</v>
      </c>
      <c r="C58">
        <v>56</v>
      </c>
      <c r="D58" s="60">
        <f t="shared" si="2"/>
        <v>2.43571428571429</v>
      </c>
    </row>
    <row r="59" spans="1:4">
      <c r="A59" t="s">
        <v>9</v>
      </c>
      <c r="B59">
        <v>177.2</v>
      </c>
      <c r="C59">
        <v>57</v>
      </c>
      <c r="D59" s="60">
        <f t="shared" si="2"/>
        <v>3.10877192982456</v>
      </c>
    </row>
    <row r="60" spans="1:4">
      <c r="A60" t="s">
        <v>143</v>
      </c>
      <c r="B60">
        <v>1184.1</v>
      </c>
      <c r="C60">
        <v>375</v>
      </c>
      <c r="D60" s="60">
        <f t="shared" si="2"/>
        <v>3.1576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N21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1" sqref="C1"/>
    </sheetView>
  </sheetViews>
  <sheetFormatPr defaultColWidth="9" defaultRowHeight="16.8"/>
  <cols>
    <col min="1" max="1" width="9.1640625" customWidth="1"/>
    <col min="2" max="2" width="6.8359375" customWidth="1"/>
    <col min="3" max="3" width="12.4140625" customWidth="1"/>
    <col min="4" max="4" width="10.5859375" customWidth="1"/>
    <col min="5" max="5" width="11.1640625" customWidth="1"/>
    <col min="6" max="6" width="8.75" customWidth="1"/>
    <col min="7" max="7" width="12.4140625" customWidth="1"/>
    <col min="8" max="8" width="10.5859375" customWidth="1"/>
    <col min="9" max="9" width="15.75" customWidth="1"/>
    <col min="10" max="10" width="13.75" customWidth="1"/>
    <col min="11" max="11" width="15.75" customWidth="1"/>
    <col min="12" max="12" width="20.8359375" customWidth="1"/>
    <col min="13" max="13" width="10.5859375" customWidth="1"/>
    <col min="14" max="14" width="15.5859375" customWidth="1"/>
  </cols>
  <sheetData>
    <row r="1" s="56" customFormat="1" spans="1:14">
      <c r="A1" s="75" t="s">
        <v>128</v>
      </c>
      <c r="B1" s="62" t="s">
        <v>61</v>
      </c>
      <c r="C1" s="62" t="s">
        <v>146</v>
      </c>
      <c r="D1" s="75" t="s">
        <v>108</v>
      </c>
      <c r="E1" s="62" t="s">
        <v>147</v>
      </c>
      <c r="F1" s="64" t="s">
        <v>148</v>
      </c>
      <c r="G1" s="75" t="s">
        <v>149</v>
      </c>
      <c r="H1" s="75" t="s">
        <v>150</v>
      </c>
      <c r="I1" s="75" t="s">
        <v>151</v>
      </c>
      <c r="J1" s="75" t="s">
        <v>152</v>
      </c>
      <c r="K1" s="75" t="s">
        <v>153</v>
      </c>
      <c r="L1" s="75" t="s">
        <v>154</v>
      </c>
      <c r="M1" s="75" t="s">
        <v>155</v>
      </c>
      <c r="N1" s="75" t="s">
        <v>156</v>
      </c>
    </row>
    <row r="2" hidden="1" spans="1:14">
      <c r="A2" s="63" t="s">
        <v>157</v>
      </c>
      <c r="B2" s="63" t="s">
        <v>82</v>
      </c>
      <c r="C2" s="63" t="s">
        <v>83</v>
      </c>
      <c r="D2" s="63" t="s">
        <v>3</v>
      </c>
      <c r="E2" s="63" t="s">
        <v>158</v>
      </c>
      <c r="F2" s="66" t="s">
        <v>159</v>
      </c>
      <c r="G2" s="67">
        <v>53</v>
      </c>
      <c r="H2" s="67">
        <v>212</v>
      </c>
      <c r="I2" s="68">
        <v>205.3</v>
      </c>
      <c r="J2" s="68">
        <v>3.87358490566038</v>
      </c>
      <c r="K2" s="69">
        <v>29331.97</v>
      </c>
      <c r="L2" s="68">
        <v>0.9</v>
      </c>
      <c r="M2" s="67">
        <v>594</v>
      </c>
      <c r="N2" s="68">
        <v>2411.14</v>
      </c>
    </row>
    <row r="3" hidden="1" spans="1:14">
      <c r="A3" s="63" t="s">
        <v>157</v>
      </c>
      <c r="B3" s="63" t="s">
        <v>82</v>
      </c>
      <c r="C3" s="63" t="s">
        <v>83</v>
      </c>
      <c r="D3" s="63" t="s">
        <v>9</v>
      </c>
      <c r="E3" s="63" t="s">
        <v>160</v>
      </c>
      <c r="F3" s="66" t="s">
        <v>159</v>
      </c>
      <c r="G3" s="67">
        <v>57</v>
      </c>
      <c r="H3" s="67">
        <v>201</v>
      </c>
      <c r="I3" s="68">
        <v>196.5</v>
      </c>
      <c r="J3" s="68">
        <v>3.44736842105263</v>
      </c>
      <c r="K3" s="69">
        <v>28801.23</v>
      </c>
      <c r="L3" s="68">
        <v>0</v>
      </c>
      <c r="M3" s="67">
        <v>601</v>
      </c>
      <c r="N3" s="68">
        <v>1745.48</v>
      </c>
    </row>
    <row r="4" hidden="1" spans="1:14">
      <c r="A4" s="63" t="s">
        <v>157</v>
      </c>
      <c r="B4" s="63" t="s">
        <v>82</v>
      </c>
      <c r="C4" s="63" t="s">
        <v>83</v>
      </c>
      <c r="D4" s="63" t="s">
        <v>5</v>
      </c>
      <c r="E4" s="63" t="s">
        <v>161</v>
      </c>
      <c r="F4" s="66" t="s">
        <v>159</v>
      </c>
      <c r="G4" s="67">
        <v>48</v>
      </c>
      <c r="H4" s="67">
        <v>255</v>
      </c>
      <c r="I4" s="68">
        <v>242.4</v>
      </c>
      <c r="J4" s="68">
        <v>5.05</v>
      </c>
      <c r="K4" s="69">
        <v>27904.87</v>
      </c>
      <c r="L4" s="68">
        <v>4</v>
      </c>
      <c r="M4" s="67">
        <v>713</v>
      </c>
      <c r="N4" s="68">
        <v>1748.7</v>
      </c>
    </row>
    <row r="5" hidden="1" spans="1:14">
      <c r="A5" s="63" t="s">
        <v>157</v>
      </c>
      <c r="B5" s="63" t="s">
        <v>82</v>
      </c>
      <c r="C5" s="63" t="s">
        <v>83</v>
      </c>
      <c r="D5" s="63" t="s">
        <v>4</v>
      </c>
      <c r="E5" s="63" t="s">
        <v>162</v>
      </c>
      <c r="F5" s="66" t="s">
        <v>159</v>
      </c>
      <c r="G5" s="67">
        <v>36</v>
      </c>
      <c r="H5" s="67">
        <v>110</v>
      </c>
      <c r="I5" s="68">
        <v>102.2</v>
      </c>
      <c r="J5" s="68">
        <v>2.83888888888889</v>
      </c>
      <c r="K5" s="69">
        <v>13944.36</v>
      </c>
      <c r="L5" s="68">
        <v>6</v>
      </c>
      <c r="M5" s="67">
        <v>292</v>
      </c>
      <c r="N5" s="68">
        <v>1395.05</v>
      </c>
    </row>
    <row r="6" hidden="1" spans="1:14">
      <c r="A6" s="63" t="s">
        <v>157</v>
      </c>
      <c r="B6" s="63" t="s">
        <v>82</v>
      </c>
      <c r="C6" s="63" t="s">
        <v>83</v>
      </c>
      <c r="D6" s="63" t="s">
        <v>7</v>
      </c>
      <c r="E6" s="63" t="s">
        <v>163</v>
      </c>
      <c r="F6" s="66" t="s">
        <v>159</v>
      </c>
      <c r="G6" s="67">
        <v>55</v>
      </c>
      <c r="H6" s="67">
        <v>295</v>
      </c>
      <c r="I6" s="68">
        <v>287.1</v>
      </c>
      <c r="J6" s="68">
        <v>5.22</v>
      </c>
      <c r="K6" s="69">
        <v>54076.58</v>
      </c>
      <c r="L6" s="68">
        <v>0</v>
      </c>
      <c r="M6" s="67">
        <v>779</v>
      </c>
      <c r="N6" s="68">
        <v>1593.83000000003</v>
      </c>
    </row>
    <row r="7" hidden="1" spans="1:14">
      <c r="A7" s="63" t="s">
        <v>157</v>
      </c>
      <c r="B7" s="63" t="s">
        <v>82</v>
      </c>
      <c r="C7" s="63" t="s">
        <v>83</v>
      </c>
      <c r="D7" s="63" t="s">
        <v>8</v>
      </c>
      <c r="E7" s="63" t="s">
        <v>164</v>
      </c>
      <c r="F7" s="66" t="s">
        <v>159</v>
      </c>
      <c r="G7" s="67">
        <v>56</v>
      </c>
      <c r="H7" s="67">
        <v>200</v>
      </c>
      <c r="I7" s="68">
        <v>195.6</v>
      </c>
      <c r="J7" s="68">
        <v>3.49285714285714</v>
      </c>
      <c r="K7" s="69">
        <v>26001.47</v>
      </c>
      <c r="L7" s="68">
        <v>3</v>
      </c>
      <c r="M7" s="67">
        <v>518</v>
      </c>
      <c r="N7" s="68">
        <v>1528.31</v>
      </c>
    </row>
    <row r="8" hidden="1" spans="1:14">
      <c r="A8" s="63" t="s">
        <v>157</v>
      </c>
      <c r="B8" s="63" t="s">
        <v>82</v>
      </c>
      <c r="C8" s="63" t="s">
        <v>83</v>
      </c>
      <c r="D8" s="63" t="s">
        <v>6</v>
      </c>
      <c r="E8" s="63" t="s">
        <v>165</v>
      </c>
      <c r="F8" s="66" t="s">
        <v>159</v>
      </c>
      <c r="G8" s="67">
        <v>70</v>
      </c>
      <c r="H8" s="67">
        <v>228</v>
      </c>
      <c r="I8" s="68">
        <v>221.4</v>
      </c>
      <c r="J8" s="68">
        <v>3.16285714285714</v>
      </c>
      <c r="K8" s="69">
        <v>32862.57</v>
      </c>
      <c r="L8" s="68">
        <v>0</v>
      </c>
      <c r="M8" s="67">
        <v>631</v>
      </c>
      <c r="N8" s="68">
        <v>1644.41000000001</v>
      </c>
    </row>
    <row r="9" hidden="1" spans="1:14">
      <c r="A9" t="s">
        <v>166</v>
      </c>
      <c r="B9" s="63" t="s">
        <v>82</v>
      </c>
      <c r="C9" s="63" t="s">
        <v>83</v>
      </c>
      <c r="D9" s="63" t="s">
        <v>3</v>
      </c>
      <c r="E9" s="63" t="s">
        <v>158</v>
      </c>
      <c r="F9" s="66" t="s">
        <v>148</v>
      </c>
      <c r="G9" s="67">
        <v>53</v>
      </c>
      <c r="H9" s="67">
        <v>250</v>
      </c>
      <c r="I9" s="68">
        <v>239.4</v>
      </c>
      <c r="J9" s="68">
        <v>4.51698113207547</v>
      </c>
      <c r="K9" s="69">
        <v>41008.44</v>
      </c>
      <c r="L9" s="68">
        <v>3.6</v>
      </c>
      <c r="M9" s="67">
        <v>859</v>
      </c>
      <c r="N9" s="68">
        <v>2998.22</v>
      </c>
    </row>
    <row r="10" hidden="1" spans="1:14">
      <c r="A10" t="s">
        <v>166</v>
      </c>
      <c r="B10" s="63" t="s">
        <v>82</v>
      </c>
      <c r="C10" s="63" t="s">
        <v>83</v>
      </c>
      <c r="D10" s="63" t="s">
        <v>9</v>
      </c>
      <c r="E10" s="63" t="s">
        <v>160</v>
      </c>
      <c r="F10" s="66" t="s">
        <v>148</v>
      </c>
      <c r="G10" s="67">
        <v>57</v>
      </c>
      <c r="H10" s="67">
        <v>256</v>
      </c>
      <c r="I10" s="68">
        <v>247.1</v>
      </c>
      <c r="J10" s="68">
        <v>4.33508771929825</v>
      </c>
      <c r="K10" s="69">
        <v>39810.55</v>
      </c>
      <c r="L10" s="68">
        <v>1</v>
      </c>
      <c r="M10" s="67">
        <v>884</v>
      </c>
      <c r="N10" s="68">
        <v>2335.82</v>
      </c>
    </row>
    <row r="11" hidden="1" spans="1:14">
      <c r="A11" t="s">
        <v>166</v>
      </c>
      <c r="B11" s="63" t="s">
        <v>82</v>
      </c>
      <c r="C11" s="63" t="s">
        <v>83</v>
      </c>
      <c r="D11" s="63" t="s">
        <v>5</v>
      </c>
      <c r="E11" s="63" t="s">
        <v>161</v>
      </c>
      <c r="F11" s="66" t="s">
        <v>148</v>
      </c>
      <c r="G11" s="67">
        <v>48</v>
      </c>
      <c r="H11" s="67">
        <v>311</v>
      </c>
      <c r="I11" s="68">
        <v>300.7</v>
      </c>
      <c r="J11" s="68">
        <v>6.26458333333333</v>
      </c>
      <c r="K11" s="69">
        <v>44370.46</v>
      </c>
      <c r="L11" s="68">
        <v>5.5</v>
      </c>
      <c r="M11" s="67">
        <v>1068</v>
      </c>
      <c r="N11" s="68">
        <v>2457.75000000002</v>
      </c>
    </row>
    <row r="12" hidden="1" spans="1:14">
      <c r="A12" t="s">
        <v>166</v>
      </c>
      <c r="B12" s="63" t="s">
        <v>82</v>
      </c>
      <c r="C12" s="63" t="s">
        <v>83</v>
      </c>
      <c r="D12" s="63" t="s">
        <v>4</v>
      </c>
      <c r="E12" s="63" t="s">
        <v>162</v>
      </c>
      <c r="F12" s="66" t="s">
        <v>148</v>
      </c>
      <c r="G12" s="67">
        <v>36</v>
      </c>
      <c r="H12" s="67">
        <v>131</v>
      </c>
      <c r="I12" s="68">
        <v>125.8</v>
      </c>
      <c r="J12" s="68">
        <v>3.49444444444444</v>
      </c>
      <c r="K12" s="69">
        <v>19405.98</v>
      </c>
      <c r="L12" s="68">
        <v>10</v>
      </c>
      <c r="M12" s="67">
        <v>391</v>
      </c>
      <c r="N12" s="68">
        <v>1364.34</v>
      </c>
    </row>
    <row r="13" hidden="1" spans="1:14">
      <c r="A13" t="s">
        <v>166</v>
      </c>
      <c r="B13" s="63" t="s">
        <v>82</v>
      </c>
      <c r="C13" s="63" t="s">
        <v>83</v>
      </c>
      <c r="D13" s="63" t="s">
        <v>7</v>
      </c>
      <c r="E13" s="63" t="s">
        <v>163</v>
      </c>
      <c r="F13" s="66" t="s">
        <v>148</v>
      </c>
      <c r="G13" s="67">
        <v>55</v>
      </c>
      <c r="H13" s="67">
        <v>270</v>
      </c>
      <c r="I13" s="68">
        <v>259.5</v>
      </c>
      <c r="J13" s="68">
        <v>4.71818181818182</v>
      </c>
      <c r="K13" s="69">
        <v>37907.32</v>
      </c>
      <c r="L13" s="68">
        <v>3</v>
      </c>
      <c r="M13" s="67">
        <v>731</v>
      </c>
      <c r="N13" s="68">
        <v>2167.76999999998</v>
      </c>
    </row>
    <row r="14" hidden="1" spans="1:14">
      <c r="A14" t="s">
        <v>166</v>
      </c>
      <c r="B14" s="63" t="s">
        <v>82</v>
      </c>
      <c r="C14" s="63" t="s">
        <v>83</v>
      </c>
      <c r="D14" s="63" t="s">
        <v>8</v>
      </c>
      <c r="E14" s="63" t="s">
        <v>164</v>
      </c>
      <c r="F14" s="66" t="s">
        <v>148</v>
      </c>
      <c r="G14" s="67">
        <v>56</v>
      </c>
      <c r="H14" s="67">
        <v>259</v>
      </c>
      <c r="I14" s="68">
        <v>252.5</v>
      </c>
      <c r="J14" s="68">
        <v>4.50892857142857</v>
      </c>
      <c r="K14" s="69">
        <v>34580.93</v>
      </c>
      <c r="L14" s="68">
        <v>0</v>
      </c>
      <c r="M14" s="67">
        <v>797</v>
      </c>
      <c r="N14" s="68">
        <v>1596.44999999998</v>
      </c>
    </row>
    <row r="15" hidden="1" spans="1:14">
      <c r="A15" t="s">
        <v>166</v>
      </c>
      <c r="B15" s="63" t="s">
        <v>82</v>
      </c>
      <c r="C15" s="63" t="s">
        <v>83</v>
      </c>
      <c r="D15" s="63" t="s">
        <v>6</v>
      </c>
      <c r="E15" s="63" t="s">
        <v>165</v>
      </c>
      <c r="F15" s="66" t="s">
        <v>148</v>
      </c>
      <c r="G15" s="67">
        <v>70</v>
      </c>
      <c r="H15" s="67">
        <v>373</v>
      </c>
      <c r="I15" s="68">
        <v>364</v>
      </c>
      <c r="J15" s="68">
        <v>5.2</v>
      </c>
      <c r="K15" s="69">
        <v>50321.82</v>
      </c>
      <c r="L15" s="68">
        <v>5</v>
      </c>
      <c r="M15" s="67">
        <v>1198</v>
      </c>
      <c r="N15" s="68">
        <v>2341.35000000001</v>
      </c>
    </row>
    <row r="16" hidden="1" spans="1:14">
      <c r="A16" s="63" t="s">
        <v>167</v>
      </c>
      <c r="B16" s="63" t="s">
        <v>82</v>
      </c>
      <c r="C16" s="63" t="s">
        <v>83</v>
      </c>
      <c r="D16" s="63" t="s">
        <v>3</v>
      </c>
      <c r="E16" s="63" t="s">
        <v>158</v>
      </c>
      <c r="F16" s="66" t="s">
        <v>148</v>
      </c>
      <c r="G16" s="67">
        <v>53</v>
      </c>
      <c r="H16" s="67">
        <v>251</v>
      </c>
      <c r="I16" s="68">
        <v>241.6</v>
      </c>
      <c r="J16" s="68">
        <v>4.55849056603773</v>
      </c>
      <c r="K16" s="69">
        <v>37231.49</v>
      </c>
      <c r="L16" s="68">
        <v>6.1</v>
      </c>
      <c r="M16" s="67">
        <v>799</v>
      </c>
      <c r="N16" s="68">
        <v>2257.91</v>
      </c>
    </row>
    <row r="17" hidden="1" spans="1:14">
      <c r="A17" s="63" t="s">
        <v>167</v>
      </c>
      <c r="B17" s="63" t="s">
        <v>82</v>
      </c>
      <c r="C17" s="63" t="s">
        <v>83</v>
      </c>
      <c r="D17" s="63" t="s">
        <v>9</v>
      </c>
      <c r="E17" s="63" t="s">
        <v>160</v>
      </c>
      <c r="F17" s="66" t="s">
        <v>148</v>
      </c>
      <c r="G17" s="67">
        <v>57</v>
      </c>
      <c r="H17" s="67">
        <v>262</v>
      </c>
      <c r="I17" s="68">
        <v>254.9</v>
      </c>
      <c r="J17" s="68">
        <v>4.4719298245614</v>
      </c>
      <c r="K17" s="69">
        <v>36368.07</v>
      </c>
      <c r="L17" s="68">
        <v>0</v>
      </c>
      <c r="M17" s="67">
        <v>778</v>
      </c>
      <c r="N17" s="68">
        <v>2238.7</v>
      </c>
    </row>
    <row r="18" hidden="1" spans="1:14">
      <c r="A18" s="63" t="s">
        <v>167</v>
      </c>
      <c r="B18" s="63" t="s">
        <v>82</v>
      </c>
      <c r="C18" s="63" t="s">
        <v>83</v>
      </c>
      <c r="D18" s="63" t="s">
        <v>5</v>
      </c>
      <c r="E18" s="63" t="s">
        <v>161</v>
      </c>
      <c r="F18" s="66" t="s">
        <v>148</v>
      </c>
      <c r="G18" s="67">
        <v>48</v>
      </c>
      <c r="H18" s="67">
        <v>288</v>
      </c>
      <c r="I18" s="68">
        <v>277.9</v>
      </c>
      <c r="J18" s="68">
        <v>5.78958333333333</v>
      </c>
      <c r="K18" s="69">
        <v>33262.82</v>
      </c>
      <c r="L18" s="68">
        <v>1</v>
      </c>
      <c r="M18" s="67">
        <v>896</v>
      </c>
      <c r="N18" s="68">
        <v>2169.24000000001</v>
      </c>
    </row>
    <row r="19" hidden="1" spans="1:14">
      <c r="A19" s="63" t="s">
        <v>167</v>
      </c>
      <c r="B19" s="63" t="s">
        <v>82</v>
      </c>
      <c r="C19" s="63" t="s">
        <v>83</v>
      </c>
      <c r="D19" s="63" t="s">
        <v>4</v>
      </c>
      <c r="E19" s="63" t="s">
        <v>162</v>
      </c>
      <c r="F19" s="66" t="s">
        <v>148</v>
      </c>
      <c r="G19" s="67">
        <v>36</v>
      </c>
      <c r="H19" s="67">
        <v>129</v>
      </c>
      <c r="I19" s="68">
        <v>122.1</v>
      </c>
      <c r="J19" s="68">
        <v>3.39166666666667</v>
      </c>
      <c r="K19" s="69">
        <v>17632.2</v>
      </c>
      <c r="L19" s="68">
        <v>0</v>
      </c>
      <c r="M19" s="67">
        <v>395</v>
      </c>
      <c r="N19" s="68">
        <v>1487.75</v>
      </c>
    </row>
    <row r="20" hidden="1" spans="1:14">
      <c r="A20" s="63" t="s">
        <v>167</v>
      </c>
      <c r="B20" s="63" t="s">
        <v>82</v>
      </c>
      <c r="C20" s="63" t="s">
        <v>83</v>
      </c>
      <c r="D20" s="63" t="s">
        <v>7</v>
      </c>
      <c r="E20" s="63" t="s">
        <v>163</v>
      </c>
      <c r="F20" s="66" t="s">
        <v>148</v>
      </c>
      <c r="G20" s="67">
        <v>55</v>
      </c>
      <c r="H20" s="67">
        <v>322</v>
      </c>
      <c r="I20" s="68">
        <v>316.6</v>
      </c>
      <c r="J20" s="68">
        <v>5.75636363636364</v>
      </c>
      <c r="K20" s="69">
        <v>43103.14</v>
      </c>
      <c r="L20" s="68">
        <v>2</v>
      </c>
      <c r="M20" s="67">
        <v>910</v>
      </c>
      <c r="N20" s="68">
        <v>2072.06000000002</v>
      </c>
    </row>
    <row r="21" hidden="1" spans="1:14">
      <c r="A21" s="63" t="s">
        <v>167</v>
      </c>
      <c r="B21" s="63" t="s">
        <v>82</v>
      </c>
      <c r="C21" s="63" t="s">
        <v>83</v>
      </c>
      <c r="D21" s="63" t="s">
        <v>8</v>
      </c>
      <c r="E21" s="63" t="s">
        <v>164</v>
      </c>
      <c r="F21" s="66" t="s">
        <v>148</v>
      </c>
      <c r="G21" s="67">
        <v>56</v>
      </c>
      <c r="H21" s="67">
        <v>278</v>
      </c>
      <c r="I21" s="68">
        <v>270</v>
      </c>
      <c r="J21" s="68">
        <v>4.82142857142857</v>
      </c>
      <c r="K21" s="69">
        <v>33219.73</v>
      </c>
      <c r="L21" s="68">
        <v>1</v>
      </c>
      <c r="M21" s="67">
        <v>782</v>
      </c>
      <c r="N21" s="68">
        <v>2739.23000000001</v>
      </c>
    </row>
    <row r="22" hidden="1" spans="1:14">
      <c r="A22" s="63" t="s">
        <v>167</v>
      </c>
      <c r="B22" s="63" t="s">
        <v>82</v>
      </c>
      <c r="C22" s="63" t="s">
        <v>83</v>
      </c>
      <c r="D22" s="63" t="s">
        <v>6</v>
      </c>
      <c r="E22" s="63" t="s">
        <v>165</v>
      </c>
      <c r="F22" s="66" t="s">
        <v>148</v>
      </c>
      <c r="G22" s="67">
        <v>70</v>
      </c>
      <c r="H22" s="67">
        <v>370</v>
      </c>
      <c r="I22" s="68">
        <v>364.3</v>
      </c>
      <c r="J22" s="68">
        <v>5.20428571428571</v>
      </c>
      <c r="K22" s="69">
        <v>48366.84</v>
      </c>
      <c r="L22" s="68">
        <v>0</v>
      </c>
      <c r="M22" s="67">
        <v>1168</v>
      </c>
      <c r="N22" s="68">
        <v>2558.72999999999</v>
      </c>
    </row>
    <row r="23" hidden="1" spans="1:14">
      <c r="A23" t="s">
        <v>168</v>
      </c>
      <c r="B23" s="63" t="s">
        <v>82</v>
      </c>
      <c r="C23" s="63" t="s">
        <v>83</v>
      </c>
      <c r="D23" s="63" t="s">
        <v>3</v>
      </c>
      <c r="E23" s="63" t="s">
        <v>158</v>
      </c>
      <c r="F23" s="66" t="s">
        <v>159</v>
      </c>
      <c r="G23" s="67">
        <v>53</v>
      </c>
      <c r="H23" s="67">
        <v>167</v>
      </c>
      <c r="I23" s="68">
        <v>153.5</v>
      </c>
      <c r="J23" s="68">
        <v>2.89622641509434</v>
      </c>
      <c r="K23" s="69">
        <v>23451.51</v>
      </c>
      <c r="L23" s="68">
        <v>0.9</v>
      </c>
      <c r="M23" s="67">
        <v>488</v>
      </c>
      <c r="N23" s="68">
        <v>2071.46</v>
      </c>
    </row>
    <row r="24" hidden="1" spans="1:14">
      <c r="A24" t="s">
        <v>168</v>
      </c>
      <c r="B24" s="63" t="s">
        <v>82</v>
      </c>
      <c r="C24" s="63" t="s">
        <v>83</v>
      </c>
      <c r="D24" s="63" t="s">
        <v>9</v>
      </c>
      <c r="E24" s="63" t="s">
        <v>160</v>
      </c>
      <c r="F24" s="66" t="s">
        <v>159</v>
      </c>
      <c r="G24" s="67">
        <v>57</v>
      </c>
      <c r="H24" s="67">
        <v>150</v>
      </c>
      <c r="I24" s="68">
        <v>140.3</v>
      </c>
      <c r="J24" s="68">
        <v>2.46140350877193</v>
      </c>
      <c r="K24" s="69">
        <v>19712.35</v>
      </c>
      <c r="L24" s="68">
        <v>0</v>
      </c>
      <c r="M24" s="67">
        <v>448</v>
      </c>
      <c r="N24" s="68">
        <v>1449.87</v>
      </c>
    </row>
    <row r="25" hidden="1" spans="1:14">
      <c r="A25" t="s">
        <v>168</v>
      </c>
      <c r="B25" s="63" t="s">
        <v>82</v>
      </c>
      <c r="C25" s="63" t="s">
        <v>83</v>
      </c>
      <c r="D25" s="63" t="s">
        <v>5</v>
      </c>
      <c r="E25" s="63" t="s">
        <v>161</v>
      </c>
      <c r="F25" s="66" t="s">
        <v>159</v>
      </c>
      <c r="G25" s="67">
        <v>48</v>
      </c>
      <c r="H25" s="67">
        <v>192</v>
      </c>
      <c r="I25" s="68">
        <v>182.4</v>
      </c>
      <c r="J25" s="68">
        <v>3.8</v>
      </c>
      <c r="K25" s="69">
        <v>21095.53</v>
      </c>
      <c r="L25" s="68">
        <v>2.4</v>
      </c>
      <c r="M25" s="67">
        <v>546</v>
      </c>
      <c r="N25" s="68">
        <v>1674.49000000001</v>
      </c>
    </row>
    <row r="26" hidden="1" spans="1:14">
      <c r="A26" t="s">
        <v>168</v>
      </c>
      <c r="B26" s="63" t="s">
        <v>82</v>
      </c>
      <c r="C26" s="63" t="s">
        <v>83</v>
      </c>
      <c r="D26" s="63" t="s">
        <v>4</v>
      </c>
      <c r="E26" s="63" t="s">
        <v>162</v>
      </c>
      <c r="F26" s="66" t="s">
        <v>159</v>
      </c>
      <c r="G26" s="67">
        <v>36</v>
      </c>
      <c r="H26" s="67">
        <v>91</v>
      </c>
      <c r="I26" s="68">
        <v>82.4</v>
      </c>
      <c r="J26" s="68">
        <v>2.28888888888889</v>
      </c>
      <c r="K26" s="69">
        <v>11061.18</v>
      </c>
      <c r="L26" s="68">
        <v>4</v>
      </c>
      <c r="M26" s="67">
        <v>254</v>
      </c>
      <c r="N26" s="68">
        <v>1194.51</v>
      </c>
    </row>
    <row r="27" hidden="1" spans="1:14">
      <c r="A27" t="s">
        <v>168</v>
      </c>
      <c r="B27" s="63" t="s">
        <v>82</v>
      </c>
      <c r="C27" s="63" t="s">
        <v>83</v>
      </c>
      <c r="D27" s="63" t="s">
        <v>7</v>
      </c>
      <c r="E27" s="63" t="s">
        <v>163</v>
      </c>
      <c r="F27" s="66" t="s">
        <v>159</v>
      </c>
      <c r="G27" s="67">
        <v>55</v>
      </c>
      <c r="H27" s="67">
        <v>192</v>
      </c>
      <c r="I27" s="68">
        <v>184</v>
      </c>
      <c r="J27" s="68">
        <v>3.34545454545455</v>
      </c>
      <c r="K27" s="69">
        <v>25855.82</v>
      </c>
      <c r="L27" s="68">
        <v>0</v>
      </c>
      <c r="M27" s="67">
        <v>500</v>
      </c>
      <c r="N27" s="68">
        <v>1711.94</v>
      </c>
    </row>
    <row r="28" hidden="1" spans="1:14">
      <c r="A28" t="s">
        <v>168</v>
      </c>
      <c r="B28" s="63" t="s">
        <v>82</v>
      </c>
      <c r="C28" s="63" t="s">
        <v>83</v>
      </c>
      <c r="D28" s="63" t="s">
        <v>8</v>
      </c>
      <c r="E28" s="63" t="s">
        <v>164</v>
      </c>
      <c r="F28" s="66" t="s">
        <v>159</v>
      </c>
      <c r="G28" s="67">
        <v>56</v>
      </c>
      <c r="H28" s="67">
        <v>162</v>
      </c>
      <c r="I28" s="68">
        <v>154.8</v>
      </c>
      <c r="J28" s="68">
        <v>2.76428571428571</v>
      </c>
      <c r="K28" s="69">
        <v>18824.62</v>
      </c>
      <c r="L28" s="68">
        <v>1</v>
      </c>
      <c r="M28" s="67">
        <v>447</v>
      </c>
      <c r="N28" s="68">
        <v>601.55</v>
      </c>
    </row>
    <row r="29" hidden="1" spans="1:14">
      <c r="A29" t="s">
        <v>168</v>
      </c>
      <c r="B29" s="63" t="s">
        <v>82</v>
      </c>
      <c r="C29" s="63" t="s">
        <v>83</v>
      </c>
      <c r="D29" s="63" t="s">
        <v>6</v>
      </c>
      <c r="E29" s="63" t="s">
        <v>165</v>
      </c>
      <c r="F29" s="66" t="s">
        <v>159</v>
      </c>
      <c r="G29" s="67">
        <v>70</v>
      </c>
      <c r="H29" s="67">
        <v>190</v>
      </c>
      <c r="I29" s="68">
        <v>180.3</v>
      </c>
      <c r="J29" s="68">
        <v>2.57571428571429</v>
      </c>
      <c r="K29" s="69">
        <v>21977.89</v>
      </c>
      <c r="L29" s="68">
        <v>1</v>
      </c>
      <c r="M29" s="67">
        <v>524</v>
      </c>
      <c r="N29" s="68">
        <v>1595.3</v>
      </c>
    </row>
    <row r="30" hidden="1" spans="1:14">
      <c r="A30" s="63" t="s">
        <v>169</v>
      </c>
      <c r="B30" s="63" t="s">
        <v>82</v>
      </c>
      <c r="C30" s="63" t="s">
        <v>83</v>
      </c>
      <c r="D30" s="63" t="s">
        <v>3</v>
      </c>
      <c r="E30" s="63" t="s">
        <v>158</v>
      </c>
      <c r="F30" s="66" t="s">
        <v>148</v>
      </c>
      <c r="G30" s="67">
        <v>53</v>
      </c>
      <c r="H30" s="67">
        <v>265</v>
      </c>
      <c r="I30" s="68">
        <v>252.8</v>
      </c>
      <c r="J30" s="68">
        <v>4.76981132075472</v>
      </c>
      <c r="K30" s="69">
        <v>42507.52</v>
      </c>
      <c r="L30" s="68">
        <v>6.9</v>
      </c>
      <c r="M30" s="67">
        <v>857</v>
      </c>
      <c r="N30" s="68">
        <v>3008.10999999998</v>
      </c>
    </row>
    <row r="31" hidden="1" spans="1:14">
      <c r="A31" s="63" t="s">
        <v>169</v>
      </c>
      <c r="B31" s="63" t="s">
        <v>82</v>
      </c>
      <c r="C31" s="63" t="s">
        <v>83</v>
      </c>
      <c r="D31" s="63" t="s">
        <v>9</v>
      </c>
      <c r="E31" s="63" t="s">
        <v>160</v>
      </c>
      <c r="F31" s="66" t="s">
        <v>148</v>
      </c>
      <c r="G31" s="67">
        <v>57</v>
      </c>
      <c r="H31" s="67">
        <v>300</v>
      </c>
      <c r="I31" s="68">
        <v>290.9</v>
      </c>
      <c r="J31" s="68">
        <v>5.10350877192982</v>
      </c>
      <c r="K31" s="69">
        <v>46760.6</v>
      </c>
      <c r="L31" s="68">
        <v>0</v>
      </c>
      <c r="M31" s="67">
        <v>1020</v>
      </c>
      <c r="N31" s="68">
        <v>3445.23999999999</v>
      </c>
    </row>
    <row r="32" hidden="1" spans="1:14">
      <c r="A32" s="63" t="s">
        <v>169</v>
      </c>
      <c r="B32" s="63" t="s">
        <v>82</v>
      </c>
      <c r="C32" s="63" t="s">
        <v>83</v>
      </c>
      <c r="D32" s="63" t="s">
        <v>5</v>
      </c>
      <c r="E32" s="63" t="s">
        <v>161</v>
      </c>
      <c r="F32" s="66" t="s">
        <v>148</v>
      </c>
      <c r="G32" s="67">
        <v>48</v>
      </c>
      <c r="H32" s="67">
        <v>283</v>
      </c>
      <c r="I32" s="68">
        <v>265.3</v>
      </c>
      <c r="J32" s="68">
        <v>5.52708333333333</v>
      </c>
      <c r="K32" s="69">
        <v>38868.14</v>
      </c>
      <c r="L32" s="68">
        <v>5.1</v>
      </c>
      <c r="M32" s="67">
        <v>939</v>
      </c>
      <c r="N32" s="68">
        <v>3070.90999999999</v>
      </c>
    </row>
    <row r="33" hidden="1" spans="1:14">
      <c r="A33" s="63" t="s">
        <v>169</v>
      </c>
      <c r="B33" s="63" t="s">
        <v>82</v>
      </c>
      <c r="C33" s="63" t="s">
        <v>83</v>
      </c>
      <c r="D33" s="63" t="s">
        <v>4</v>
      </c>
      <c r="E33" s="63" t="s">
        <v>162</v>
      </c>
      <c r="F33" s="66" t="s">
        <v>148</v>
      </c>
      <c r="G33" s="67">
        <v>36</v>
      </c>
      <c r="H33" s="67">
        <v>151</v>
      </c>
      <c r="I33" s="68">
        <v>145.7</v>
      </c>
      <c r="J33" s="68">
        <v>4.04722222222222</v>
      </c>
      <c r="K33" s="69">
        <v>22151.27</v>
      </c>
      <c r="L33" s="68">
        <v>12</v>
      </c>
      <c r="M33" s="67">
        <v>453</v>
      </c>
      <c r="N33" s="68">
        <v>1319.98</v>
      </c>
    </row>
    <row r="34" hidden="1" spans="1:14">
      <c r="A34" s="63" t="s">
        <v>169</v>
      </c>
      <c r="B34" s="63" t="s">
        <v>82</v>
      </c>
      <c r="C34" s="63" t="s">
        <v>83</v>
      </c>
      <c r="D34" s="63" t="s">
        <v>7</v>
      </c>
      <c r="E34" s="63" t="s">
        <v>163</v>
      </c>
      <c r="F34" s="66" t="s">
        <v>148</v>
      </c>
      <c r="G34" s="67">
        <v>55</v>
      </c>
      <c r="H34" s="67">
        <v>344</v>
      </c>
      <c r="I34" s="68">
        <v>330.8</v>
      </c>
      <c r="J34" s="68">
        <v>6.01454545454545</v>
      </c>
      <c r="K34" s="69">
        <v>47584.8799999999</v>
      </c>
      <c r="L34" s="68">
        <v>1</v>
      </c>
      <c r="M34" s="67">
        <v>967</v>
      </c>
      <c r="N34" s="68">
        <v>2791.77000000006</v>
      </c>
    </row>
    <row r="35" hidden="1" spans="1:14">
      <c r="A35" s="63" t="s">
        <v>169</v>
      </c>
      <c r="B35" s="63" t="s">
        <v>82</v>
      </c>
      <c r="C35" s="63" t="s">
        <v>83</v>
      </c>
      <c r="D35" s="63" t="s">
        <v>8</v>
      </c>
      <c r="E35" s="63" t="s">
        <v>164</v>
      </c>
      <c r="F35" s="66" t="s">
        <v>148</v>
      </c>
      <c r="G35" s="67">
        <v>56</v>
      </c>
      <c r="H35" s="67">
        <v>317</v>
      </c>
      <c r="I35" s="68">
        <v>310.2</v>
      </c>
      <c r="J35" s="68">
        <v>5.53928571428571</v>
      </c>
      <c r="K35" s="69">
        <v>41958.82</v>
      </c>
      <c r="L35" s="68">
        <v>2</v>
      </c>
      <c r="M35" s="67">
        <v>1005</v>
      </c>
      <c r="N35" s="68">
        <v>3506.62999999997</v>
      </c>
    </row>
    <row r="36" hidden="1" spans="1:14">
      <c r="A36" s="63" t="s">
        <v>169</v>
      </c>
      <c r="B36" s="63" t="s">
        <v>82</v>
      </c>
      <c r="C36" s="63" t="s">
        <v>83</v>
      </c>
      <c r="D36" s="63" t="s">
        <v>6</v>
      </c>
      <c r="E36" s="63" t="s">
        <v>165</v>
      </c>
      <c r="F36" s="66" t="s">
        <v>148</v>
      </c>
      <c r="G36" s="67">
        <v>70</v>
      </c>
      <c r="H36" s="67">
        <v>367</v>
      </c>
      <c r="I36" s="68">
        <v>354.7</v>
      </c>
      <c r="J36" s="68">
        <v>5.06714285714286</v>
      </c>
      <c r="K36" s="69">
        <v>56642.14</v>
      </c>
      <c r="L36" s="68">
        <v>8.7</v>
      </c>
      <c r="M36" s="67">
        <v>1174</v>
      </c>
      <c r="N36" s="68">
        <v>3340.89000000001</v>
      </c>
    </row>
    <row r="37" hidden="1" spans="1:14">
      <c r="A37" t="s">
        <v>170</v>
      </c>
      <c r="B37" s="63" t="s">
        <v>82</v>
      </c>
      <c r="C37" s="63" t="s">
        <v>83</v>
      </c>
      <c r="D37" s="63" t="s">
        <v>3</v>
      </c>
      <c r="E37" s="63" t="s">
        <v>158</v>
      </c>
      <c r="F37" s="66" t="s">
        <v>159</v>
      </c>
      <c r="G37" s="67">
        <v>53</v>
      </c>
      <c r="H37" s="67">
        <v>172</v>
      </c>
      <c r="I37" s="68">
        <v>164.7</v>
      </c>
      <c r="J37" s="68">
        <v>3.10754716981132</v>
      </c>
      <c r="K37" s="69">
        <v>23322.82</v>
      </c>
      <c r="L37" s="68">
        <v>1.7</v>
      </c>
      <c r="M37" s="67">
        <v>490</v>
      </c>
      <c r="N37" s="68">
        <v>1695.33</v>
      </c>
    </row>
    <row r="38" hidden="1" spans="1:14">
      <c r="A38" t="s">
        <v>170</v>
      </c>
      <c r="B38" s="63" t="s">
        <v>82</v>
      </c>
      <c r="C38" s="63" t="s">
        <v>83</v>
      </c>
      <c r="D38" s="63" t="s">
        <v>9</v>
      </c>
      <c r="E38" s="63" t="s">
        <v>160</v>
      </c>
      <c r="F38" s="66" t="s">
        <v>159</v>
      </c>
      <c r="G38" s="67">
        <v>57</v>
      </c>
      <c r="H38" s="67">
        <v>191</v>
      </c>
      <c r="I38" s="68">
        <v>178.4</v>
      </c>
      <c r="J38" s="68">
        <v>3.12982456140351</v>
      </c>
      <c r="K38" s="69">
        <v>24509.9</v>
      </c>
      <c r="L38" s="68">
        <v>0</v>
      </c>
      <c r="M38" s="67">
        <v>576</v>
      </c>
      <c r="N38" s="68">
        <v>2222.2</v>
      </c>
    </row>
    <row r="39" hidden="1" spans="1:14">
      <c r="A39" t="s">
        <v>170</v>
      </c>
      <c r="B39" s="63" t="s">
        <v>82</v>
      </c>
      <c r="C39" s="63" t="s">
        <v>83</v>
      </c>
      <c r="D39" s="63" t="s">
        <v>5</v>
      </c>
      <c r="E39" s="63" t="s">
        <v>161</v>
      </c>
      <c r="F39" s="66" t="s">
        <v>159</v>
      </c>
      <c r="G39" s="67">
        <v>48</v>
      </c>
      <c r="H39" s="67">
        <v>174</v>
      </c>
      <c r="I39" s="68">
        <v>166.2</v>
      </c>
      <c r="J39" s="68">
        <v>3.4625</v>
      </c>
      <c r="K39" s="69">
        <v>20407.06</v>
      </c>
      <c r="L39" s="68">
        <v>1</v>
      </c>
      <c r="M39" s="67">
        <v>522</v>
      </c>
      <c r="N39" s="68">
        <v>1297.37</v>
      </c>
    </row>
    <row r="40" hidden="1" spans="1:14">
      <c r="A40" t="s">
        <v>170</v>
      </c>
      <c r="B40" s="63" t="s">
        <v>82</v>
      </c>
      <c r="C40" s="63" t="s">
        <v>83</v>
      </c>
      <c r="D40" s="63" t="s">
        <v>4</v>
      </c>
      <c r="E40" s="63" t="s">
        <v>162</v>
      </c>
      <c r="F40" s="66" t="s">
        <v>159</v>
      </c>
      <c r="G40" s="67">
        <v>36</v>
      </c>
      <c r="H40" s="67">
        <v>98</v>
      </c>
      <c r="I40" s="68">
        <v>89.3</v>
      </c>
      <c r="J40" s="68">
        <v>2.48055555555556</v>
      </c>
      <c r="K40" s="69">
        <v>13202.02</v>
      </c>
      <c r="L40" s="68">
        <v>1</v>
      </c>
      <c r="M40" s="67">
        <v>282</v>
      </c>
      <c r="N40" s="68">
        <v>1815.17</v>
      </c>
    </row>
    <row r="41" hidden="1" spans="1:14">
      <c r="A41" t="s">
        <v>170</v>
      </c>
      <c r="B41" s="63" t="s">
        <v>82</v>
      </c>
      <c r="C41" s="63" t="s">
        <v>83</v>
      </c>
      <c r="D41" s="63" t="s">
        <v>7</v>
      </c>
      <c r="E41" s="63" t="s">
        <v>163</v>
      </c>
      <c r="F41" s="66" t="s">
        <v>159</v>
      </c>
      <c r="G41" s="67">
        <v>55</v>
      </c>
      <c r="H41" s="67">
        <v>208</v>
      </c>
      <c r="I41" s="68">
        <v>198.8</v>
      </c>
      <c r="J41" s="68">
        <v>3.61454545454545</v>
      </c>
      <c r="K41" s="69">
        <v>28568.9</v>
      </c>
      <c r="L41" s="68">
        <v>1</v>
      </c>
      <c r="M41" s="67">
        <v>573</v>
      </c>
      <c r="N41" s="68">
        <v>1429.52000000001</v>
      </c>
    </row>
    <row r="42" hidden="1" spans="1:14">
      <c r="A42" t="s">
        <v>170</v>
      </c>
      <c r="B42" s="63" t="s">
        <v>82</v>
      </c>
      <c r="C42" s="63" t="s">
        <v>83</v>
      </c>
      <c r="D42" s="63" t="s">
        <v>8</v>
      </c>
      <c r="E42" s="63" t="s">
        <v>164</v>
      </c>
      <c r="F42" s="66" t="s">
        <v>159</v>
      </c>
      <c r="G42" s="67">
        <v>56</v>
      </c>
      <c r="H42" s="67">
        <v>131</v>
      </c>
      <c r="I42" s="68">
        <v>121.2</v>
      </c>
      <c r="J42" s="68">
        <v>2.16428571428571</v>
      </c>
      <c r="K42" s="69">
        <v>14538.83</v>
      </c>
      <c r="L42" s="68">
        <v>0</v>
      </c>
      <c r="M42" s="67">
        <v>359</v>
      </c>
      <c r="N42" s="68">
        <v>767.82</v>
      </c>
    </row>
    <row r="43" hidden="1" spans="1:14">
      <c r="A43" t="s">
        <v>170</v>
      </c>
      <c r="B43" s="63" t="s">
        <v>82</v>
      </c>
      <c r="C43" s="63" t="s">
        <v>83</v>
      </c>
      <c r="D43" s="63" t="s">
        <v>6</v>
      </c>
      <c r="E43" s="63" t="s">
        <v>165</v>
      </c>
      <c r="F43" s="66" t="s">
        <v>159</v>
      </c>
      <c r="G43" s="67">
        <v>70</v>
      </c>
      <c r="H43" s="67">
        <v>166</v>
      </c>
      <c r="I43" s="68">
        <v>160.5</v>
      </c>
      <c r="J43" s="68">
        <v>2.29285714285714</v>
      </c>
      <c r="K43" s="69">
        <v>19147.13</v>
      </c>
      <c r="L43" s="68">
        <v>0</v>
      </c>
      <c r="M43" s="67">
        <v>448</v>
      </c>
      <c r="N43" s="68">
        <v>1080.89000000001</v>
      </c>
    </row>
    <row r="44" hidden="1" spans="1:14">
      <c r="A44" s="63" t="s">
        <v>171</v>
      </c>
      <c r="B44" s="63" t="s">
        <v>82</v>
      </c>
      <c r="C44" s="63" t="s">
        <v>83</v>
      </c>
      <c r="D44" s="63" t="s">
        <v>3</v>
      </c>
      <c r="E44" s="63" t="s">
        <v>158</v>
      </c>
      <c r="F44" s="66" t="s">
        <v>148</v>
      </c>
      <c r="G44" s="67">
        <v>53</v>
      </c>
      <c r="H44" s="67">
        <v>267</v>
      </c>
      <c r="I44" s="68">
        <v>256.4</v>
      </c>
      <c r="J44" s="68">
        <v>4.8377358490566</v>
      </c>
      <c r="K44" s="69">
        <v>42921.39</v>
      </c>
      <c r="L44" s="68">
        <v>2</v>
      </c>
      <c r="M44" s="67">
        <v>891</v>
      </c>
      <c r="N44" s="68">
        <v>2724.39000000002</v>
      </c>
    </row>
    <row r="45" hidden="1" spans="1:14">
      <c r="A45" s="63" t="s">
        <v>171</v>
      </c>
      <c r="B45" s="63" t="s">
        <v>82</v>
      </c>
      <c r="C45" s="63" t="s">
        <v>83</v>
      </c>
      <c r="D45" s="63" t="s">
        <v>9</v>
      </c>
      <c r="E45" s="63" t="s">
        <v>160</v>
      </c>
      <c r="F45" s="66" t="s">
        <v>148</v>
      </c>
      <c r="G45" s="67">
        <v>57</v>
      </c>
      <c r="H45" s="67">
        <v>236</v>
      </c>
      <c r="I45" s="68">
        <v>229.4</v>
      </c>
      <c r="J45" s="68">
        <v>4.02456140350877</v>
      </c>
      <c r="K45" s="69">
        <v>35662.91</v>
      </c>
      <c r="L45" s="68">
        <v>0</v>
      </c>
      <c r="M45" s="67">
        <v>774</v>
      </c>
      <c r="N45" s="68">
        <v>2029.39</v>
      </c>
    </row>
    <row r="46" hidden="1" spans="1:14">
      <c r="A46" s="63" t="s">
        <v>171</v>
      </c>
      <c r="B46" s="63" t="s">
        <v>82</v>
      </c>
      <c r="C46" s="63" t="s">
        <v>83</v>
      </c>
      <c r="D46" s="63" t="s">
        <v>5</v>
      </c>
      <c r="E46" s="63" t="s">
        <v>161</v>
      </c>
      <c r="F46" s="66" t="s">
        <v>148</v>
      </c>
      <c r="G46" s="67">
        <v>48</v>
      </c>
      <c r="H46" s="67">
        <v>294</v>
      </c>
      <c r="I46" s="68">
        <v>280.8</v>
      </c>
      <c r="J46" s="68">
        <v>5.85</v>
      </c>
      <c r="K46" s="69">
        <v>43658.48</v>
      </c>
      <c r="L46" s="68">
        <v>2.8</v>
      </c>
      <c r="M46" s="67">
        <v>1039</v>
      </c>
      <c r="N46" s="68">
        <v>2552.41000000001</v>
      </c>
    </row>
    <row r="47" hidden="1" spans="1:14">
      <c r="A47" s="63" t="s">
        <v>171</v>
      </c>
      <c r="B47" s="63" t="s">
        <v>82</v>
      </c>
      <c r="C47" s="63" t="s">
        <v>83</v>
      </c>
      <c r="D47" s="63" t="s">
        <v>4</v>
      </c>
      <c r="E47" s="63" t="s">
        <v>162</v>
      </c>
      <c r="F47" s="66" t="s">
        <v>148</v>
      </c>
      <c r="G47" s="67">
        <v>36</v>
      </c>
      <c r="H47" s="67">
        <v>136</v>
      </c>
      <c r="I47" s="68">
        <v>132.7</v>
      </c>
      <c r="J47" s="68">
        <v>3.68611111111111</v>
      </c>
      <c r="K47" s="69">
        <v>19745.89</v>
      </c>
      <c r="L47" s="68">
        <v>10.9</v>
      </c>
      <c r="M47" s="67">
        <v>388</v>
      </c>
      <c r="N47" s="68">
        <v>1369.37</v>
      </c>
    </row>
    <row r="48" hidden="1" spans="1:14">
      <c r="A48" s="63" t="s">
        <v>171</v>
      </c>
      <c r="B48" s="63" t="s">
        <v>82</v>
      </c>
      <c r="C48" s="63" t="s">
        <v>83</v>
      </c>
      <c r="D48" s="63" t="s">
        <v>7</v>
      </c>
      <c r="E48" s="63" t="s">
        <v>163</v>
      </c>
      <c r="F48" s="66" t="s">
        <v>148</v>
      </c>
      <c r="G48" s="67">
        <v>55</v>
      </c>
      <c r="H48" s="67">
        <v>291</v>
      </c>
      <c r="I48" s="68">
        <v>282.6</v>
      </c>
      <c r="J48" s="68">
        <v>5.13818181818182</v>
      </c>
      <c r="K48" s="69">
        <v>42777.67</v>
      </c>
      <c r="L48" s="68">
        <v>0</v>
      </c>
      <c r="M48" s="67">
        <v>827</v>
      </c>
      <c r="N48" s="68">
        <v>2198.94000000003</v>
      </c>
    </row>
    <row r="49" hidden="1" spans="1:14">
      <c r="A49" s="63" t="s">
        <v>171</v>
      </c>
      <c r="B49" s="63" t="s">
        <v>82</v>
      </c>
      <c r="C49" s="63" t="s">
        <v>83</v>
      </c>
      <c r="D49" s="63" t="s">
        <v>8</v>
      </c>
      <c r="E49" s="63" t="s">
        <v>164</v>
      </c>
      <c r="F49" s="66" t="s">
        <v>148</v>
      </c>
      <c r="G49" s="67">
        <v>56</v>
      </c>
      <c r="H49" s="67">
        <v>208</v>
      </c>
      <c r="I49" s="68">
        <v>199.4</v>
      </c>
      <c r="J49" s="68">
        <v>3.56071428571429</v>
      </c>
      <c r="K49" s="69">
        <v>27033.79</v>
      </c>
      <c r="L49" s="68">
        <v>3</v>
      </c>
      <c r="M49" s="67">
        <v>616</v>
      </c>
      <c r="N49" s="68">
        <v>1938.28999999998</v>
      </c>
    </row>
    <row r="50" hidden="1" spans="1:14">
      <c r="A50" s="63" t="s">
        <v>171</v>
      </c>
      <c r="B50" s="63" t="s">
        <v>82</v>
      </c>
      <c r="C50" s="63" t="s">
        <v>83</v>
      </c>
      <c r="D50" s="63" t="s">
        <v>6</v>
      </c>
      <c r="E50" s="63" t="s">
        <v>165</v>
      </c>
      <c r="F50" s="66" t="s">
        <v>148</v>
      </c>
      <c r="G50" s="67">
        <v>70</v>
      </c>
      <c r="H50" s="67">
        <v>382</v>
      </c>
      <c r="I50" s="68">
        <v>373.2</v>
      </c>
      <c r="J50" s="68">
        <v>5.33142857142857</v>
      </c>
      <c r="K50" s="69">
        <v>53042.54</v>
      </c>
      <c r="L50" s="68">
        <v>7</v>
      </c>
      <c r="M50" s="67">
        <v>1193</v>
      </c>
      <c r="N50" s="68">
        <v>2599.82999999999</v>
      </c>
    </row>
    <row r="51" hidden="1" spans="1:14">
      <c r="A51" t="s">
        <v>172</v>
      </c>
      <c r="B51" s="63" t="s">
        <v>82</v>
      </c>
      <c r="C51" s="63" t="s">
        <v>83</v>
      </c>
      <c r="D51" s="63" t="s">
        <v>3</v>
      </c>
      <c r="E51" s="63" t="s">
        <v>158</v>
      </c>
      <c r="F51" s="66" t="s">
        <v>159</v>
      </c>
      <c r="G51" s="67">
        <v>53</v>
      </c>
      <c r="H51" s="67">
        <v>184</v>
      </c>
      <c r="I51" s="68">
        <v>177.1</v>
      </c>
      <c r="J51" s="68">
        <v>3.34150943396226</v>
      </c>
      <c r="K51" s="69">
        <v>26817.38</v>
      </c>
      <c r="L51" s="68">
        <v>2.9</v>
      </c>
      <c r="M51" s="67">
        <v>562</v>
      </c>
      <c r="N51" s="68">
        <v>2290.78000000001</v>
      </c>
    </row>
    <row r="52" hidden="1" spans="1:14">
      <c r="A52" t="s">
        <v>172</v>
      </c>
      <c r="B52" s="63" t="s">
        <v>82</v>
      </c>
      <c r="C52" s="63" t="s">
        <v>83</v>
      </c>
      <c r="D52" s="63" t="s">
        <v>9</v>
      </c>
      <c r="E52" s="63" t="s">
        <v>160</v>
      </c>
      <c r="F52" s="66" t="s">
        <v>159</v>
      </c>
      <c r="G52" s="67">
        <v>57</v>
      </c>
      <c r="H52" s="67">
        <v>155</v>
      </c>
      <c r="I52" s="68">
        <v>145</v>
      </c>
      <c r="J52" s="68">
        <v>2.54385964912281</v>
      </c>
      <c r="K52" s="69">
        <v>21360.25</v>
      </c>
      <c r="L52" s="68">
        <v>0</v>
      </c>
      <c r="M52" s="67">
        <v>460</v>
      </c>
      <c r="N52" s="68">
        <v>1773.78</v>
      </c>
    </row>
    <row r="53" hidden="1" spans="1:14">
      <c r="A53" t="s">
        <v>172</v>
      </c>
      <c r="B53" s="63" t="s">
        <v>82</v>
      </c>
      <c r="C53" s="63" t="s">
        <v>83</v>
      </c>
      <c r="D53" s="63" t="s">
        <v>5</v>
      </c>
      <c r="E53" s="63" t="s">
        <v>161</v>
      </c>
      <c r="F53" s="66" t="s">
        <v>159</v>
      </c>
      <c r="G53" s="67">
        <v>48</v>
      </c>
      <c r="H53" s="67">
        <v>192</v>
      </c>
      <c r="I53" s="68">
        <v>187.4</v>
      </c>
      <c r="J53" s="68">
        <v>3.90416666666667</v>
      </c>
      <c r="K53" s="69">
        <v>22596.54</v>
      </c>
      <c r="L53" s="68">
        <v>0</v>
      </c>
      <c r="M53" s="67">
        <v>565</v>
      </c>
      <c r="N53" s="68">
        <v>1224.24999999999</v>
      </c>
    </row>
    <row r="54" hidden="1" spans="1:14">
      <c r="A54" t="s">
        <v>172</v>
      </c>
      <c r="B54" s="63" t="s">
        <v>82</v>
      </c>
      <c r="C54" s="63" t="s">
        <v>83</v>
      </c>
      <c r="D54" s="63" t="s">
        <v>4</v>
      </c>
      <c r="E54" s="63" t="s">
        <v>162</v>
      </c>
      <c r="F54" s="66" t="s">
        <v>159</v>
      </c>
      <c r="G54" s="67">
        <v>36</v>
      </c>
      <c r="H54" s="67">
        <v>95</v>
      </c>
      <c r="I54" s="68">
        <v>87.4</v>
      </c>
      <c r="J54" s="68">
        <v>2.42777777777778</v>
      </c>
      <c r="K54" s="69">
        <v>11163.62</v>
      </c>
      <c r="L54" s="68">
        <v>9</v>
      </c>
      <c r="M54" s="67">
        <v>252</v>
      </c>
      <c r="N54" s="68">
        <v>1179.37</v>
      </c>
    </row>
    <row r="55" hidden="1" spans="1:14">
      <c r="A55" t="s">
        <v>172</v>
      </c>
      <c r="B55" s="63" t="s">
        <v>82</v>
      </c>
      <c r="C55" s="63" t="s">
        <v>83</v>
      </c>
      <c r="D55" s="63" t="s">
        <v>7</v>
      </c>
      <c r="E55" s="63" t="s">
        <v>163</v>
      </c>
      <c r="F55" s="66" t="s">
        <v>159</v>
      </c>
      <c r="G55" s="67">
        <v>55</v>
      </c>
      <c r="H55" s="67">
        <v>224</v>
      </c>
      <c r="I55" s="68">
        <v>214</v>
      </c>
      <c r="J55" s="68">
        <v>3.89090909090909</v>
      </c>
      <c r="K55" s="69">
        <v>29582.74</v>
      </c>
      <c r="L55" s="68">
        <v>2</v>
      </c>
      <c r="M55" s="67">
        <v>567</v>
      </c>
      <c r="N55" s="68">
        <v>1924.42</v>
      </c>
    </row>
    <row r="56" hidden="1" spans="1:14">
      <c r="A56" t="s">
        <v>172</v>
      </c>
      <c r="B56" s="63" t="s">
        <v>82</v>
      </c>
      <c r="C56" s="63" t="s">
        <v>83</v>
      </c>
      <c r="D56" s="63" t="s">
        <v>8</v>
      </c>
      <c r="E56" s="63" t="s">
        <v>164</v>
      </c>
      <c r="F56" s="66" t="s">
        <v>159</v>
      </c>
      <c r="G56" s="67">
        <v>56</v>
      </c>
      <c r="H56" s="67">
        <v>126</v>
      </c>
      <c r="I56" s="68">
        <v>115.4</v>
      </c>
      <c r="J56" s="68">
        <v>2.06071428571429</v>
      </c>
      <c r="K56" s="69">
        <v>15043.35</v>
      </c>
      <c r="L56" s="68">
        <v>0</v>
      </c>
      <c r="M56" s="67">
        <v>340</v>
      </c>
      <c r="N56" s="68">
        <v>829.22</v>
      </c>
    </row>
    <row r="57" hidden="1" spans="1:14">
      <c r="A57" t="s">
        <v>172</v>
      </c>
      <c r="B57" s="63" t="s">
        <v>82</v>
      </c>
      <c r="C57" s="63" t="s">
        <v>83</v>
      </c>
      <c r="D57" s="63" t="s">
        <v>6</v>
      </c>
      <c r="E57" s="63" t="s">
        <v>165</v>
      </c>
      <c r="F57" s="66" t="s">
        <v>159</v>
      </c>
      <c r="G57" s="67">
        <v>70</v>
      </c>
      <c r="H57" s="67">
        <v>168</v>
      </c>
      <c r="I57" s="68">
        <v>164.2</v>
      </c>
      <c r="J57" s="68">
        <v>2.34571428571429</v>
      </c>
      <c r="K57" s="69">
        <v>22554.12</v>
      </c>
      <c r="L57" s="68">
        <v>2</v>
      </c>
      <c r="M57" s="67">
        <v>480</v>
      </c>
      <c r="N57" s="68">
        <v>1264.54000000001</v>
      </c>
    </row>
    <row r="58" hidden="1" spans="1:14">
      <c r="A58" s="63" t="s">
        <v>173</v>
      </c>
      <c r="B58" s="63" t="s">
        <v>82</v>
      </c>
      <c r="C58" s="63" t="s">
        <v>83</v>
      </c>
      <c r="D58" s="63" t="s">
        <v>3</v>
      </c>
      <c r="E58" s="63" t="s">
        <v>158</v>
      </c>
      <c r="F58" s="66" t="s">
        <v>159</v>
      </c>
      <c r="G58" s="67">
        <v>53</v>
      </c>
      <c r="H58" s="67">
        <v>170</v>
      </c>
      <c r="I58" s="68">
        <v>162.5</v>
      </c>
      <c r="J58" s="68">
        <v>3.06603773584906</v>
      </c>
      <c r="K58" s="69">
        <v>22579.53</v>
      </c>
      <c r="L58" s="68">
        <v>0.9</v>
      </c>
      <c r="M58" s="67">
        <v>472</v>
      </c>
      <c r="N58" s="68">
        <v>2060.56</v>
      </c>
    </row>
    <row r="59" hidden="1" spans="1:14">
      <c r="A59" s="63" t="s">
        <v>173</v>
      </c>
      <c r="B59" s="63" t="s">
        <v>82</v>
      </c>
      <c r="C59" s="63" t="s">
        <v>83</v>
      </c>
      <c r="D59" s="63" t="s">
        <v>9</v>
      </c>
      <c r="E59" s="63" t="s">
        <v>160</v>
      </c>
      <c r="F59" s="66" t="s">
        <v>159</v>
      </c>
      <c r="G59" s="67">
        <v>57</v>
      </c>
      <c r="H59" s="67">
        <v>158</v>
      </c>
      <c r="I59" s="68">
        <v>149.6</v>
      </c>
      <c r="J59" s="68">
        <v>2.62456140350877</v>
      </c>
      <c r="K59" s="69">
        <v>21495.59</v>
      </c>
      <c r="L59" s="68">
        <v>0</v>
      </c>
      <c r="M59" s="67">
        <v>449</v>
      </c>
      <c r="N59" s="68">
        <v>1534.5</v>
      </c>
    </row>
    <row r="60" hidden="1" spans="1:14">
      <c r="A60" s="63" t="s">
        <v>173</v>
      </c>
      <c r="B60" s="63" t="s">
        <v>82</v>
      </c>
      <c r="C60" s="63" t="s">
        <v>83</v>
      </c>
      <c r="D60" s="63" t="s">
        <v>5</v>
      </c>
      <c r="E60" s="63" t="s">
        <v>161</v>
      </c>
      <c r="F60" s="66" t="s">
        <v>159</v>
      </c>
      <c r="G60" s="67">
        <v>48</v>
      </c>
      <c r="H60" s="67">
        <v>213</v>
      </c>
      <c r="I60" s="68">
        <v>202.1</v>
      </c>
      <c r="J60" s="68">
        <v>4.21041666666667</v>
      </c>
      <c r="K60" s="69">
        <v>23091.85</v>
      </c>
      <c r="L60" s="68">
        <v>1.7</v>
      </c>
      <c r="M60" s="67">
        <v>620</v>
      </c>
      <c r="N60" s="68">
        <v>1625.19000000001</v>
      </c>
    </row>
    <row r="61" hidden="1" spans="1:14">
      <c r="A61" s="63" t="s">
        <v>173</v>
      </c>
      <c r="B61" s="63" t="s">
        <v>82</v>
      </c>
      <c r="C61" s="63" t="s">
        <v>83</v>
      </c>
      <c r="D61" s="63" t="s">
        <v>4</v>
      </c>
      <c r="E61" s="63" t="s">
        <v>162</v>
      </c>
      <c r="F61" s="66" t="s">
        <v>159</v>
      </c>
      <c r="G61" s="67">
        <v>36</v>
      </c>
      <c r="H61" s="67">
        <v>112</v>
      </c>
      <c r="I61" s="68">
        <v>102.9</v>
      </c>
      <c r="J61" s="68">
        <v>2.85833333333333</v>
      </c>
      <c r="K61" s="69">
        <v>13833.83</v>
      </c>
      <c r="L61" s="68">
        <v>9.7</v>
      </c>
      <c r="M61" s="67">
        <v>293</v>
      </c>
      <c r="N61" s="68">
        <v>1519.59</v>
      </c>
    </row>
    <row r="62" hidden="1" spans="1:14">
      <c r="A62" s="63" t="s">
        <v>173</v>
      </c>
      <c r="B62" s="63" t="s">
        <v>82</v>
      </c>
      <c r="C62" s="63" t="s">
        <v>83</v>
      </c>
      <c r="D62" s="63" t="s">
        <v>7</v>
      </c>
      <c r="E62" s="63" t="s">
        <v>163</v>
      </c>
      <c r="F62" s="66" t="s">
        <v>159</v>
      </c>
      <c r="G62" s="67">
        <v>55</v>
      </c>
      <c r="H62" s="67">
        <v>220</v>
      </c>
      <c r="I62" s="68">
        <v>210</v>
      </c>
      <c r="J62" s="68">
        <v>3.81818181818182</v>
      </c>
      <c r="K62" s="69">
        <v>29924.51</v>
      </c>
      <c r="L62" s="68">
        <v>2</v>
      </c>
      <c r="M62" s="67">
        <v>578</v>
      </c>
      <c r="N62" s="68">
        <v>1453.98000000001</v>
      </c>
    </row>
    <row r="63" hidden="1" spans="1:14">
      <c r="A63" s="63" t="s">
        <v>173</v>
      </c>
      <c r="B63" s="63" t="s">
        <v>82</v>
      </c>
      <c r="C63" s="63" t="s">
        <v>83</v>
      </c>
      <c r="D63" s="63" t="s">
        <v>8</v>
      </c>
      <c r="E63" s="63" t="s">
        <v>164</v>
      </c>
      <c r="F63" s="66" t="s">
        <v>159</v>
      </c>
      <c r="G63" s="67">
        <v>56</v>
      </c>
      <c r="H63" s="67">
        <v>135</v>
      </c>
      <c r="I63" s="68">
        <v>128.8</v>
      </c>
      <c r="J63" s="68">
        <v>2.3</v>
      </c>
      <c r="K63" s="69">
        <v>15417.8</v>
      </c>
      <c r="L63" s="68">
        <v>1</v>
      </c>
      <c r="M63" s="67">
        <v>357</v>
      </c>
      <c r="N63" s="68">
        <v>1243.57</v>
      </c>
    </row>
    <row r="64" hidden="1" spans="1:14">
      <c r="A64" s="63" t="s">
        <v>173</v>
      </c>
      <c r="B64" s="63" t="s">
        <v>82</v>
      </c>
      <c r="C64" s="63" t="s">
        <v>83</v>
      </c>
      <c r="D64" s="63" t="s">
        <v>6</v>
      </c>
      <c r="E64" s="63" t="s">
        <v>165</v>
      </c>
      <c r="F64" s="66" t="s">
        <v>159</v>
      </c>
      <c r="G64" s="67">
        <v>70</v>
      </c>
      <c r="H64" s="67">
        <v>191</v>
      </c>
      <c r="I64" s="68">
        <v>183.1</v>
      </c>
      <c r="J64" s="68">
        <v>2.61571428571429</v>
      </c>
      <c r="K64" s="69">
        <v>21419.28</v>
      </c>
      <c r="L64" s="68">
        <v>0.7</v>
      </c>
      <c r="M64" s="67">
        <v>513</v>
      </c>
      <c r="N64" s="68">
        <v>1207.50000000001</v>
      </c>
    </row>
    <row r="65" hidden="1" spans="1:14">
      <c r="A65" t="s">
        <v>174</v>
      </c>
      <c r="B65" s="63" t="s">
        <v>82</v>
      </c>
      <c r="C65" s="63" t="s">
        <v>83</v>
      </c>
      <c r="D65" s="63" t="s">
        <v>3</v>
      </c>
      <c r="E65" s="63" t="s">
        <v>158</v>
      </c>
      <c r="F65" s="66" t="s">
        <v>159</v>
      </c>
      <c r="G65" s="67">
        <v>53</v>
      </c>
      <c r="H65" s="67">
        <v>212</v>
      </c>
      <c r="I65" s="68">
        <v>199.8</v>
      </c>
      <c r="J65" s="68">
        <v>3.76981132075472</v>
      </c>
      <c r="K65" s="69">
        <v>29025.1</v>
      </c>
      <c r="L65" s="68">
        <v>3.7</v>
      </c>
      <c r="M65" s="67">
        <v>635</v>
      </c>
      <c r="N65" s="68">
        <v>2438.16999999999</v>
      </c>
    </row>
    <row r="66" hidden="1" spans="1:14">
      <c r="A66" t="s">
        <v>174</v>
      </c>
      <c r="B66" s="63" t="s">
        <v>82</v>
      </c>
      <c r="C66" s="63" t="s">
        <v>83</v>
      </c>
      <c r="D66" s="63" t="s">
        <v>9</v>
      </c>
      <c r="E66" s="63" t="s">
        <v>160</v>
      </c>
      <c r="F66" s="66" t="s">
        <v>159</v>
      </c>
      <c r="G66" s="67">
        <v>57</v>
      </c>
      <c r="H66" s="67">
        <v>202</v>
      </c>
      <c r="I66" s="68">
        <v>194.2</v>
      </c>
      <c r="J66" s="68">
        <v>3.40701754385965</v>
      </c>
      <c r="K66" s="69">
        <v>26528.68</v>
      </c>
      <c r="L66" s="68">
        <v>0</v>
      </c>
      <c r="M66" s="67">
        <v>590</v>
      </c>
      <c r="N66" s="68">
        <v>2140.81</v>
      </c>
    </row>
    <row r="67" hidden="1" spans="1:14">
      <c r="A67" t="s">
        <v>174</v>
      </c>
      <c r="B67" s="63" t="s">
        <v>82</v>
      </c>
      <c r="C67" s="63" t="s">
        <v>83</v>
      </c>
      <c r="D67" s="63" t="s">
        <v>5</v>
      </c>
      <c r="E67" s="63" t="s">
        <v>161</v>
      </c>
      <c r="F67" s="66" t="s">
        <v>159</v>
      </c>
      <c r="G67" s="67">
        <v>48</v>
      </c>
      <c r="H67" s="67">
        <v>234</v>
      </c>
      <c r="I67" s="68">
        <v>227.2</v>
      </c>
      <c r="J67" s="68">
        <v>4.73333333333333</v>
      </c>
      <c r="K67" s="69">
        <v>29232.31</v>
      </c>
      <c r="L67" s="68">
        <v>1.4</v>
      </c>
      <c r="M67" s="67">
        <v>727</v>
      </c>
      <c r="N67" s="68">
        <v>1872.08000000001</v>
      </c>
    </row>
    <row r="68" hidden="1" spans="1:14">
      <c r="A68" t="s">
        <v>174</v>
      </c>
      <c r="B68" s="63" t="s">
        <v>82</v>
      </c>
      <c r="C68" s="63" t="s">
        <v>83</v>
      </c>
      <c r="D68" s="63" t="s">
        <v>4</v>
      </c>
      <c r="E68" s="63" t="s">
        <v>162</v>
      </c>
      <c r="F68" s="66" t="s">
        <v>159</v>
      </c>
      <c r="G68" s="67">
        <v>36</v>
      </c>
      <c r="H68" s="67">
        <v>94</v>
      </c>
      <c r="I68" s="68">
        <v>85.7</v>
      </c>
      <c r="J68" s="68">
        <v>2.38055555555556</v>
      </c>
      <c r="K68" s="69">
        <v>11065.12</v>
      </c>
      <c r="L68" s="68">
        <v>8</v>
      </c>
      <c r="M68" s="67">
        <v>247</v>
      </c>
      <c r="N68" s="68">
        <v>1442.46</v>
      </c>
    </row>
    <row r="69" hidden="1" spans="1:14">
      <c r="A69" t="s">
        <v>174</v>
      </c>
      <c r="B69" s="63" t="s">
        <v>82</v>
      </c>
      <c r="C69" s="63" t="s">
        <v>83</v>
      </c>
      <c r="D69" s="63" t="s">
        <v>7</v>
      </c>
      <c r="E69" s="63" t="s">
        <v>163</v>
      </c>
      <c r="F69" s="66" t="s">
        <v>159</v>
      </c>
      <c r="G69" s="67">
        <v>55</v>
      </c>
      <c r="H69" s="67">
        <v>238</v>
      </c>
      <c r="I69" s="68">
        <v>226.5</v>
      </c>
      <c r="J69" s="68">
        <v>4.11818181818182</v>
      </c>
      <c r="K69" s="69">
        <v>30741.08</v>
      </c>
      <c r="L69" s="68">
        <v>2</v>
      </c>
      <c r="M69" s="67">
        <v>619</v>
      </c>
      <c r="N69" s="68">
        <v>2075.58000000002</v>
      </c>
    </row>
    <row r="70" hidden="1" spans="1:14">
      <c r="A70" t="s">
        <v>174</v>
      </c>
      <c r="B70" s="63" t="s">
        <v>82</v>
      </c>
      <c r="C70" s="63" t="s">
        <v>83</v>
      </c>
      <c r="D70" s="63" t="s">
        <v>8</v>
      </c>
      <c r="E70" s="63" t="s">
        <v>164</v>
      </c>
      <c r="F70" s="66" t="s">
        <v>159</v>
      </c>
      <c r="G70" s="67">
        <v>56</v>
      </c>
      <c r="H70" s="67">
        <v>156</v>
      </c>
      <c r="I70" s="68">
        <v>143.4</v>
      </c>
      <c r="J70" s="68">
        <v>2.56071428571429</v>
      </c>
      <c r="K70" s="69">
        <v>17894.18</v>
      </c>
      <c r="L70" s="68">
        <v>0</v>
      </c>
      <c r="M70" s="67">
        <v>419</v>
      </c>
      <c r="N70" s="68">
        <v>725.1</v>
      </c>
    </row>
    <row r="71" hidden="1" spans="1:14">
      <c r="A71" t="s">
        <v>174</v>
      </c>
      <c r="B71" s="63" t="s">
        <v>82</v>
      </c>
      <c r="C71" s="63" t="s">
        <v>83</v>
      </c>
      <c r="D71" s="63" t="s">
        <v>6</v>
      </c>
      <c r="E71" s="63" t="s">
        <v>165</v>
      </c>
      <c r="F71" s="66" t="s">
        <v>159</v>
      </c>
      <c r="G71" s="67">
        <v>70</v>
      </c>
      <c r="H71" s="67">
        <v>209</v>
      </c>
      <c r="I71" s="68">
        <v>204.9</v>
      </c>
      <c r="J71" s="68">
        <v>2.92714285714286</v>
      </c>
      <c r="K71" s="69">
        <v>24717.86</v>
      </c>
      <c r="L71" s="68">
        <v>2</v>
      </c>
      <c r="M71" s="67">
        <v>598</v>
      </c>
      <c r="N71" s="68">
        <v>1352.52</v>
      </c>
    </row>
    <row r="72" hidden="1" spans="1:14">
      <c r="A72" s="63" t="s">
        <v>175</v>
      </c>
      <c r="B72" s="63" t="s">
        <v>82</v>
      </c>
      <c r="C72" s="63" t="s">
        <v>83</v>
      </c>
      <c r="D72" s="63" t="s">
        <v>3</v>
      </c>
      <c r="E72" s="63" t="s">
        <v>158</v>
      </c>
      <c r="F72" s="66" t="s">
        <v>159</v>
      </c>
      <c r="G72" s="67">
        <v>53</v>
      </c>
      <c r="H72" s="67">
        <v>188</v>
      </c>
      <c r="I72" s="68">
        <v>177.4</v>
      </c>
      <c r="J72" s="68">
        <v>3.34716981132075</v>
      </c>
      <c r="K72" s="69">
        <v>26950.38</v>
      </c>
      <c r="L72" s="68">
        <v>3.8</v>
      </c>
      <c r="M72" s="67">
        <v>508</v>
      </c>
      <c r="N72" s="68">
        <v>2569.19</v>
      </c>
    </row>
    <row r="73" hidden="1" spans="1:14">
      <c r="A73" s="63" t="s">
        <v>175</v>
      </c>
      <c r="B73" s="63" t="s">
        <v>82</v>
      </c>
      <c r="C73" s="63" t="s">
        <v>83</v>
      </c>
      <c r="D73" s="63" t="s">
        <v>9</v>
      </c>
      <c r="E73" s="63" t="s">
        <v>160</v>
      </c>
      <c r="F73" s="66" t="s">
        <v>159</v>
      </c>
      <c r="G73" s="67">
        <v>57</v>
      </c>
      <c r="H73" s="67">
        <v>164</v>
      </c>
      <c r="I73" s="68">
        <v>151.8</v>
      </c>
      <c r="J73" s="68">
        <v>2.66315789473684</v>
      </c>
      <c r="K73" s="69">
        <v>23374.23</v>
      </c>
      <c r="L73" s="68">
        <v>0</v>
      </c>
      <c r="M73" s="67">
        <v>494</v>
      </c>
      <c r="N73" s="68">
        <v>1875.22</v>
      </c>
    </row>
    <row r="74" hidden="1" spans="1:14">
      <c r="A74" s="63" t="s">
        <v>175</v>
      </c>
      <c r="B74" s="63" t="s">
        <v>82</v>
      </c>
      <c r="C74" s="63" t="s">
        <v>83</v>
      </c>
      <c r="D74" s="63" t="s">
        <v>5</v>
      </c>
      <c r="E74" s="63" t="s">
        <v>161</v>
      </c>
      <c r="F74" s="66" t="s">
        <v>159</v>
      </c>
      <c r="G74" s="67">
        <v>48</v>
      </c>
      <c r="H74" s="67">
        <v>194</v>
      </c>
      <c r="I74" s="68">
        <v>188.5</v>
      </c>
      <c r="J74" s="68">
        <v>3.92708333333333</v>
      </c>
      <c r="K74" s="69">
        <v>22760.39</v>
      </c>
      <c r="L74" s="68">
        <v>0</v>
      </c>
      <c r="M74" s="67">
        <v>566</v>
      </c>
      <c r="N74" s="68">
        <v>1154.02999999999</v>
      </c>
    </row>
    <row r="75" hidden="1" spans="1:14">
      <c r="A75" s="63" t="s">
        <v>175</v>
      </c>
      <c r="B75" s="63" t="s">
        <v>82</v>
      </c>
      <c r="C75" s="63" t="s">
        <v>83</v>
      </c>
      <c r="D75" s="63" t="s">
        <v>4</v>
      </c>
      <c r="E75" s="63" t="s">
        <v>162</v>
      </c>
      <c r="F75" s="66" t="s">
        <v>159</v>
      </c>
      <c r="G75" s="67">
        <v>36</v>
      </c>
      <c r="H75" s="67">
        <v>127</v>
      </c>
      <c r="I75" s="68">
        <v>117.8</v>
      </c>
      <c r="J75" s="68">
        <v>3.27222222222222</v>
      </c>
      <c r="K75" s="69">
        <v>16114.05</v>
      </c>
      <c r="L75" s="68">
        <v>11</v>
      </c>
      <c r="M75" s="67">
        <v>341</v>
      </c>
      <c r="N75" s="68">
        <v>1686.82999999999</v>
      </c>
    </row>
    <row r="76" hidden="1" spans="1:14">
      <c r="A76" s="63" t="s">
        <v>175</v>
      </c>
      <c r="B76" s="63" t="s">
        <v>82</v>
      </c>
      <c r="C76" s="63" t="s">
        <v>83</v>
      </c>
      <c r="D76" s="63" t="s">
        <v>7</v>
      </c>
      <c r="E76" s="63" t="s">
        <v>163</v>
      </c>
      <c r="F76" s="66" t="s">
        <v>159</v>
      </c>
      <c r="G76" s="67">
        <v>55</v>
      </c>
      <c r="H76" s="67">
        <v>247</v>
      </c>
      <c r="I76" s="68">
        <v>234.7</v>
      </c>
      <c r="J76" s="68">
        <v>4.26727272727273</v>
      </c>
      <c r="K76" s="69">
        <v>30638.83</v>
      </c>
      <c r="L76" s="68">
        <v>3</v>
      </c>
      <c r="M76" s="67">
        <v>594</v>
      </c>
      <c r="N76" s="68">
        <v>1257.47000000001</v>
      </c>
    </row>
    <row r="77" hidden="1" spans="1:14">
      <c r="A77" s="63" t="s">
        <v>175</v>
      </c>
      <c r="B77" s="63" t="s">
        <v>82</v>
      </c>
      <c r="C77" s="63" t="s">
        <v>83</v>
      </c>
      <c r="D77" s="63" t="s">
        <v>8</v>
      </c>
      <c r="E77" s="63" t="s">
        <v>164</v>
      </c>
      <c r="F77" s="66" t="s">
        <v>159</v>
      </c>
      <c r="G77" s="67">
        <v>56</v>
      </c>
      <c r="H77" s="67">
        <v>139</v>
      </c>
      <c r="I77" s="68">
        <v>128.4</v>
      </c>
      <c r="J77" s="68">
        <v>2.29285714285714</v>
      </c>
      <c r="K77" s="69">
        <v>15602.17</v>
      </c>
      <c r="L77" s="68">
        <v>1</v>
      </c>
      <c r="M77" s="67">
        <v>362</v>
      </c>
      <c r="N77" s="68">
        <v>1750.27000000001</v>
      </c>
    </row>
    <row r="78" hidden="1" spans="1:14">
      <c r="A78" s="63" t="s">
        <v>175</v>
      </c>
      <c r="B78" s="63" t="s">
        <v>82</v>
      </c>
      <c r="C78" s="63" t="s">
        <v>83</v>
      </c>
      <c r="D78" s="63" t="s">
        <v>6</v>
      </c>
      <c r="E78" s="63" t="s">
        <v>165</v>
      </c>
      <c r="F78" s="66" t="s">
        <v>159</v>
      </c>
      <c r="G78" s="67">
        <v>70</v>
      </c>
      <c r="H78" s="67">
        <v>207</v>
      </c>
      <c r="I78" s="68">
        <v>204.9</v>
      </c>
      <c r="J78" s="68">
        <v>2.92714285714286</v>
      </c>
      <c r="K78" s="69">
        <v>23776.06</v>
      </c>
      <c r="L78" s="68">
        <v>3</v>
      </c>
      <c r="M78" s="67">
        <v>564</v>
      </c>
      <c r="N78" s="68">
        <v>1108.59999999999</v>
      </c>
    </row>
    <row r="79" hidden="1" spans="1:14">
      <c r="A79" t="s">
        <v>176</v>
      </c>
      <c r="B79" s="63" t="s">
        <v>82</v>
      </c>
      <c r="C79" s="63" t="s">
        <v>83</v>
      </c>
      <c r="D79" s="63" t="s">
        <v>3</v>
      </c>
      <c r="E79" s="63" t="s">
        <v>158</v>
      </c>
      <c r="F79" s="66" t="s">
        <v>148</v>
      </c>
      <c r="G79" s="67">
        <v>53</v>
      </c>
      <c r="H79" s="67">
        <v>251</v>
      </c>
      <c r="I79" s="68">
        <v>243</v>
      </c>
      <c r="J79" s="68">
        <v>4.58490566037736</v>
      </c>
      <c r="K79" s="69">
        <v>38544.02</v>
      </c>
      <c r="L79" s="68">
        <v>3.8</v>
      </c>
      <c r="M79" s="67">
        <v>768</v>
      </c>
      <c r="N79" s="68">
        <v>2730.61</v>
      </c>
    </row>
    <row r="80" hidden="1" spans="1:14">
      <c r="A80" t="s">
        <v>176</v>
      </c>
      <c r="B80" s="63" t="s">
        <v>82</v>
      </c>
      <c r="C80" s="63" t="s">
        <v>83</v>
      </c>
      <c r="D80" s="63" t="s">
        <v>9</v>
      </c>
      <c r="E80" s="63" t="s">
        <v>160</v>
      </c>
      <c r="F80" s="66" t="s">
        <v>148</v>
      </c>
      <c r="G80" s="67">
        <v>57</v>
      </c>
      <c r="H80" s="67">
        <v>253</v>
      </c>
      <c r="I80" s="68">
        <v>243.7</v>
      </c>
      <c r="J80" s="68">
        <v>4.27543859649123</v>
      </c>
      <c r="K80" s="69">
        <v>32629.74</v>
      </c>
      <c r="L80" s="68">
        <v>0</v>
      </c>
      <c r="M80" s="67">
        <v>749</v>
      </c>
      <c r="N80" s="68">
        <v>2495.47</v>
      </c>
    </row>
    <row r="81" hidden="1" spans="1:14">
      <c r="A81" t="s">
        <v>176</v>
      </c>
      <c r="B81" s="63" t="s">
        <v>82</v>
      </c>
      <c r="C81" s="63" t="s">
        <v>83</v>
      </c>
      <c r="D81" s="63" t="s">
        <v>5</v>
      </c>
      <c r="E81" s="63" t="s">
        <v>161</v>
      </c>
      <c r="F81" s="66" t="s">
        <v>148</v>
      </c>
      <c r="G81" s="67">
        <v>48</v>
      </c>
      <c r="H81" s="67">
        <v>305</v>
      </c>
      <c r="I81" s="68">
        <v>296.3</v>
      </c>
      <c r="J81" s="68">
        <v>6.17291666666667</v>
      </c>
      <c r="K81" s="69">
        <v>33315.44</v>
      </c>
      <c r="L81" s="68">
        <v>7</v>
      </c>
      <c r="M81" s="67">
        <v>934</v>
      </c>
      <c r="N81" s="68">
        <v>2702.44999999999</v>
      </c>
    </row>
    <row r="82" hidden="1" spans="1:14">
      <c r="A82" t="s">
        <v>176</v>
      </c>
      <c r="B82" s="63" t="s">
        <v>82</v>
      </c>
      <c r="C82" s="63" t="s">
        <v>83</v>
      </c>
      <c r="D82" s="63" t="s">
        <v>4</v>
      </c>
      <c r="E82" s="63" t="s">
        <v>162</v>
      </c>
      <c r="F82" s="66" t="s">
        <v>148</v>
      </c>
      <c r="G82" s="67">
        <v>36</v>
      </c>
      <c r="H82" s="67">
        <v>145</v>
      </c>
      <c r="I82" s="68">
        <v>133.6</v>
      </c>
      <c r="J82" s="68">
        <v>3.71111111111111</v>
      </c>
      <c r="K82" s="69">
        <v>19633.15</v>
      </c>
      <c r="L82" s="68">
        <v>0</v>
      </c>
      <c r="M82" s="67">
        <v>452</v>
      </c>
      <c r="N82" s="68">
        <v>2241.74999999999</v>
      </c>
    </row>
    <row r="83" hidden="1" spans="1:14">
      <c r="A83" t="s">
        <v>176</v>
      </c>
      <c r="B83" s="63" t="s">
        <v>82</v>
      </c>
      <c r="C83" s="63" t="s">
        <v>83</v>
      </c>
      <c r="D83" s="63" t="s">
        <v>7</v>
      </c>
      <c r="E83" s="63" t="s">
        <v>163</v>
      </c>
      <c r="F83" s="66" t="s">
        <v>148</v>
      </c>
      <c r="G83" s="67">
        <v>55</v>
      </c>
      <c r="H83" s="67">
        <v>326</v>
      </c>
      <c r="I83" s="68">
        <v>316.7</v>
      </c>
      <c r="J83" s="68">
        <v>5.75818181818182</v>
      </c>
      <c r="K83" s="69">
        <v>39631.54</v>
      </c>
      <c r="L83" s="68">
        <v>1</v>
      </c>
      <c r="M83" s="67">
        <v>851</v>
      </c>
      <c r="N83" s="68">
        <v>3027.60000000002</v>
      </c>
    </row>
    <row r="84" hidden="1" spans="1:14">
      <c r="A84" t="s">
        <v>176</v>
      </c>
      <c r="B84" s="63" t="s">
        <v>82</v>
      </c>
      <c r="C84" s="63" t="s">
        <v>83</v>
      </c>
      <c r="D84" s="63" t="s">
        <v>8</v>
      </c>
      <c r="E84" s="63" t="s">
        <v>164</v>
      </c>
      <c r="F84" s="66" t="s">
        <v>148</v>
      </c>
      <c r="G84" s="67">
        <v>56</v>
      </c>
      <c r="H84" s="67">
        <v>220</v>
      </c>
      <c r="I84" s="68">
        <v>202.4</v>
      </c>
      <c r="J84" s="68">
        <v>3.61428571428571</v>
      </c>
      <c r="K84" s="69">
        <v>25807.25</v>
      </c>
      <c r="L84" s="68">
        <v>0</v>
      </c>
      <c r="M84" s="67">
        <v>639</v>
      </c>
      <c r="N84" s="68">
        <v>1476.86</v>
      </c>
    </row>
    <row r="85" hidden="1" spans="1:14">
      <c r="A85" t="s">
        <v>176</v>
      </c>
      <c r="B85" s="63" t="s">
        <v>82</v>
      </c>
      <c r="C85" s="63" t="s">
        <v>83</v>
      </c>
      <c r="D85" s="63" t="s">
        <v>6</v>
      </c>
      <c r="E85" s="63" t="s">
        <v>165</v>
      </c>
      <c r="F85" s="66" t="s">
        <v>148</v>
      </c>
      <c r="G85" s="67">
        <v>70</v>
      </c>
      <c r="H85" s="67">
        <v>324</v>
      </c>
      <c r="I85" s="68">
        <v>312.6</v>
      </c>
      <c r="J85" s="68">
        <v>4.46571428571429</v>
      </c>
      <c r="K85" s="69">
        <v>37612.26</v>
      </c>
      <c r="L85" s="68">
        <v>5</v>
      </c>
      <c r="M85" s="67">
        <v>1001</v>
      </c>
      <c r="N85" s="68">
        <v>2194.09000000001</v>
      </c>
    </row>
    <row r="86" hidden="1" spans="1:14">
      <c r="A86" s="63" t="s">
        <v>177</v>
      </c>
      <c r="B86" s="63" t="s">
        <v>82</v>
      </c>
      <c r="C86" s="63" t="s">
        <v>83</v>
      </c>
      <c r="D86" s="63" t="s">
        <v>3</v>
      </c>
      <c r="E86" s="63" t="s">
        <v>158</v>
      </c>
      <c r="F86" s="66" t="s">
        <v>159</v>
      </c>
      <c r="G86" s="67">
        <v>53</v>
      </c>
      <c r="H86" s="67">
        <v>209</v>
      </c>
      <c r="I86" s="68">
        <v>200.2</v>
      </c>
      <c r="J86" s="68">
        <v>3.77735849056604</v>
      </c>
      <c r="K86" s="69">
        <v>27270.6</v>
      </c>
      <c r="L86" s="68">
        <v>3.7</v>
      </c>
      <c r="M86" s="67">
        <v>599</v>
      </c>
      <c r="N86" s="68">
        <v>2975.67</v>
      </c>
    </row>
    <row r="87" hidden="1" spans="1:14">
      <c r="A87" s="63" t="s">
        <v>177</v>
      </c>
      <c r="B87" s="63" t="s">
        <v>82</v>
      </c>
      <c r="C87" s="63" t="s">
        <v>83</v>
      </c>
      <c r="D87" s="63" t="s">
        <v>9</v>
      </c>
      <c r="E87" s="63" t="s">
        <v>160</v>
      </c>
      <c r="F87" s="66" t="s">
        <v>159</v>
      </c>
      <c r="G87" s="67">
        <v>57</v>
      </c>
      <c r="H87" s="67">
        <v>186</v>
      </c>
      <c r="I87" s="68">
        <v>176.5</v>
      </c>
      <c r="J87" s="68">
        <v>3.09649122807018</v>
      </c>
      <c r="K87" s="69">
        <v>24158.12</v>
      </c>
      <c r="L87" s="68">
        <v>0</v>
      </c>
      <c r="M87" s="67">
        <v>532</v>
      </c>
      <c r="N87" s="68">
        <v>1687</v>
      </c>
    </row>
    <row r="88" hidden="1" spans="1:14">
      <c r="A88" s="63" t="s">
        <v>177</v>
      </c>
      <c r="B88" s="63" t="s">
        <v>82</v>
      </c>
      <c r="C88" s="63" t="s">
        <v>83</v>
      </c>
      <c r="D88" s="63" t="s">
        <v>5</v>
      </c>
      <c r="E88" s="63" t="s">
        <v>161</v>
      </c>
      <c r="F88" s="66" t="s">
        <v>159</v>
      </c>
      <c r="G88" s="67">
        <v>48</v>
      </c>
      <c r="H88" s="67">
        <v>209</v>
      </c>
      <c r="I88" s="68">
        <v>200.9</v>
      </c>
      <c r="J88" s="68">
        <v>4.18541666666667</v>
      </c>
      <c r="K88" s="69">
        <v>22490.82</v>
      </c>
      <c r="L88" s="68">
        <v>1.4</v>
      </c>
      <c r="M88" s="67">
        <v>591</v>
      </c>
      <c r="N88" s="68">
        <v>1498.12999999999</v>
      </c>
    </row>
    <row r="89" hidden="1" spans="1:14">
      <c r="A89" s="63" t="s">
        <v>177</v>
      </c>
      <c r="B89" s="63" t="s">
        <v>82</v>
      </c>
      <c r="C89" s="63" t="s">
        <v>83</v>
      </c>
      <c r="D89" s="63" t="s">
        <v>4</v>
      </c>
      <c r="E89" s="63" t="s">
        <v>162</v>
      </c>
      <c r="F89" s="66" t="s">
        <v>159</v>
      </c>
      <c r="G89" s="67">
        <v>36</v>
      </c>
      <c r="H89" s="67">
        <v>108</v>
      </c>
      <c r="I89" s="68">
        <v>103.2</v>
      </c>
      <c r="J89" s="68">
        <v>2.86666666666667</v>
      </c>
      <c r="K89" s="69">
        <v>12568.73</v>
      </c>
      <c r="L89" s="68">
        <v>6</v>
      </c>
      <c r="M89" s="67">
        <v>288</v>
      </c>
      <c r="N89" s="68">
        <v>1069.21</v>
      </c>
    </row>
    <row r="90" hidden="1" spans="1:14">
      <c r="A90" s="63" t="s">
        <v>177</v>
      </c>
      <c r="B90" s="63" t="s">
        <v>82</v>
      </c>
      <c r="C90" s="63" t="s">
        <v>83</v>
      </c>
      <c r="D90" s="63" t="s">
        <v>7</v>
      </c>
      <c r="E90" s="63" t="s">
        <v>163</v>
      </c>
      <c r="F90" s="66" t="s">
        <v>159</v>
      </c>
      <c r="G90" s="67">
        <v>55</v>
      </c>
      <c r="H90" s="67">
        <v>206</v>
      </c>
      <c r="I90" s="68">
        <v>200.5</v>
      </c>
      <c r="J90" s="68">
        <v>3.64545454545455</v>
      </c>
      <c r="K90" s="69">
        <v>27249.03</v>
      </c>
      <c r="L90" s="68">
        <v>1</v>
      </c>
      <c r="M90" s="67">
        <v>524</v>
      </c>
      <c r="N90" s="68">
        <v>1047.91999999999</v>
      </c>
    </row>
    <row r="91" hidden="1" spans="1:14">
      <c r="A91" s="63" t="s">
        <v>177</v>
      </c>
      <c r="B91" s="63" t="s">
        <v>82</v>
      </c>
      <c r="C91" s="63" t="s">
        <v>83</v>
      </c>
      <c r="D91" s="63" t="s">
        <v>8</v>
      </c>
      <c r="E91" s="63" t="s">
        <v>164</v>
      </c>
      <c r="F91" s="66" t="s">
        <v>159</v>
      </c>
      <c r="G91" s="67">
        <v>56</v>
      </c>
      <c r="H91" s="67">
        <v>138</v>
      </c>
      <c r="I91" s="68">
        <v>132.6</v>
      </c>
      <c r="J91" s="68">
        <v>2.36785714285714</v>
      </c>
      <c r="K91" s="69">
        <v>18860.58</v>
      </c>
      <c r="L91" s="68">
        <v>0</v>
      </c>
      <c r="M91" s="67">
        <v>380</v>
      </c>
      <c r="N91" s="68">
        <v>1432.91</v>
      </c>
    </row>
    <row r="92" hidden="1" spans="1:14">
      <c r="A92" s="63" t="s">
        <v>177</v>
      </c>
      <c r="B92" s="63" t="s">
        <v>82</v>
      </c>
      <c r="C92" s="63" t="s">
        <v>83</v>
      </c>
      <c r="D92" s="63" t="s">
        <v>6</v>
      </c>
      <c r="E92" s="63" t="s">
        <v>165</v>
      </c>
      <c r="F92" s="66" t="s">
        <v>159</v>
      </c>
      <c r="G92" s="67">
        <v>70</v>
      </c>
      <c r="H92" s="67">
        <v>204</v>
      </c>
      <c r="I92" s="68">
        <v>197</v>
      </c>
      <c r="J92" s="68">
        <v>2.81428571428571</v>
      </c>
      <c r="K92" s="69">
        <v>25674.28</v>
      </c>
      <c r="L92" s="68">
        <v>7</v>
      </c>
      <c r="M92" s="67">
        <v>582</v>
      </c>
      <c r="N92" s="68">
        <v>1500.25</v>
      </c>
    </row>
    <row r="93" hidden="1" spans="1:14">
      <c r="A93" t="s">
        <v>178</v>
      </c>
      <c r="B93" s="63" t="s">
        <v>82</v>
      </c>
      <c r="C93" s="63" t="s">
        <v>83</v>
      </c>
      <c r="D93" s="63" t="s">
        <v>3</v>
      </c>
      <c r="E93" s="63" t="s">
        <v>158</v>
      </c>
      <c r="F93" s="66" t="s">
        <v>148</v>
      </c>
      <c r="G93" s="67">
        <v>53</v>
      </c>
      <c r="H93" s="67">
        <v>261</v>
      </c>
      <c r="I93" s="68">
        <v>253.1</v>
      </c>
      <c r="J93" s="68">
        <v>4.77547169811321</v>
      </c>
      <c r="K93" s="69">
        <v>43353.09</v>
      </c>
      <c r="L93" s="68">
        <v>3.8</v>
      </c>
      <c r="M93" s="67">
        <v>888</v>
      </c>
      <c r="N93" s="68">
        <v>3114.89000000002</v>
      </c>
    </row>
    <row r="94" hidden="1" spans="1:14">
      <c r="A94" t="s">
        <v>178</v>
      </c>
      <c r="B94" s="63" t="s">
        <v>82</v>
      </c>
      <c r="C94" s="63" t="s">
        <v>83</v>
      </c>
      <c r="D94" s="63" t="s">
        <v>9</v>
      </c>
      <c r="E94" s="63" t="s">
        <v>160</v>
      </c>
      <c r="F94" s="66" t="s">
        <v>148</v>
      </c>
      <c r="G94" s="67">
        <v>57</v>
      </c>
      <c r="H94" s="67">
        <v>265</v>
      </c>
      <c r="I94" s="68">
        <v>257.4</v>
      </c>
      <c r="J94" s="68">
        <v>4.51578947368421</v>
      </c>
      <c r="K94" s="69">
        <v>39349.15</v>
      </c>
      <c r="L94" s="68">
        <v>0</v>
      </c>
      <c r="M94" s="67">
        <v>844</v>
      </c>
      <c r="N94" s="68">
        <v>3047.85</v>
      </c>
    </row>
    <row r="95" hidden="1" spans="1:14">
      <c r="A95" t="s">
        <v>178</v>
      </c>
      <c r="B95" s="63" t="s">
        <v>82</v>
      </c>
      <c r="C95" s="63" t="s">
        <v>83</v>
      </c>
      <c r="D95" s="63" t="s">
        <v>5</v>
      </c>
      <c r="E95" s="63" t="s">
        <v>161</v>
      </c>
      <c r="F95" s="66" t="s">
        <v>148</v>
      </c>
      <c r="G95" s="67">
        <v>48</v>
      </c>
      <c r="H95" s="67">
        <v>257</v>
      </c>
      <c r="I95" s="68">
        <v>246.7</v>
      </c>
      <c r="J95" s="68">
        <v>5.13958333333333</v>
      </c>
      <c r="K95" s="69">
        <v>35592.01</v>
      </c>
      <c r="L95" s="68">
        <v>2.1</v>
      </c>
      <c r="M95" s="67">
        <v>916</v>
      </c>
      <c r="N95" s="68">
        <v>2772.77</v>
      </c>
    </row>
    <row r="96" hidden="1" spans="1:14">
      <c r="A96" t="s">
        <v>178</v>
      </c>
      <c r="B96" s="63" t="s">
        <v>82</v>
      </c>
      <c r="C96" s="63" t="s">
        <v>83</v>
      </c>
      <c r="D96" s="63" t="s">
        <v>4</v>
      </c>
      <c r="E96" s="63" t="s">
        <v>162</v>
      </c>
      <c r="F96" s="66" t="s">
        <v>148</v>
      </c>
      <c r="G96" s="67">
        <v>36</v>
      </c>
      <c r="H96" s="67">
        <v>141</v>
      </c>
      <c r="I96" s="68">
        <v>134.7</v>
      </c>
      <c r="J96" s="68">
        <v>3.74166666666667</v>
      </c>
      <c r="K96" s="69">
        <v>23573.44</v>
      </c>
      <c r="L96" s="68">
        <v>10</v>
      </c>
      <c r="M96" s="67">
        <v>445</v>
      </c>
      <c r="N96" s="68">
        <v>1491.61</v>
      </c>
    </row>
    <row r="97" hidden="1" spans="1:14">
      <c r="A97" t="s">
        <v>178</v>
      </c>
      <c r="B97" s="63" t="s">
        <v>82</v>
      </c>
      <c r="C97" s="63" t="s">
        <v>83</v>
      </c>
      <c r="D97" s="63" t="s">
        <v>7</v>
      </c>
      <c r="E97" s="63" t="s">
        <v>163</v>
      </c>
      <c r="F97" s="66" t="s">
        <v>148</v>
      </c>
      <c r="G97" s="67">
        <v>55</v>
      </c>
      <c r="H97" s="67">
        <v>312</v>
      </c>
      <c r="I97" s="68">
        <v>302.2</v>
      </c>
      <c r="J97" s="68">
        <v>5.49454545454545</v>
      </c>
      <c r="K97" s="69">
        <v>43201.58</v>
      </c>
      <c r="L97" s="68">
        <v>0</v>
      </c>
      <c r="M97" s="67">
        <v>873</v>
      </c>
      <c r="N97" s="68">
        <v>2420.92000000001</v>
      </c>
    </row>
    <row r="98" hidden="1" spans="1:14">
      <c r="A98" t="s">
        <v>178</v>
      </c>
      <c r="B98" s="63" t="s">
        <v>82</v>
      </c>
      <c r="C98" s="63" t="s">
        <v>83</v>
      </c>
      <c r="D98" s="63" t="s">
        <v>8</v>
      </c>
      <c r="E98" s="63" t="s">
        <v>164</v>
      </c>
      <c r="F98" s="66" t="s">
        <v>148</v>
      </c>
      <c r="G98" s="67">
        <v>56</v>
      </c>
      <c r="H98" s="67">
        <v>261</v>
      </c>
      <c r="I98" s="68">
        <v>238.8</v>
      </c>
      <c r="J98" s="68">
        <v>4.26428571428571</v>
      </c>
      <c r="K98" s="69">
        <v>31135.7</v>
      </c>
      <c r="L98" s="68">
        <v>0</v>
      </c>
      <c r="M98" s="67">
        <v>767</v>
      </c>
      <c r="N98" s="68">
        <v>2074.01</v>
      </c>
    </row>
    <row r="99" hidden="1" spans="1:14">
      <c r="A99" t="s">
        <v>178</v>
      </c>
      <c r="B99" s="63" t="s">
        <v>82</v>
      </c>
      <c r="C99" s="63" t="s">
        <v>83</v>
      </c>
      <c r="D99" s="63" t="s">
        <v>6</v>
      </c>
      <c r="E99" s="63" t="s">
        <v>165</v>
      </c>
      <c r="F99" s="66" t="s">
        <v>148</v>
      </c>
      <c r="G99" s="67">
        <v>70</v>
      </c>
      <c r="H99" s="67">
        <v>331</v>
      </c>
      <c r="I99" s="68">
        <v>322.9</v>
      </c>
      <c r="J99" s="68">
        <v>4.61285714285714</v>
      </c>
      <c r="K99" s="69">
        <v>46120.26</v>
      </c>
      <c r="L99" s="68">
        <v>4.3</v>
      </c>
      <c r="M99" s="67">
        <v>1065</v>
      </c>
      <c r="N99" s="68">
        <v>2449.78000000001</v>
      </c>
    </row>
    <row r="100" hidden="1" spans="1:14">
      <c r="A100" s="63" t="s">
        <v>179</v>
      </c>
      <c r="B100" s="63" t="s">
        <v>82</v>
      </c>
      <c r="C100" s="63" t="s">
        <v>83</v>
      </c>
      <c r="D100" s="63" t="s">
        <v>3</v>
      </c>
      <c r="E100" s="63" t="s">
        <v>158</v>
      </c>
      <c r="F100" s="66" t="s">
        <v>159</v>
      </c>
      <c r="G100" s="67">
        <v>53</v>
      </c>
      <c r="H100" s="67">
        <v>204</v>
      </c>
      <c r="I100" s="68">
        <v>196.3</v>
      </c>
      <c r="J100" s="68">
        <v>3.70377358490566</v>
      </c>
      <c r="K100" s="69">
        <v>29083.29</v>
      </c>
      <c r="L100" s="68">
        <v>3.1</v>
      </c>
      <c r="M100" s="67">
        <v>596</v>
      </c>
      <c r="N100" s="68">
        <v>2756.12000000001</v>
      </c>
    </row>
    <row r="101" hidden="1" spans="1:14">
      <c r="A101" s="63" t="s">
        <v>179</v>
      </c>
      <c r="B101" s="63" t="s">
        <v>82</v>
      </c>
      <c r="C101" s="63" t="s">
        <v>83</v>
      </c>
      <c r="D101" s="63" t="s">
        <v>9</v>
      </c>
      <c r="E101" s="63" t="s">
        <v>160</v>
      </c>
      <c r="F101" s="66" t="s">
        <v>159</v>
      </c>
      <c r="G101" s="67">
        <v>57</v>
      </c>
      <c r="H101" s="67">
        <v>206</v>
      </c>
      <c r="I101" s="68">
        <v>196.2</v>
      </c>
      <c r="J101" s="68">
        <v>3.44210526315789</v>
      </c>
      <c r="K101" s="69">
        <v>28008.63</v>
      </c>
      <c r="L101" s="68">
        <v>0.9</v>
      </c>
      <c r="M101" s="67">
        <v>615</v>
      </c>
      <c r="N101" s="68">
        <v>1791.26</v>
      </c>
    </row>
    <row r="102" hidden="1" spans="1:14">
      <c r="A102" s="63" t="s">
        <v>179</v>
      </c>
      <c r="B102" s="63" t="s">
        <v>82</v>
      </c>
      <c r="C102" s="63" t="s">
        <v>83</v>
      </c>
      <c r="D102" s="63" t="s">
        <v>5</v>
      </c>
      <c r="E102" s="63" t="s">
        <v>161</v>
      </c>
      <c r="F102" s="66" t="s">
        <v>159</v>
      </c>
      <c r="G102" s="67">
        <v>48</v>
      </c>
      <c r="H102" s="67">
        <v>234</v>
      </c>
      <c r="I102" s="68">
        <v>227</v>
      </c>
      <c r="J102" s="68">
        <v>4.72916666666667</v>
      </c>
      <c r="K102" s="69">
        <v>26946.83</v>
      </c>
      <c r="L102" s="68">
        <v>2.4</v>
      </c>
      <c r="M102" s="67">
        <v>672</v>
      </c>
      <c r="N102" s="68">
        <v>1628.66000000001</v>
      </c>
    </row>
    <row r="103" hidden="1" spans="1:14">
      <c r="A103" s="63" t="s">
        <v>179</v>
      </c>
      <c r="B103" s="63" t="s">
        <v>82</v>
      </c>
      <c r="C103" s="63" t="s">
        <v>83</v>
      </c>
      <c r="D103" s="63" t="s">
        <v>4</v>
      </c>
      <c r="E103" s="63" t="s">
        <v>162</v>
      </c>
      <c r="F103" s="66" t="s">
        <v>159</v>
      </c>
      <c r="G103" s="67">
        <v>36</v>
      </c>
      <c r="H103" s="67">
        <v>104</v>
      </c>
      <c r="I103" s="68">
        <v>99.1</v>
      </c>
      <c r="J103" s="68">
        <v>2.75277777777778</v>
      </c>
      <c r="K103" s="69">
        <v>13600.21</v>
      </c>
      <c r="L103" s="68">
        <v>12</v>
      </c>
      <c r="M103" s="67">
        <v>274</v>
      </c>
      <c r="N103" s="68">
        <v>1225.05</v>
      </c>
    </row>
    <row r="104" hidden="1" spans="1:14">
      <c r="A104" s="63" t="s">
        <v>179</v>
      </c>
      <c r="B104" s="63" t="s">
        <v>82</v>
      </c>
      <c r="C104" s="63" t="s">
        <v>83</v>
      </c>
      <c r="D104" s="63" t="s">
        <v>7</v>
      </c>
      <c r="E104" s="63" t="s">
        <v>163</v>
      </c>
      <c r="F104" s="66" t="s">
        <v>159</v>
      </c>
      <c r="G104" s="67">
        <v>55</v>
      </c>
      <c r="H104" s="67">
        <v>257</v>
      </c>
      <c r="I104" s="68">
        <v>245.2</v>
      </c>
      <c r="J104" s="68">
        <v>4.45818181818182</v>
      </c>
      <c r="K104" s="69">
        <v>32665.22</v>
      </c>
      <c r="L104" s="68">
        <v>2</v>
      </c>
      <c r="M104" s="67">
        <v>664</v>
      </c>
      <c r="N104" s="68">
        <v>1902.38999999999</v>
      </c>
    </row>
    <row r="105" hidden="1" spans="1:14">
      <c r="A105" s="63" t="s">
        <v>179</v>
      </c>
      <c r="B105" s="63" t="s">
        <v>82</v>
      </c>
      <c r="C105" s="63" t="s">
        <v>83</v>
      </c>
      <c r="D105" s="63" t="s">
        <v>8</v>
      </c>
      <c r="E105" s="63" t="s">
        <v>164</v>
      </c>
      <c r="F105" s="66" t="s">
        <v>159</v>
      </c>
      <c r="G105" s="67">
        <v>56</v>
      </c>
      <c r="H105" s="67">
        <v>176</v>
      </c>
      <c r="I105" s="68">
        <v>170.8</v>
      </c>
      <c r="J105" s="68">
        <v>3.05</v>
      </c>
      <c r="K105" s="69">
        <v>21799.06</v>
      </c>
      <c r="L105" s="68">
        <v>0</v>
      </c>
      <c r="M105" s="67">
        <v>510</v>
      </c>
      <c r="N105" s="68">
        <v>1483.75</v>
      </c>
    </row>
    <row r="106" hidden="1" spans="1:14">
      <c r="A106" s="63" t="s">
        <v>179</v>
      </c>
      <c r="B106" s="63" t="s">
        <v>82</v>
      </c>
      <c r="C106" s="63" t="s">
        <v>83</v>
      </c>
      <c r="D106" s="63" t="s">
        <v>6</v>
      </c>
      <c r="E106" s="63" t="s">
        <v>165</v>
      </c>
      <c r="F106" s="66" t="s">
        <v>159</v>
      </c>
      <c r="G106" s="67">
        <v>70</v>
      </c>
      <c r="H106" s="67">
        <v>217</v>
      </c>
      <c r="I106" s="68">
        <v>207.5</v>
      </c>
      <c r="J106" s="68">
        <v>2.96428571428571</v>
      </c>
      <c r="K106" s="69">
        <v>26411.9</v>
      </c>
      <c r="L106" s="68">
        <v>5</v>
      </c>
      <c r="M106" s="67">
        <v>629</v>
      </c>
      <c r="N106" s="68">
        <v>1718.62</v>
      </c>
    </row>
    <row r="107" hidden="1" spans="1:14">
      <c r="A107" t="s">
        <v>180</v>
      </c>
      <c r="B107" s="63" t="s">
        <v>82</v>
      </c>
      <c r="C107" s="63" t="s">
        <v>83</v>
      </c>
      <c r="D107" s="63" t="s">
        <v>3</v>
      </c>
      <c r="E107" s="63" t="s">
        <v>158</v>
      </c>
      <c r="F107" s="66" t="s">
        <v>148</v>
      </c>
      <c r="G107" s="67">
        <v>53</v>
      </c>
      <c r="H107" s="67">
        <v>242</v>
      </c>
      <c r="I107" s="68">
        <v>232.4</v>
      </c>
      <c r="J107" s="68">
        <v>4.38490566037736</v>
      </c>
      <c r="K107" s="69">
        <v>37171.49</v>
      </c>
      <c r="L107" s="68">
        <v>2.7</v>
      </c>
      <c r="M107" s="67">
        <v>805</v>
      </c>
      <c r="N107" s="68">
        <v>2897.21</v>
      </c>
    </row>
    <row r="108" hidden="1" spans="1:14">
      <c r="A108" t="s">
        <v>180</v>
      </c>
      <c r="B108" s="63" t="s">
        <v>82</v>
      </c>
      <c r="C108" s="63" t="s">
        <v>83</v>
      </c>
      <c r="D108" s="63" t="s">
        <v>9</v>
      </c>
      <c r="E108" s="63" t="s">
        <v>160</v>
      </c>
      <c r="F108" s="66" t="s">
        <v>148</v>
      </c>
      <c r="G108" s="67">
        <v>57</v>
      </c>
      <c r="H108" s="67">
        <v>197</v>
      </c>
      <c r="I108" s="68">
        <v>189.4</v>
      </c>
      <c r="J108" s="68">
        <v>3.32280701754386</v>
      </c>
      <c r="K108" s="69">
        <v>29227.43</v>
      </c>
      <c r="L108" s="68">
        <v>1</v>
      </c>
      <c r="M108" s="67">
        <v>659</v>
      </c>
      <c r="N108" s="68">
        <v>2537.63</v>
      </c>
    </row>
    <row r="109" hidden="1" spans="1:14">
      <c r="A109" t="s">
        <v>180</v>
      </c>
      <c r="B109" s="63" t="s">
        <v>82</v>
      </c>
      <c r="C109" s="63" t="s">
        <v>83</v>
      </c>
      <c r="D109" s="63" t="s">
        <v>5</v>
      </c>
      <c r="E109" s="63" t="s">
        <v>161</v>
      </c>
      <c r="F109" s="66" t="s">
        <v>148</v>
      </c>
      <c r="G109" s="67">
        <v>48</v>
      </c>
      <c r="H109" s="67">
        <v>291</v>
      </c>
      <c r="I109" s="68">
        <v>285.7</v>
      </c>
      <c r="J109" s="68">
        <v>5.95208333333333</v>
      </c>
      <c r="K109" s="69">
        <v>42957.76</v>
      </c>
      <c r="L109" s="68">
        <v>2.1</v>
      </c>
      <c r="M109" s="67">
        <v>1054</v>
      </c>
      <c r="N109" s="68">
        <v>2470.34999999998</v>
      </c>
    </row>
    <row r="110" hidden="1" spans="1:14">
      <c r="A110" t="s">
        <v>180</v>
      </c>
      <c r="B110" s="63" t="s">
        <v>82</v>
      </c>
      <c r="C110" s="63" t="s">
        <v>83</v>
      </c>
      <c r="D110" s="63" t="s">
        <v>4</v>
      </c>
      <c r="E110" s="63" t="s">
        <v>162</v>
      </c>
      <c r="F110" s="66" t="s">
        <v>148</v>
      </c>
      <c r="G110" s="67">
        <v>36</v>
      </c>
      <c r="H110" s="67">
        <v>142</v>
      </c>
      <c r="I110" s="68">
        <v>136.1</v>
      </c>
      <c r="J110" s="68">
        <v>3.78055555555556</v>
      </c>
      <c r="K110" s="69">
        <v>19882.03</v>
      </c>
      <c r="L110" s="68">
        <v>15</v>
      </c>
      <c r="M110" s="67">
        <v>418</v>
      </c>
      <c r="N110" s="68">
        <v>1790.35</v>
      </c>
    </row>
    <row r="111" hidden="1" spans="1:14">
      <c r="A111" t="s">
        <v>180</v>
      </c>
      <c r="B111" s="63" t="s">
        <v>82</v>
      </c>
      <c r="C111" s="63" t="s">
        <v>83</v>
      </c>
      <c r="D111" s="63" t="s">
        <v>7</v>
      </c>
      <c r="E111" s="63" t="s">
        <v>163</v>
      </c>
      <c r="F111" s="66" t="s">
        <v>148</v>
      </c>
      <c r="G111" s="67">
        <v>55</v>
      </c>
      <c r="H111" s="67">
        <v>290</v>
      </c>
      <c r="I111" s="68">
        <v>279.9</v>
      </c>
      <c r="J111" s="68">
        <v>5.08909090909091</v>
      </c>
      <c r="K111" s="69">
        <v>39906.66</v>
      </c>
      <c r="L111" s="68">
        <v>2</v>
      </c>
      <c r="M111" s="67">
        <v>803</v>
      </c>
      <c r="N111" s="68">
        <v>2412.94</v>
      </c>
    </row>
    <row r="112" hidden="1" spans="1:14">
      <c r="A112" t="s">
        <v>180</v>
      </c>
      <c r="B112" s="63" t="s">
        <v>82</v>
      </c>
      <c r="C112" s="63" t="s">
        <v>83</v>
      </c>
      <c r="D112" s="63" t="s">
        <v>8</v>
      </c>
      <c r="E112" s="63" t="s">
        <v>164</v>
      </c>
      <c r="F112" s="66" t="s">
        <v>148</v>
      </c>
      <c r="G112" s="67">
        <v>56</v>
      </c>
      <c r="H112" s="67">
        <v>205</v>
      </c>
      <c r="I112" s="68">
        <v>185.6</v>
      </c>
      <c r="J112" s="68">
        <v>3.31428571428571</v>
      </c>
      <c r="K112" s="69">
        <v>25350.32</v>
      </c>
      <c r="L112" s="68">
        <v>0</v>
      </c>
      <c r="M112" s="67">
        <v>653</v>
      </c>
      <c r="N112" s="68">
        <v>1139.37</v>
      </c>
    </row>
    <row r="113" hidden="1" spans="1:14">
      <c r="A113" t="s">
        <v>180</v>
      </c>
      <c r="B113" s="63" t="s">
        <v>82</v>
      </c>
      <c r="C113" s="63" t="s">
        <v>83</v>
      </c>
      <c r="D113" s="63" t="s">
        <v>6</v>
      </c>
      <c r="E113" s="63" t="s">
        <v>165</v>
      </c>
      <c r="F113" s="66" t="s">
        <v>148</v>
      </c>
      <c r="G113" s="67">
        <v>70</v>
      </c>
      <c r="H113" s="67">
        <v>300</v>
      </c>
      <c r="I113" s="68">
        <v>288.8</v>
      </c>
      <c r="J113" s="68">
        <v>4.12571428571429</v>
      </c>
      <c r="K113" s="69">
        <v>43403.07</v>
      </c>
      <c r="L113" s="68">
        <v>3</v>
      </c>
      <c r="M113" s="67">
        <v>1000</v>
      </c>
      <c r="N113" s="68">
        <v>2286.26</v>
      </c>
    </row>
    <row r="114" hidden="1" spans="1:14">
      <c r="A114" s="63" t="s">
        <v>181</v>
      </c>
      <c r="B114" s="63" t="s">
        <v>82</v>
      </c>
      <c r="C114" s="63" t="s">
        <v>83</v>
      </c>
      <c r="D114" s="63" t="s">
        <v>3</v>
      </c>
      <c r="E114" s="63" t="s">
        <v>158</v>
      </c>
      <c r="F114" s="66" t="s">
        <v>148</v>
      </c>
      <c r="G114" s="67">
        <v>53</v>
      </c>
      <c r="H114" s="67">
        <v>264</v>
      </c>
      <c r="I114" s="68">
        <v>257.4</v>
      </c>
      <c r="J114" s="68">
        <v>4.85660377358491</v>
      </c>
      <c r="K114" s="69">
        <v>36962.31</v>
      </c>
      <c r="L114" s="68">
        <v>1.4</v>
      </c>
      <c r="M114" s="67">
        <v>858</v>
      </c>
      <c r="N114" s="68">
        <v>3332.67000000001</v>
      </c>
    </row>
    <row r="115" hidden="1" spans="1:14">
      <c r="A115" s="63" t="s">
        <v>181</v>
      </c>
      <c r="B115" s="63" t="s">
        <v>82</v>
      </c>
      <c r="C115" s="63" t="s">
        <v>83</v>
      </c>
      <c r="D115" s="63" t="s">
        <v>9</v>
      </c>
      <c r="E115" s="63" t="s">
        <v>160</v>
      </c>
      <c r="F115" s="66" t="s">
        <v>148</v>
      </c>
      <c r="G115" s="67">
        <v>57</v>
      </c>
      <c r="H115" s="67">
        <v>274</v>
      </c>
      <c r="I115" s="68">
        <v>265.7</v>
      </c>
      <c r="J115" s="68">
        <v>4.66140350877193</v>
      </c>
      <c r="K115" s="69">
        <v>37388.65</v>
      </c>
      <c r="L115" s="68">
        <v>0</v>
      </c>
      <c r="M115" s="67">
        <v>846</v>
      </c>
      <c r="N115" s="68">
        <v>2099.82999999999</v>
      </c>
    </row>
    <row r="116" hidden="1" spans="1:14">
      <c r="A116" s="63" t="s">
        <v>181</v>
      </c>
      <c r="B116" s="63" t="s">
        <v>82</v>
      </c>
      <c r="C116" s="63" t="s">
        <v>83</v>
      </c>
      <c r="D116" s="63" t="s">
        <v>5</v>
      </c>
      <c r="E116" s="63" t="s">
        <v>161</v>
      </c>
      <c r="F116" s="66" t="s">
        <v>148</v>
      </c>
      <c r="G116" s="67">
        <v>48</v>
      </c>
      <c r="H116" s="67">
        <v>282</v>
      </c>
      <c r="I116" s="68">
        <v>273.1</v>
      </c>
      <c r="J116" s="68">
        <v>5.68958333333333</v>
      </c>
      <c r="K116" s="69">
        <v>34331.03</v>
      </c>
      <c r="L116" s="68">
        <v>1.9</v>
      </c>
      <c r="M116" s="67">
        <v>923</v>
      </c>
      <c r="N116" s="68">
        <v>2394.99</v>
      </c>
    </row>
    <row r="117" hidden="1" spans="1:14">
      <c r="A117" s="63" t="s">
        <v>181</v>
      </c>
      <c r="B117" s="63" t="s">
        <v>82</v>
      </c>
      <c r="C117" s="63" t="s">
        <v>83</v>
      </c>
      <c r="D117" s="63" t="s">
        <v>4</v>
      </c>
      <c r="E117" s="63" t="s">
        <v>162</v>
      </c>
      <c r="F117" s="66" t="s">
        <v>148</v>
      </c>
      <c r="G117" s="67">
        <v>36</v>
      </c>
      <c r="H117" s="67">
        <v>144</v>
      </c>
      <c r="I117" s="68">
        <v>135.6</v>
      </c>
      <c r="J117" s="68">
        <v>3.76666666666667</v>
      </c>
      <c r="K117" s="69">
        <v>19076.81</v>
      </c>
      <c r="L117" s="68">
        <v>6</v>
      </c>
      <c r="M117" s="67">
        <v>427</v>
      </c>
      <c r="N117" s="68">
        <v>1788.98</v>
      </c>
    </row>
    <row r="118" hidden="1" spans="1:14">
      <c r="A118" s="63" t="s">
        <v>181</v>
      </c>
      <c r="B118" s="63" t="s">
        <v>82</v>
      </c>
      <c r="C118" s="63" t="s">
        <v>83</v>
      </c>
      <c r="D118" s="63" t="s">
        <v>7</v>
      </c>
      <c r="E118" s="63" t="s">
        <v>163</v>
      </c>
      <c r="F118" s="66" t="s">
        <v>148</v>
      </c>
      <c r="G118" s="67">
        <v>55</v>
      </c>
      <c r="H118" s="67">
        <v>311</v>
      </c>
      <c r="I118" s="68">
        <v>303.2</v>
      </c>
      <c r="J118" s="68">
        <v>5.51272727272727</v>
      </c>
      <c r="K118" s="69">
        <v>42064.04</v>
      </c>
      <c r="L118" s="68">
        <v>3</v>
      </c>
      <c r="M118" s="67">
        <v>831</v>
      </c>
      <c r="N118" s="68">
        <v>1587.40999999999</v>
      </c>
    </row>
    <row r="119" hidden="1" spans="1:14">
      <c r="A119" s="63" t="s">
        <v>181</v>
      </c>
      <c r="B119" s="63" t="s">
        <v>82</v>
      </c>
      <c r="C119" s="63" t="s">
        <v>83</v>
      </c>
      <c r="D119" s="63" t="s">
        <v>8</v>
      </c>
      <c r="E119" s="63" t="s">
        <v>164</v>
      </c>
      <c r="F119" s="66" t="s">
        <v>148</v>
      </c>
      <c r="G119" s="67">
        <v>56</v>
      </c>
      <c r="H119" s="67">
        <v>234</v>
      </c>
      <c r="I119" s="68">
        <v>223</v>
      </c>
      <c r="J119" s="68">
        <v>3.98214285714286</v>
      </c>
      <c r="K119" s="69">
        <v>27026.51</v>
      </c>
      <c r="L119" s="68">
        <v>0</v>
      </c>
      <c r="M119" s="67">
        <v>662</v>
      </c>
      <c r="N119" s="68">
        <v>3034.28999999999</v>
      </c>
    </row>
    <row r="120" hidden="1" spans="1:14">
      <c r="A120" s="63" t="s">
        <v>181</v>
      </c>
      <c r="B120" s="63" t="s">
        <v>82</v>
      </c>
      <c r="C120" s="63" t="s">
        <v>83</v>
      </c>
      <c r="D120" s="63" t="s">
        <v>6</v>
      </c>
      <c r="E120" s="63" t="s">
        <v>165</v>
      </c>
      <c r="F120" s="66" t="s">
        <v>148</v>
      </c>
      <c r="G120" s="67">
        <v>70</v>
      </c>
      <c r="H120" s="67">
        <v>326</v>
      </c>
      <c r="I120" s="68">
        <v>317.9</v>
      </c>
      <c r="J120" s="68">
        <v>4.54142857142857</v>
      </c>
      <c r="K120" s="69">
        <v>40428.42</v>
      </c>
      <c r="L120" s="68">
        <v>4</v>
      </c>
      <c r="M120" s="67">
        <v>929</v>
      </c>
      <c r="N120" s="68">
        <v>2302.97</v>
      </c>
    </row>
    <row r="121" hidden="1" spans="1:14">
      <c r="A121" t="s">
        <v>182</v>
      </c>
      <c r="B121" s="63" t="s">
        <v>82</v>
      </c>
      <c r="C121" s="63" t="s">
        <v>83</v>
      </c>
      <c r="D121" s="63" t="s">
        <v>3</v>
      </c>
      <c r="E121" s="63" t="s">
        <v>158</v>
      </c>
      <c r="F121" s="66" t="s">
        <v>159</v>
      </c>
      <c r="G121" s="67">
        <v>53</v>
      </c>
      <c r="H121" s="67">
        <v>168</v>
      </c>
      <c r="I121" s="68">
        <v>158.1</v>
      </c>
      <c r="J121" s="68">
        <v>2.98301886792453</v>
      </c>
      <c r="K121" s="69">
        <v>23251.34</v>
      </c>
      <c r="L121" s="68">
        <v>0.9</v>
      </c>
      <c r="M121" s="67">
        <v>505</v>
      </c>
      <c r="N121" s="68">
        <v>1945.11</v>
      </c>
    </row>
    <row r="122" hidden="1" spans="1:14">
      <c r="A122" t="s">
        <v>182</v>
      </c>
      <c r="B122" s="63" t="s">
        <v>82</v>
      </c>
      <c r="C122" s="63" t="s">
        <v>83</v>
      </c>
      <c r="D122" s="63" t="s">
        <v>9</v>
      </c>
      <c r="E122" s="63" t="s">
        <v>160</v>
      </c>
      <c r="F122" s="66" t="s">
        <v>159</v>
      </c>
      <c r="G122" s="67">
        <v>57</v>
      </c>
      <c r="H122" s="67">
        <v>149</v>
      </c>
      <c r="I122" s="68">
        <v>143.1</v>
      </c>
      <c r="J122" s="68">
        <v>2.51052631578947</v>
      </c>
      <c r="K122" s="69">
        <v>18523.83</v>
      </c>
      <c r="L122" s="68">
        <v>0</v>
      </c>
      <c r="M122" s="67">
        <v>421</v>
      </c>
      <c r="N122" s="68">
        <v>1553.67</v>
      </c>
    </row>
    <row r="123" hidden="1" spans="1:14">
      <c r="A123" t="s">
        <v>182</v>
      </c>
      <c r="B123" s="63" t="s">
        <v>82</v>
      </c>
      <c r="C123" s="63" t="s">
        <v>83</v>
      </c>
      <c r="D123" s="63" t="s">
        <v>5</v>
      </c>
      <c r="E123" s="63" t="s">
        <v>161</v>
      </c>
      <c r="F123" s="66" t="s">
        <v>159</v>
      </c>
      <c r="G123" s="67">
        <v>48</v>
      </c>
      <c r="H123" s="67">
        <v>265</v>
      </c>
      <c r="I123" s="68">
        <v>255.6</v>
      </c>
      <c r="J123" s="68">
        <v>5.325</v>
      </c>
      <c r="K123" s="69">
        <v>27458.96</v>
      </c>
      <c r="L123" s="68">
        <v>2.4</v>
      </c>
      <c r="M123" s="67">
        <v>851</v>
      </c>
      <c r="N123" s="68">
        <v>2354.2</v>
      </c>
    </row>
    <row r="124" hidden="1" spans="1:14">
      <c r="A124" t="s">
        <v>182</v>
      </c>
      <c r="B124" s="63" t="s">
        <v>82</v>
      </c>
      <c r="C124" s="63" t="s">
        <v>83</v>
      </c>
      <c r="D124" s="63" t="s">
        <v>4</v>
      </c>
      <c r="E124" s="63" t="s">
        <v>162</v>
      </c>
      <c r="F124" s="66" t="s">
        <v>159</v>
      </c>
      <c r="G124" s="67">
        <v>36</v>
      </c>
      <c r="H124" s="67">
        <v>86</v>
      </c>
      <c r="I124" s="68">
        <v>81.7</v>
      </c>
      <c r="J124" s="68">
        <v>2.26944444444444</v>
      </c>
      <c r="K124" s="69">
        <v>10295.62</v>
      </c>
      <c r="L124" s="68">
        <v>10</v>
      </c>
      <c r="M124" s="67">
        <v>224</v>
      </c>
      <c r="N124" s="68">
        <v>868.350000000001</v>
      </c>
    </row>
    <row r="125" hidden="1" spans="1:14">
      <c r="A125" t="s">
        <v>182</v>
      </c>
      <c r="B125" s="63" t="s">
        <v>82</v>
      </c>
      <c r="C125" s="63" t="s">
        <v>83</v>
      </c>
      <c r="D125" s="63" t="s">
        <v>7</v>
      </c>
      <c r="E125" s="63" t="s">
        <v>163</v>
      </c>
      <c r="F125" s="66" t="s">
        <v>159</v>
      </c>
      <c r="G125" s="67">
        <v>55</v>
      </c>
      <c r="H125" s="67">
        <v>205</v>
      </c>
      <c r="I125" s="68">
        <v>194.5</v>
      </c>
      <c r="J125" s="68">
        <v>3.53636363636364</v>
      </c>
      <c r="K125" s="69">
        <v>26382.31</v>
      </c>
      <c r="L125" s="68">
        <v>1</v>
      </c>
      <c r="M125" s="67">
        <v>541</v>
      </c>
      <c r="N125" s="68">
        <v>1966.95</v>
      </c>
    </row>
    <row r="126" hidden="1" spans="1:14">
      <c r="A126" t="s">
        <v>182</v>
      </c>
      <c r="B126" s="63" t="s">
        <v>82</v>
      </c>
      <c r="C126" s="63" t="s">
        <v>83</v>
      </c>
      <c r="D126" s="63" t="s">
        <v>8</v>
      </c>
      <c r="E126" s="63" t="s">
        <v>164</v>
      </c>
      <c r="F126" s="66" t="s">
        <v>159</v>
      </c>
      <c r="G126" s="67">
        <v>56</v>
      </c>
      <c r="H126" s="67">
        <v>129</v>
      </c>
      <c r="I126" s="68">
        <v>117.3</v>
      </c>
      <c r="J126" s="68">
        <v>2.09464285714286</v>
      </c>
      <c r="K126" s="69">
        <v>17162.18</v>
      </c>
      <c r="L126" s="68">
        <v>0</v>
      </c>
      <c r="M126" s="67">
        <v>390</v>
      </c>
      <c r="N126" s="68">
        <v>718.15</v>
      </c>
    </row>
    <row r="127" hidden="1" spans="1:14">
      <c r="A127" t="s">
        <v>182</v>
      </c>
      <c r="B127" s="63" t="s">
        <v>82</v>
      </c>
      <c r="C127" s="63" t="s">
        <v>83</v>
      </c>
      <c r="D127" s="63" t="s">
        <v>6</v>
      </c>
      <c r="E127" s="63" t="s">
        <v>165</v>
      </c>
      <c r="F127" s="66" t="s">
        <v>159</v>
      </c>
      <c r="G127" s="67">
        <v>70</v>
      </c>
      <c r="H127" s="67">
        <v>204</v>
      </c>
      <c r="I127" s="68">
        <v>197.3</v>
      </c>
      <c r="J127" s="68">
        <v>2.81857142857143</v>
      </c>
      <c r="K127" s="69">
        <v>21125.83</v>
      </c>
      <c r="L127" s="68">
        <v>0</v>
      </c>
      <c r="M127" s="67">
        <v>594</v>
      </c>
      <c r="N127" s="68">
        <v>1393.55</v>
      </c>
    </row>
    <row r="128" hidden="1" spans="1:14">
      <c r="A128" s="63" t="s">
        <v>183</v>
      </c>
      <c r="B128" s="63" t="s">
        <v>82</v>
      </c>
      <c r="C128" s="63" t="s">
        <v>83</v>
      </c>
      <c r="D128" s="63" t="s">
        <v>3</v>
      </c>
      <c r="E128" s="63" t="s">
        <v>158</v>
      </c>
      <c r="F128" s="66" t="s">
        <v>148</v>
      </c>
      <c r="G128" s="67">
        <v>53</v>
      </c>
      <c r="H128" s="67">
        <v>278</v>
      </c>
      <c r="I128" s="68">
        <v>269.5</v>
      </c>
      <c r="J128" s="68">
        <v>5.08490566037736</v>
      </c>
      <c r="K128" s="69">
        <v>42566.01</v>
      </c>
      <c r="L128" s="68">
        <v>7</v>
      </c>
      <c r="M128" s="67">
        <v>925</v>
      </c>
      <c r="N128" s="68">
        <v>3391.07</v>
      </c>
    </row>
    <row r="129" hidden="1" spans="1:14">
      <c r="A129" s="63" t="s">
        <v>183</v>
      </c>
      <c r="B129" s="63" t="s">
        <v>82</v>
      </c>
      <c r="C129" s="63" t="s">
        <v>83</v>
      </c>
      <c r="D129" s="63" t="s">
        <v>9</v>
      </c>
      <c r="E129" s="63" t="s">
        <v>160</v>
      </c>
      <c r="F129" s="66" t="s">
        <v>148</v>
      </c>
      <c r="G129" s="67">
        <v>57</v>
      </c>
      <c r="H129" s="67">
        <v>287</v>
      </c>
      <c r="I129" s="68">
        <v>280.9</v>
      </c>
      <c r="J129" s="68">
        <v>4.9280701754386</v>
      </c>
      <c r="K129" s="69">
        <v>46716.83</v>
      </c>
      <c r="L129" s="68">
        <v>0</v>
      </c>
      <c r="M129" s="67">
        <v>1020</v>
      </c>
      <c r="N129" s="68">
        <v>3313.97000000001</v>
      </c>
    </row>
    <row r="130" hidden="1" spans="1:14">
      <c r="A130" s="63" t="s">
        <v>183</v>
      </c>
      <c r="B130" s="63" t="s">
        <v>82</v>
      </c>
      <c r="C130" s="63" t="s">
        <v>83</v>
      </c>
      <c r="D130" s="63" t="s">
        <v>5</v>
      </c>
      <c r="E130" s="63" t="s">
        <v>161</v>
      </c>
      <c r="F130" s="66" t="s">
        <v>148</v>
      </c>
      <c r="G130" s="67">
        <v>48</v>
      </c>
      <c r="H130" s="67">
        <v>285</v>
      </c>
      <c r="I130" s="68">
        <v>275.9</v>
      </c>
      <c r="J130" s="68">
        <v>5.74791666666667</v>
      </c>
      <c r="K130" s="69">
        <v>42996.71</v>
      </c>
      <c r="L130" s="68">
        <v>4.5</v>
      </c>
      <c r="M130" s="67">
        <v>1039</v>
      </c>
      <c r="N130" s="68">
        <v>2880.98</v>
      </c>
    </row>
    <row r="131" hidden="1" spans="1:14">
      <c r="A131" s="63" t="s">
        <v>183</v>
      </c>
      <c r="B131" s="63" t="s">
        <v>82</v>
      </c>
      <c r="C131" s="63" t="s">
        <v>83</v>
      </c>
      <c r="D131" s="63" t="s">
        <v>4</v>
      </c>
      <c r="E131" s="63" t="s">
        <v>162</v>
      </c>
      <c r="F131" s="66" t="s">
        <v>148</v>
      </c>
      <c r="G131" s="67">
        <v>36</v>
      </c>
      <c r="H131" s="67">
        <v>159</v>
      </c>
      <c r="I131" s="68">
        <v>152.6</v>
      </c>
      <c r="J131" s="68">
        <v>4.23888888888889</v>
      </c>
      <c r="K131" s="69">
        <v>22814.19</v>
      </c>
      <c r="L131" s="68">
        <v>3</v>
      </c>
      <c r="M131" s="67">
        <v>511</v>
      </c>
      <c r="N131" s="68">
        <v>1815.72999999999</v>
      </c>
    </row>
    <row r="132" hidden="1" spans="1:14">
      <c r="A132" s="63" t="s">
        <v>183</v>
      </c>
      <c r="B132" s="63" t="s">
        <v>82</v>
      </c>
      <c r="C132" s="63" t="s">
        <v>83</v>
      </c>
      <c r="D132" s="63" t="s">
        <v>7</v>
      </c>
      <c r="E132" s="63" t="s">
        <v>163</v>
      </c>
      <c r="F132" s="66" t="s">
        <v>148</v>
      </c>
      <c r="G132" s="67">
        <v>55</v>
      </c>
      <c r="H132" s="67">
        <v>326</v>
      </c>
      <c r="I132" s="68">
        <v>314.9</v>
      </c>
      <c r="J132" s="68">
        <v>5.72545454545454</v>
      </c>
      <c r="K132" s="69">
        <v>45898.7</v>
      </c>
      <c r="L132" s="68">
        <v>4</v>
      </c>
      <c r="M132" s="67">
        <v>909</v>
      </c>
      <c r="N132" s="68">
        <v>2274.87000000003</v>
      </c>
    </row>
    <row r="133" hidden="1" spans="1:14">
      <c r="A133" s="63" t="s">
        <v>183</v>
      </c>
      <c r="B133" s="63" t="s">
        <v>82</v>
      </c>
      <c r="C133" s="63" t="s">
        <v>83</v>
      </c>
      <c r="D133" s="63" t="s">
        <v>8</v>
      </c>
      <c r="E133" s="63" t="s">
        <v>164</v>
      </c>
      <c r="F133" s="66" t="s">
        <v>148</v>
      </c>
      <c r="G133" s="67">
        <v>56</v>
      </c>
      <c r="H133" s="67">
        <v>286</v>
      </c>
      <c r="I133" s="68">
        <v>279.7</v>
      </c>
      <c r="J133" s="68">
        <v>4.99464285714286</v>
      </c>
      <c r="K133" s="69">
        <v>38964.39</v>
      </c>
      <c r="L133" s="68">
        <v>0</v>
      </c>
      <c r="M133" s="67">
        <v>915</v>
      </c>
      <c r="N133" s="68">
        <v>2298.70000000001</v>
      </c>
    </row>
    <row r="134" hidden="1" spans="1:14">
      <c r="A134" s="63" t="s">
        <v>183</v>
      </c>
      <c r="B134" s="63" t="s">
        <v>82</v>
      </c>
      <c r="C134" s="63" t="s">
        <v>83</v>
      </c>
      <c r="D134" s="63" t="s">
        <v>6</v>
      </c>
      <c r="E134" s="63" t="s">
        <v>165</v>
      </c>
      <c r="F134" s="66" t="s">
        <v>148</v>
      </c>
      <c r="G134" s="67">
        <v>70</v>
      </c>
      <c r="H134" s="67">
        <v>354</v>
      </c>
      <c r="I134" s="68">
        <v>342.2</v>
      </c>
      <c r="J134" s="68">
        <v>4.88857142857143</v>
      </c>
      <c r="K134" s="69">
        <v>53318.3</v>
      </c>
      <c r="L134" s="68">
        <v>4.7</v>
      </c>
      <c r="M134" s="67">
        <v>1208</v>
      </c>
      <c r="N134" s="68">
        <v>3285.83000000001</v>
      </c>
    </row>
    <row r="135" hidden="1" spans="1:14">
      <c r="A135" t="s">
        <v>184</v>
      </c>
      <c r="B135" s="63" t="s">
        <v>82</v>
      </c>
      <c r="C135" s="63" t="s">
        <v>83</v>
      </c>
      <c r="D135" s="63" t="s">
        <v>3</v>
      </c>
      <c r="E135" s="63" t="s">
        <v>158</v>
      </c>
      <c r="F135" s="66" t="s">
        <v>159</v>
      </c>
      <c r="G135" s="67">
        <v>53</v>
      </c>
      <c r="H135" s="67">
        <v>199</v>
      </c>
      <c r="I135" s="68">
        <v>188.8</v>
      </c>
      <c r="J135" s="68">
        <v>3.5622641509434</v>
      </c>
      <c r="K135" s="69">
        <v>26146.64</v>
      </c>
      <c r="L135" s="68">
        <v>2.7</v>
      </c>
      <c r="M135" s="67">
        <v>601</v>
      </c>
      <c r="N135" s="68">
        <v>2522.29000000001</v>
      </c>
    </row>
    <row r="136" hidden="1" spans="1:14">
      <c r="A136" t="s">
        <v>184</v>
      </c>
      <c r="B136" s="63" t="s">
        <v>82</v>
      </c>
      <c r="C136" s="63" t="s">
        <v>83</v>
      </c>
      <c r="D136" s="63" t="s">
        <v>9</v>
      </c>
      <c r="E136" s="63" t="s">
        <v>160</v>
      </c>
      <c r="F136" s="66" t="s">
        <v>159</v>
      </c>
      <c r="G136" s="67">
        <v>57</v>
      </c>
      <c r="H136" s="67">
        <v>186</v>
      </c>
      <c r="I136" s="68">
        <v>177.2</v>
      </c>
      <c r="J136" s="68">
        <v>3.10877192982456</v>
      </c>
      <c r="K136" s="69">
        <v>23345.67</v>
      </c>
      <c r="L136" s="68">
        <v>0</v>
      </c>
      <c r="M136" s="67">
        <v>518</v>
      </c>
      <c r="N136" s="68">
        <v>1727.04</v>
      </c>
    </row>
    <row r="137" hidden="1" spans="1:14">
      <c r="A137" t="s">
        <v>184</v>
      </c>
      <c r="B137" s="63" t="s">
        <v>82</v>
      </c>
      <c r="C137" s="63" t="s">
        <v>83</v>
      </c>
      <c r="D137" s="63" t="s">
        <v>5</v>
      </c>
      <c r="E137" s="63" t="s">
        <v>161</v>
      </c>
      <c r="F137" s="66" t="s">
        <v>159</v>
      </c>
      <c r="G137" s="67">
        <v>48</v>
      </c>
      <c r="H137" s="67">
        <v>198</v>
      </c>
      <c r="I137" s="68">
        <v>190.8</v>
      </c>
      <c r="J137" s="68">
        <v>3.975</v>
      </c>
      <c r="K137" s="69">
        <v>24057.18</v>
      </c>
      <c r="L137" s="68">
        <v>1</v>
      </c>
      <c r="M137" s="67">
        <v>600</v>
      </c>
      <c r="N137" s="68">
        <v>1908.88000000001</v>
      </c>
    </row>
    <row r="138" hidden="1" spans="1:14">
      <c r="A138" t="s">
        <v>184</v>
      </c>
      <c r="B138" s="63" t="s">
        <v>82</v>
      </c>
      <c r="C138" s="63" t="s">
        <v>83</v>
      </c>
      <c r="D138" s="63" t="s">
        <v>4</v>
      </c>
      <c r="E138" s="63" t="s">
        <v>162</v>
      </c>
      <c r="F138" s="66" t="s">
        <v>159</v>
      </c>
      <c r="G138" s="67">
        <v>36</v>
      </c>
      <c r="H138" s="67">
        <v>84</v>
      </c>
      <c r="I138" s="68">
        <v>76</v>
      </c>
      <c r="J138" s="68">
        <v>2.11111111111111</v>
      </c>
      <c r="K138" s="69">
        <v>10976.67</v>
      </c>
      <c r="L138" s="68">
        <v>2</v>
      </c>
      <c r="M138" s="67">
        <v>227</v>
      </c>
      <c r="N138" s="68">
        <v>1435.94</v>
      </c>
    </row>
    <row r="139" hidden="1" spans="1:14">
      <c r="A139" t="s">
        <v>184</v>
      </c>
      <c r="B139" s="63" t="s">
        <v>82</v>
      </c>
      <c r="C139" s="63" t="s">
        <v>83</v>
      </c>
      <c r="D139" s="63" t="s">
        <v>7</v>
      </c>
      <c r="E139" s="63" t="s">
        <v>163</v>
      </c>
      <c r="F139" s="66" t="s">
        <v>159</v>
      </c>
      <c r="G139" s="67">
        <v>55</v>
      </c>
      <c r="H139" s="67">
        <v>258</v>
      </c>
      <c r="I139" s="68">
        <v>248.9</v>
      </c>
      <c r="J139" s="68">
        <v>4.52545454545455</v>
      </c>
      <c r="K139" s="69">
        <v>33014.98</v>
      </c>
      <c r="L139" s="68">
        <v>1</v>
      </c>
      <c r="M139" s="67">
        <v>701</v>
      </c>
      <c r="N139" s="68">
        <v>2288.98</v>
      </c>
    </row>
    <row r="140" hidden="1" spans="1:14">
      <c r="A140" t="s">
        <v>184</v>
      </c>
      <c r="B140" s="63" t="s">
        <v>82</v>
      </c>
      <c r="C140" s="63" t="s">
        <v>83</v>
      </c>
      <c r="D140" s="63" t="s">
        <v>8</v>
      </c>
      <c r="E140" s="63" t="s">
        <v>164</v>
      </c>
      <c r="F140" s="66" t="s">
        <v>159</v>
      </c>
      <c r="G140" s="67">
        <v>56</v>
      </c>
      <c r="H140" s="67">
        <v>147</v>
      </c>
      <c r="I140" s="68">
        <v>136.4</v>
      </c>
      <c r="J140" s="68">
        <v>2.43571428571429</v>
      </c>
      <c r="K140" s="69">
        <v>16067.19</v>
      </c>
      <c r="L140" s="68">
        <v>0</v>
      </c>
      <c r="M140" s="67">
        <v>377</v>
      </c>
      <c r="N140" s="68">
        <v>764.16</v>
      </c>
    </row>
    <row r="141" hidden="1" spans="1:14">
      <c r="A141" t="s">
        <v>184</v>
      </c>
      <c r="B141" s="63" t="s">
        <v>82</v>
      </c>
      <c r="C141" s="63" t="s">
        <v>83</v>
      </c>
      <c r="D141" s="63" t="s">
        <v>6</v>
      </c>
      <c r="E141" s="63" t="s">
        <v>165</v>
      </c>
      <c r="F141" s="66" t="s">
        <v>159</v>
      </c>
      <c r="G141" s="67">
        <v>70</v>
      </c>
      <c r="H141" s="67">
        <v>170</v>
      </c>
      <c r="I141" s="68">
        <v>166</v>
      </c>
      <c r="J141" s="68">
        <v>2.37142857142857</v>
      </c>
      <c r="K141" s="69">
        <v>19618.53</v>
      </c>
      <c r="L141" s="68">
        <v>0.7</v>
      </c>
      <c r="M141" s="67">
        <v>463</v>
      </c>
      <c r="N141" s="68">
        <v>1251.68</v>
      </c>
    </row>
    <row r="142" spans="1:14">
      <c r="A142" s="63" t="s">
        <v>185</v>
      </c>
      <c r="B142" s="63" t="s">
        <v>82</v>
      </c>
      <c r="C142" s="63" t="s">
        <v>83</v>
      </c>
      <c r="D142" s="63" t="s">
        <v>3</v>
      </c>
      <c r="E142" s="63" t="s">
        <v>158</v>
      </c>
      <c r="F142" s="66" t="s">
        <v>148</v>
      </c>
      <c r="G142" s="67">
        <v>53</v>
      </c>
      <c r="H142" s="67">
        <v>316</v>
      </c>
      <c r="I142" s="68">
        <v>303</v>
      </c>
      <c r="J142" s="68">
        <v>5.71698113207547</v>
      </c>
      <c r="K142" s="69">
        <v>50041.3</v>
      </c>
      <c r="L142" s="68">
        <v>6</v>
      </c>
      <c r="M142" s="67">
        <v>902</v>
      </c>
      <c r="N142" s="68">
        <v>2651.49000000002</v>
      </c>
    </row>
    <row r="143" hidden="1" spans="1:14">
      <c r="A143" s="63" t="s">
        <v>185</v>
      </c>
      <c r="B143" s="63" t="s">
        <v>82</v>
      </c>
      <c r="C143" s="63" t="s">
        <v>83</v>
      </c>
      <c r="D143" s="63" t="s">
        <v>9</v>
      </c>
      <c r="E143" s="63" t="s">
        <v>160</v>
      </c>
      <c r="F143" s="66" t="s">
        <v>148</v>
      </c>
      <c r="G143" s="67">
        <v>57</v>
      </c>
      <c r="H143" s="67">
        <v>244</v>
      </c>
      <c r="I143" s="68">
        <v>242</v>
      </c>
      <c r="J143" s="68">
        <v>4.24561403508772</v>
      </c>
      <c r="K143" s="69">
        <v>43588.68</v>
      </c>
      <c r="L143" s="68">
        <v>0</v>
      </c>
      <c r="M143" s="67">
        <v>731</v>
      </c>
      <c r="N143" s="68">
        <v>1221.71000000001</v>
      </c>
    </row>
    <row r="144" hidden="1" spans="1:14">
      <c r="A144" s="63" t="s">
        <v>185</v>
      </c>
      <c r="B144" s="63" t="s">
        <v>82</v>
      </c>
      <c r="C144" s="63" t="s">
        <v>83</v>
      </c>
      <c r="D144" s="63" t="s">
        <v>5</v>
      </c>
      <c r="E144" s="63" t="s">
        <v>161</v>
      </c>
      <c r="F144" s="66" t="s">
        <v>148</v>
      </c>
      <c r="G144" s="67">
        <v>48</v>
      </c>
      <c r="H144" s="67">
        <v>318</v>
      </c>
      <c r="I144" s="68">
        <v>311</v>
      </c>
      <c r="J144" s="68">
        <v>6.47916666666667</v>
      </c>
      <c r="K144" s="69">
        <v>51319.64</v>
      </c>
      <c r="L144" s="68">
        <v>4</v>
      </c>
      <c r="M144" s="67">
        <v>1051</v>
      </c>
      <c r="N144" s="68">
        <v>2360.52</v>
      </c>
    </row>
    <row r="145" hidden="1" spans="1:14">
      <c r="A145" s="63" t="s">
        <v>185</v>
      </c>
      <c r="B145" s="63" t="s">
        <v>82</v>
      </c>
      <c r="C145" s="63" t="s">
        <v>83</v>
      </c>
      <c r="D145" s="63" t="s">
        <v>4</v>
      </c>
      <c r="E145" s="63" t="s">
        <v>162</v>
      </c>
      <c r="F145" s="66" t="s">
        <v>148</v>
      </c>
      <c r="G145" s="67">
        <v>36</v>
      </c>
      <c r="H145" s="67">
        <v>172</v>
      </c>
      <c r="I145" s="68">
        <v>171</v>
      </c>
      <c r="J145" s="68">
        <v>4.75</v>
      </c>
      <c r="K145" s="69">
        <v>25872</v>
      </c>
      <c r="L145" s="68">
        <v>12</v>
      </c>
      <c r="M145" s="67">
        <v>455</v>
      </c>
      <c r="N145" s="68">
        <v>1276.87</v>
      </c>
    </row>
    <row r="146" hidden="1" spans="1:14">
      <c r="A146" s="63" t="s">
        <v>185</v>
      </c>
      <c r="B146" s="63" t="s">
        <v>82</v>
      </c>
      <c r="C146" s="63" t="s">
        <v>83</v>
      </c>
      <c r="D146" s="63" t="s">
        <v>7</v>
      </c>
      <c r="E146" s="63" t="s">
        <v>163</v>
      </c>
      <c r="F146" s="66" t="s">
        <v>148</v>
      </c>
      <c r="G146" s="67">
        <v>55</v>
      </c>
      <c r="H146" s="67">
        <v>329</v>
      </c>
      <c r="I146" s="68">
        <v>325</v>
      </c>
      <c r="J146" s="68">
        <v>5.90909090909091</v>
      </c>
      <c r="K146" s="69">
        <v>48799.96</v>
      </c>
      <c r="L146" s="68">
        <v>10</v>
      </c>
      <c r="M146" s="67">
        <v>821</v>
      </c>
      <c r="N146" s="68">
        <v>1546.98999999999</v>
      </c>
    </row>
    <row r="147" hidden="1" spans="1:14">
      <c r="A147" s="63" t="s">
        <v>185</v>
      </c>
      <c r="B147" s="63" t="s">
        <v>82</v>
      </c>
      <c r="C147" s="63" t="s">
        <v>83</v>
      </c>
      <c r="D147" s="63" t="s">
        <v>8</v>
      </c>
      <c r="E147" s="63" t="s">
        <v>164</v>
      </c>
      <c r="F147" s="66" t="s">
        <v>148</v>
      </c>
      <c r="G147" s="67">
        <v>37</v>
      </c>
      <c r="H147" s="67">
        <v>189</v>
      </c>
      <c r="I147" s="68">
        <v>186</v>
      </c>
      <c r="J147" s="68">
        <v>5.02702702702703</v>
      </c>
      <c r="K147" s="69">
        <v>29668.1</v>
      </c>
      <c r="L147" s="68">
        <v>0</v>
      </c>
      <c r="M147" s="67">
        <v>573</v>
      </c>
      <c r="N147" s="68">
        <v>1561.60999999999</v>
      </c>
    </row>
    <row r="148" hidden="1" spans="1:14">
      <c r="A148" s="63" t="s">
        <v>185</v>
      </c>
      <c r="B148" s="63" t="s">
        <v>82</v>
      </c>
      <c r="C148" s="63" t="s">
        <v>83</v>
      </c>
      <c r="D148" s="63" t="s">
        <v>6</v>
      </c>
      <c r="E148" s="63" t="s">
        <v>165</v>
      </c>
      <c r="F148" s="66" t="s">
        <v>148</v>
      </c>
      <c r="G148" s="67">
        <v>70</v>
      </c>
      <c r="H148" s="67">
        <v>381</v>
      </c>
      <c r="I148" s="68">
        <v>377</v>
      </c>
      <c r="J148" s="68">
        <v>5.38571428571429</v>
      </c>
      <c r="K148" s="69">
        <v>59782</v>
      </c>
      <c r="L148" s="68">
        <v>9</v>
      </c>
      <c r="M148" s="67">
        <v>1097</v>
      </c>
      <c r="N148" s="68">
        <v>2838.53000000002</v>
      </c>
    </row>
    <row r="149" spans="1:14">
      <c r="A149" s="63" t="s">
        <v>186</v>
      </c>
      <c r="B149" s="63" t="s">
        <v>82</v>
      </c>
      <c r="C149" s="63" t="s">
        <v>83</v>
      </c>
      <c r="D149" s="63" t="s">
        <v>3</v>
      </c>
      <c r="E149" s="63" t="s">
        <v>158</v>
      </c>
      <c r="F149" s="66" t="s">
        <v>148</v>
      </c>
      <c r="G149" s="67">
        <v>53</v>
      </c>
      <c r="H149" s="67">
        <v>286</v>
      </c>
      <c r="I149" s="68">
        <v>279</v>
      </c>
      <c r="J149" s="68">
        <v>5.26415094339623</v>
      </c>
      <c r="K149" s="69">
        <v>47106.75</v>
      </c>
      <c r="L149" s="68">
        <v>6</v>
      </c>
      <c r="M149" s="67">
        <v>860</v>
      </c>
      <c r="N149" s="68">
        <v>2304.15999999999</v>
      </c>
    </row>
    <row r="150" hidden="1" spans="1:14">
      <c r="A150" s="63" t="s">
        <v>186</v>
      </c>
      <c r="B150" s="63" t="s">
        <v>82</v>
      </c>
      <c r="C150" s="63" t="s">
        <v>83</v>
      </c>
      <c r="D150" s="63" t="s">
        <v>9</v>
      </c>
      <c r="E150" s="63" t="s">
        <v>160</v>
      </c>
      <c r="F150" s="66" t="s">
        <v>148</v>
      </c>
      <c r="G150" s="67">
        <v>57</v>
      </c>
      <c r="H150" s="67">
        <v>242</v>
      </c>
      <c r="I150" s="68">
        <v>240</v>
      </c>
      <c r="J150" s="68">
        <v>4.21052631578947</v>
      </c>
      <c r="K150" s="69">
        <v>42293.05</v>
      </c>
      <c r="L150" s="68">
        <v>0</v>
      </c>
      <c r="M150" s="67">
        <v>748</v>
      </c>
      <c r="N150" s="68">
        <v>1152.85</v>
      </c>
    </row>
    <row r="151" hidden="1" spans="1:14">
      <c r="A151" s="63" t="s">
        <v>186</v>
      </c>
      <c r="B151" s="63" t="s">
        <v>82</v>
      </c>
      <c r="C151" s="63" t="s">
        <v>83</v>
      </c>
      <c r="D151" s="63" t="s">
        <v>5</v>
      </c>
      <c r="E151" s="63" t="s">
        <v>161</v>
      </c>
      <c r="F151" s="66" t="s">
        <v>148</v>
      </c>
      <c r="G151" s="67">
        <v>48</v>
      </c>
      <c r="H151" s="67">
        <v>307</v>
      </c>
      <c r="I151" s="68">
        <v>305</v>
      </c>
      <c r="J151" s="68">
        <v>6.35416666666667</v>
      </c>
      <c r="K151" s="69">
        <v>46521.45</v>
      </c>
      <c r="L151" s="68">
        <v>9</v>
      </c>
      <c r="M151" s="67">
        <v>955</v>
      </c>
      <c r="N151" s="68">
        <v>2107.63999999997</v>
      </c>
    </row>
    <row r="152" hidden="1" spans="1:14">
      <c r="A152" s="63" t="s">
        <v>186</v>
      </c>
      <c r="B152" s="63" t="s">
        <v>82</v>
      </c>
      <c r="C152" s="63" t="s">
        <v>83</v>
      </c>
      <c r="D152" s="63" t="s">
        <v>4</v>
      </c>
      <c r="E152" s="63" t="s">
        <v>162</v>
      </c>
      <c r="F152" s="66" t="s">
        <v>148</v>
      </c>
      <c r="G152" s="67">
        <v>36</v>
      </c>
      <c r="H152" s="67">
        <v>163</v>
      </c>
      <c r="I152" s="68">
        <v>157</v>
      </c>
      <c r="J152" s="68">
        <v>4.36111111111111</v>
      </c>
      <c r="K152" s="69">
        <v>25565.15</v>
      </c>
      <c r="L152" s="68">
        <v>18</v>
      </c>
      <c r="M152" s="67">
        <v>417</v>
      </c>
      <c r="N152" s="68">
        <v>1453.92000000001</v>
      </c>
    </row>
    <row r="153" hidden="1" spans="1:14">
      <c r="A153" s="63" t="s">
        <v>186</v>
      </c>
      <c r="B153" s="63" t="s">
        <v>82</v>
      </c>
      <c r="C153" s="63" t="s">
        <v>83</v>
      </c>
      <c r="D153" s="63" t="s">
        <v>7</v>
      </c>
      <c r="E153" s="63" t="s">
        <v>163</v>
      </c>
      <c r="F153" s="66" t="s">
        <v>148</v>
      </c>
      <c r="G153" s="67">
        <v>55</v>
      </c>
      <c r="H153" s="67">
        <v>293</v>
      </c>
      <c r="I153" s="68">
        <v>282</v>
      </c>
      <c r="J153" s="68">
        <v>5.12727272727273</v>
      </c>
      <c r="K153" s="69">
        <v>36903.2</v>
      </c>
      <c r="L153" s="68">
        <v>14</v>
      </c>
      <c r="M153" s="67">
        <v>666</v>
      </c>
      <c r="N153" s="68">
        <v>1594.67999999999</v>
      </c>
    </row>
    <row r="154" hidden="1" spans="1:14">
      <c r="A154" s="63" t="s">
        <v>186</v>
      </c>
      <c r="B154" s="63" t="s">
        <v>82</v>
      </c>
      <c r="C154" s="63" t="s">
        <v>83</v>
      </c>
      <c r="D154" s="63" t="s">
        <v>8</v>
      </c>
      <c r="E154" s="63" t="s">
        <v>164</v>
      </c>
      <c r="F154" s="66" t="s">
        <v>148</v>
      </c>
      <c r="G154" s="67">
        <v>37</v>
      </c>
      <c r="H154" s="67">
        <v>170</v>
      </c>
      <c r="I154" s="68">
        <v>167</v>
      </c>
      <c r="J154" s="68">
        <v>4.51351351351351</v>
      </c>
      <c r="K154" s="69">
        <v>24357.9</v>
      </c>
      <c r="L154" s="68">
        <v>1</v>
      </c>
      <c r="M154" s="67">
        <v>513</v>
      </c>
      <c r="N154" s="68">
        <v>1496.06</v>
      </c>
    </row>
    <row r="155" hidden="1" spans="1:14">
      <c r="A155" s="63" t="s">
        <v>186</v>
      </c>
      <c r="B155" s="63" t="s">
        <v>82</v>
      </c>
      <c r="C155" s="63" t="s">
        <v>83</v>
      </c>
      <c r="D155" s="63" t="s">
        <v>6</v>
      </c>
      <c r="E155" s="63" t="s">
        <v>165</v>
      </c>
      <c r="F155" s="66" t="s">
        <v>148</v>
      </c>
      <c r="G155" s="67">
        <v>70</v>
      </c>
      <c r="H155" s="67">
        <v>345</v>
      </c>
      <c r="I155" s="68">
        <v>338</v>
      </c>
      <c r="J155" s="68">
        <v>4.82857142857143</v>
      </c>
      <c r="K155" s="69">
        <v>50368.04</v>
      </c>
      <c r="L155" s="68">
        <v>11</v>
      </c>
      <c r="M155" s="67">
        <v>943</v>
      </c>
      <c r="N155" s="68">
        <v>2189.03000000002</v>
      </c>
    </row>
    <row r="156" spans="1:14">
      <c r="A156" s="63" t="s">
        <v>187</v>
      </c>
      <c r="B156" s="63" t="s">
        <v>82</v>
      </c>
      <c r="C156" s="63" t="s">
        <v>83</v>
      </c>
      <c r="D156" s="63" t="s">
        <v>3</v>
      </c>
      <c r="E156" s="63" t="s">
        <v>158</v>
      </c>
      <c r="F156" s="66" t="s">
        <v>159</v>
      </c>
      <c r="G156" s="67">
        <v>53</v>
      </c>
      <c r="H156" s="67">
        <v>204</v>
      </c>
      <c r="I156" s="68">
        <v>199</v>
      </c>
      <c r="J156" s="68">
        <v>3.75471698113208</v>
      </c>
      <c r="K156" s="69">
        <v>27535.6</v>
      </c>
      <c r="L156" s="68">
        <v>5</v>
      </c>
      <c r="M156" s="67">
        <v>585</v>
      </c>
      <c r="N156" s="68">
        <v>1109.98000000001</v>
      </c>
    </row>
    <row r="157" hidden="1" spans="1:14">
      <c r="A157" s="63" t="s">
        <v>187</v>
      </c>
      <c r="B157" s="63" t="s">
        <v>82</v>
      </c>
      <c r="C157" s="63" t="s">
        <v>83</v>
      </c>
      <c r="D157" s="63" t="s">
        <v>9</v>
      </c>
      <c r="E157" s="63" t="s">
        <v>160</v>
      </c>
      <c r="F157" s="66" t="s">
        <v>159</v>
      </c>
      <c r="G157" s="67">
        <v>57</v>
      </c>
      <c r="H157" s="67">
        <v>160</v>
      </c>
      <c r="I157" s="68">
        <v>155</v>
      </c>
      <c r="J157" s="68">
        <v>2.71929824561403</v>
      </c>
      <c r="K157" s="69">
        <v>23839.93</v>
      </c>
      <c r="L157" s="68">
        <v>0</v>
      </c>
      <c r="M157" s="67">
        <v>393</v>
      </c>
      <c r="N157" s="68">
        <v>1808.53</v>
      </c>
    </row>
    <row r="158" hidden="1" spans="1:14">
      <c r="A158" s="63" t="s">
        <v>187</v>
      </c>
      <c r="B158" s="63" t="s">
        <v>82</v>
      </c>
      <c r="C158" s="63" t="s">
        <v>83</v>
      </c>
      <c r="D158" s="63" t="s">
        <v>5</v>
      </c>
      <c r="E158" s="63" t="s">
        <v>161</v>
      </c>
      <c r="F158" s="66" t="s">
        <v>159</v>
      </c>
      <c r="G158" s="67">
        <v>48</v>
      </c>
      <c r="H158" s="67">
        <v>248</v>
      </c>
      <c r="I158" s="68">
        <v>244</v>
      </c>
      <c r="J158" s="68">
        <v>5.08333333333333</v>
      </c>
      <c r="K158" s="69">
        <v>28390.31</v>
      </c>
      <c r="L158" s="68">
        <v>2</v>
      </c>
      <c r="M158" s="67">
        <v>720</v>
      </c>
      <c r="N158" s="68">
        <v>1407.65999999999</v>
      </c>
    </row>
    <row r="159" hidden="1" spans="1:14">
      <c r="A159" s="63" t="s">
        <v>187</v>
      </c>
      <c r="B159" s="63" t="s">
        <v>82</v>
      </c>
      <c r="C159" s="63" t="s">
        <v>83</v>
      </c>
      <c r="D159" s="63" t="s">
        <v>4</v>
      </c>
      <c r="E159" s="63" t="s">
        <v>162</v>
      </c>
      <c r="F159" s="66" t="s">
        <v>159</v>
      </c>
      <c r="G159" s="67">
        <v>36</v>
      </c>
      <c r="H159" s="67">
        <v>112</v>
      </c>
      <c r="I159" s="68">
        <v>107</v>
      </c>
      <c r="J159" s="68">
        <v>2.97222222222222</v>
      </c>
      <c r="K159" s="69">
        <v>14192.4</v>
      </c>
      <c r="L159" s="68">
        <v>16</v>
      </c>
      <c r="M159" s="67">
        <v>249</v>
      </c>
      <c r="N159" s="68">
        <v>736.619999999995</v>
      </c>
    </row>
    <row r="160" hidden="1" spans="1:14">
      <c r="A160" s="63" t="s">
        <v>187</v>
      </c>
      <c r="B160" s="63" t="s">
        <v>82</v>
      </c>
      <c r="C160" s="63" t="s">
        <v>83</v>
      </c>
      <c r="D160" s="63" t="s">
        <v>7</v>
      </c>
      <c r="E160" s="63" t="s">
        <v>163</v>
      </c>
      <c r="F160" s="66" t="s">
        <v>159</v>
      </c>
      <c r="G160" s="67">
        <v>55</v>
      </c>
      <c r="H160" s="67">
        <v>219</v>
      </c>
      <c r="I160" s="68">
        <v>211</v>
      </c>
      <c r="J160" s="68">
        <v>3.83636363636364</v>
      </c>
      <c r="K160" s="69">
        <v>27688.31</v>
      </c>
      <c r="L160" s="68">
        <v>13</v>
      </c>
      <c r="M160" s="67">
        <v>518</v>
      </c>
      <c r="N160" s="68">
        <v>1606.72</v>
      </c>
    </row>
    <row r="161" hidden="1" spans="1:14">
      <c r="A161" s="63" t="s">
        <v>187</v>
      </c>
      <c r="B161" s="63" t="s">
        <v>82</v>
      </c>
      <c r="C161" s="63" t="s">
        <v>83</v>
      </c>
      <c r="D161" s="63" t="s">
        <v>8</v>
      </c>
      <c r="E161" s="63" t="s">
        <v>164</v>
      </c>
      <c r="F161" s="66" t="s">
        <v>159</v>
      </c>
      <c r="G161" s="67">
        <v>37</v>
      </c>
      <c r="H161" s="67">
        <v>120</v>
      </c>
      <c r="I161" s="68">
        <v>115</v>
      </c>
      <c r="J161" s="68">
        <v>3.10810810810811</v>
      </c>
      <c r="K161" s="69">
        <v>17030.6</v>
      </c>
      <c r="L161" s="68">
        <v>0</v>
      </c>
      <c r="M161" s="67">
        <v>364</v>
      </c>
      <c r="N161" s="68">
        <v>1041.14</v>
      </c>
    </row>
    <row r="162" hidden="1" spans="1:14">
      <c r="A162" s="63" t="s">
        <v>187</v>
      </c>
      <c r="B162" s="63" t="s">
        <v>82</v>
      </c>
      <c r="C162" s="63" t="s">
        <v>83</v>
      </c>
      <c r="D162" s="63" t="s">
        <v>6</v>
      </c>
      <c r="E162" s="63" t="s">
        <v>165</v>
      </c>
      <c r="F162" s="66" t="s">
        <v>159</v>
      </c>
      <c r="G162" s="67">
        <v>70</v>
      </c>
      <c r="H162" s="67">
        <v>210</v>
      </c>
      <c r="I162" s="68">
        <v>207</v>
      </c>
      <c r="J162" s="68">
        <v>2.95714285714286</v>
      </c>
      <c r="K162" s="69">
        <v>24517.38</v>
      </c>
      <c r="L162" s="68">
        <v>4</v>
      </c>
      <c r="M162" s="67">
        <v>547</v>
      </c>
      <c r="N162" s="68">
        <v>1120.51000000001</v>
      </c>
    </row>
    <row r="163" spans="1:14">
      <c r="A163" s="63" t="s">
        <v>188</v>
      </c>
      <c r="B163" s="63" t="s">
        <v>82</v>
      </c>
      <c r="C163" s="63" t="s">
        <v>83</v>
      </c>
      <c r="D163" s="63" t="s">
        <v>3</v>
      </c>
      <c r="E163" s="63" t="s">
        <v>158</v>
      </c>
      <c r="F163" s="66" t="s">
        <v>159</v>
      </c>
      <c r="G163" s="67">
        <v>53</v>
      </c>
      <c r="H163" s="67">
        <v>191</v>
      </c>
      <c r="I163" s="68">
        <v>180</v>
      </c>
      <c r="J163" s="68">
        <v>3.39622641509434</v>
      </c>
      <c r="K163" s="69">
        <v>25406.7</v>
      </c>
      <c r="L163" s="68">
        <v>1</v>
      </c>
      <c r="M163" s="67">
        <v>514</v>
      </c>
      <c r="N163" s="68">
        <v>1628.44</v>
      </c>
    </row>
    <row r="164" hidden="1" spans="1:14">
      <c r="A164" s="63" t="s">
        <v>188</v>
      </c>
      <c r="B164" s="63" t="s">
        <v>82</v>
      </c>
      <c r="C164" s="63" t="s">
        <v>83</v>
      </c>
      <c r="D164" s="63" t="s">
        <v>9</v>
      </c>
      <c r="E164" s="63" t="s">
        <v>160</v>
      </c>
      <c r="F164" s="66" t="s">
        <v>159</v>
      </c>
      <c r="G164" s="67">
        <v>57</v>
      </c>
      <c r="H164" s="67">
        <v>156</v>
      </c>
      <c r="I164" s="68">
        <v>153</v>
      </c>
      <c r="J164" s="68">
        <v>2.68421052631579</v>
      </c>
      <c r="K164" s="69">
        <v>24014.23</v>
      </c>
      <c r="L164" s="68">
        <v>0</v>
      </c>
      <c r="M164" s="67">
        <v>428</v>
      </c>
      <c r="N164" s="68">
        <v>1820.11</v>
      </c>
    </row>
    <row r="165" hidden="1" spans="1:14">
      <c r="A165" s="63" t="s">
        <v>188</v>
      </c>
      <c r="B165" s="63" t="s">
        <v>82</v>
      </c>
      <c r="C165" s="63" t="s">
        <v>83</v>
      </c>
      <c r="D165" s="63" t="s">
        <v>5</v>
      </c>
      <c r="E165" s="63" t="s">
        <v>161</v>
      </c>
      <c r="F165" s="66" t="s">
        <v>159</v>
      </c>
      <c r="G165" s="67">
        <v>48</v>
      </c>
      <c r="H165" s="67">
        <v>230</v>
      </c>
      <c r="I165" s="68">
        <v>227</v>
      </c>
      <c r="J165" s="68">
        <v>4.72916666666667</v>
      </c>
      <c r="K165" s="69">
        <v>25334.13</v>
      </c>
      <c r="L165" s="68">
        <v>4</v>
      </c>
      <c r="M165" s="67">
        <v>629</v>
      </c>
      <c r="N165" s="68">
        <v>1403.79</v>
      </c>
    </row>
    <row r="166" hidden="1" spans="1:14">
      <c r="A166" s="63" t="s">
        <v>188</v>
      </c>
      <c r="B166" s="63" t="s">
        <v>82</v>
      </c>
      <c r="C166" s="63" t="s">
        <v>83</v>
      </c>
      <c r="D166" s="63" t="s">
        <v>4</v>
      </c>
      <c r="E166" s="63" t="s">
        <v>162</v>
      </c>
      <c r="F166" s="66" t="s">
        <v>159</v>
      </c>
      <c r="G166" s="67">
        <v>36</v>
      </c>
      <c r="H166" s="67">
        <v>88</v>
      </c>
      <c r="I166" s="68">
        <v>80</v>
      </c>
      <c r="J166" s="68">
        <v>2.22222222222222</v>
      </c>
      <c r="K166" s="69">
        <v>11380.45</v>
      </c>
      <c r="L166" s="68">
        <v>12</v>
      </c>
      <c r="M166" s="67">
        <v>203</v>
      </c>
      <c r="N166" s="68">
        <v>629.769999999998</v>
      </c>
    </row>
    <row r="167" hidden="1" spans="1:14">
      <c r="A167" s="63" t="s">
        <v>188</v>
      </c>
      <c r="B167" s="63" t="s">
        <v>82</v>
      </c>
      <c r="C167" s="63" t="s">
        <v>83</v>
      </c>
      <c r="D167" s="63" t="s">
        <v>7</v>
      </c>
      <c r="E167" s="63" t="s">
        <v>163</v>
      </c>
      <c r="F167" s="66" t="s">
        <v>159</v>
      </c>
      <c r="G167" s="67">
        <v>55</v>
      </c>
      <c r="H167" s="67">
        <v>228</v>
      </c>
      <c r="I167" s="68">
        <v>222</v>
      </c>
      <c r="J167" s="68">
        <v>4.03636363636364</v>
      </c>
      <c r="K167" s="69">
        <v>31766.94</v>
      </c>
      <c r="L167" s="68">
        <v>0</v>
      </c>
      <c r="M167" s="67">
        <v>594</v>
      </c>
      <c r="N167" s="68">
        <v>2036.82</v>
      </c>
    </row>
    <row r="168" hidden="1" spans="1:14">
      <c r="A168" s="63" t="s">
        <v>188</v>
      </c>
      <c r="B168" s="63" t="s">
        <v>82</v>
      </c>
      <c r="C168" s="63" t="s">
        <v>83</v>
      </c>
      <c r="D168" s="63" t="s">
        <v>8</v>
      </c>
      <c r="E168" s="63" t="s">
        <v>164</v>
      </c>
      <c r="F168" s="66" t="s">
        <v>159</v>
      </c>
      <c r="G168" s="67">
        <v>37</v>
      </c>
      <c r="H168" s="67">
        <v>107</v>
      </c>
      <c r="I168" s="68">
        <v>104</v>
      </c>
      <c r="J168" s="68">
        <v>2.81081081081081</v>
      </c>
      <c r="K168" s="69">
        <v>13795.25</v>
      </c>
      <c r="L168" s="68">
        <v>1</v>
      </c>
      <c r="M168" s="67">
        <v>283</v>
      </c>
      <c r="N168" s="68">
        <v>1068.39</v>
      </c>
    </row>
    <row r="169" hidden="1" spans="1:14">
      <c r="A169" s="63" t="s">
        <v>188</v>
      </c>
      <c r="B169" s="63" t="s">
        <v>82</v>
      </c>
      <c r="C169" s="63" t="s">
        <v>83</v>
      </c>
      <c r="D169" s="63" t="s">
        <v>6</v>
      </c>
      <c r="E169" s="63" t="s">
        <v>165</v>
      </c>
      <c r="F169" s="66" t="s">
        <v>159</v>
      </c>
      <c r="G169" s="67">
        <v>70</v>
      </c>
      <c r="H169" s="67">
        <v>258</v>
      </c>
      <c r="I169" s="68">
        <v>250</v>
      </c>
      <c r="J169" s="68">
        <v>3.57142857142857</v>
      </c>
      <c r="K169" s="69">
        <v>27146.12</v>
      </c>
      <c r="L169" s="68">
        <v>3</v>
      </c>
      <c r="M169" s="67">
        <v>652</v>
      </c>
      <c r="N169" s="68">
        <v>2076.6</v>
      </c>
    </row>
    <row r="170" spans="1:14">
      <c r="A170" s="63" t="s">
        <v>189</v>
      </c>
      <c r="B170" s="63" t="s">
        <v>82</v>
      </c>
      <c r="C170" s="63" t="s">
        <v>83</v>
      </c>
      <c r="D170" s="63" t="s">
        <v>3</v>
      </c>
      <c r="E170" s="63" t="s">
        <v>158</v>
      </c>
      <c r="F170" s="66" t="s">
        <v>159</v>
      </c>
      <c r="G170" s="67">
        <v>53</v>
      </c>
      <c r="H170" s="67">
        <v>223</v>
      </c>
      <c r="I170" s="68">
        <v>216</v>
      </c>
      <c r="J170" s="68">
        <v>4.07547169811321</v>
      </c>
      <c r="K170" s="69">
        <v>28589.05</v>
      </c>
      <c r="L170" s="68">
        <v>3</v>
      </c>
      <c r="M170" s="67">
        <v>592</v>
      </c>
      <c r="N170" s="68">
        <v>1481.29</v>
      </c>
    </row>
    <row r="171" hidden="1" spans="1:14">
      <c r="A171" s="63" t="s">
        <v>189</v>
      </c>
      <c r="B171" s="63" t="s">
        <v>82</v>
      </c>
      <c r="C171" s="63" t="s">
        <v>83</v>
      </c>
      <c r="D171" s="63" t="s">
        <v>9</v>
      </c>
      <c r="E171" s="63" t="s">
        <v>160</v>
      </c>
      <c r="F171" s="66" t="s">
        <v>159</v>
      </c>
      <c r="G171" s="67">
        <v>57</v>
      </c>
      <c r="H171" s="67">
        <v>147</v>
      </c>
      <c r="I171" s="68">
        <v>144</v>
      </c>
      <c r="J171" s="68">
        <v>2.52631578947368</v>
      </c>
      <c r="K171" s="69">
        <v>22890.58</v>
      </c>
      <c r="L171" s="68">
        <v>0</v>
      </c>
      <c r="M171" s="67">
        <v>407</v>
      </c>
      <c r="N171" s="68">
        <v>1744.95</v>
      </c>
    </row>
    <row r="172" hidden="1" spans="1:14">
      <c r="A172" s="63" t="s">
        <v>189</v>
      </c>
      <c r="B172" s="63" t="s">
        <v>82</v>
      </c>
      <c r="C172" s="63" t="s">
        <v>83</v>
      </c>
      <c r="D172" s="63" t="s">
        <v>5</v>
      </c>
      <c r="E172" s="63" t="s">
        <v>161</v>
      </c>
      <c r="F172" s="66" t="s">
        <v>159</v>
      </c>
      <c r="G172" s="67">
        <v>48</v>
      </c>
      <c r="H172" s="67">
        <v>245</v>
      </c>
      <c r="I172" s="68">
        <v>244</v>
      </c>
      <c r="J172" s="68">
        <v>5.08333333333333</v>
      </c>
      <c r="K172" s="69">
        <v>28442.03</v>
      </c>
      <c r="L172" s="68">
        <v>0</v>
      </c>
      <c r="M172" s="67">
        <v>699</v>
      </c>
      <c r="N172" s="68">
        <v>1463.40999999998</v>
      </c>
    </row>
    <row r="173" hidden="1" spans="1:14">
      <c r="A173" s="63" t="s">
        <v>189</v>
      </c>
      <c r="B173" s="63" t="s">
        <v>82</v>
      </c>
      <c r="C173" s="63" t="s">
        <v>83</v>
      </c>
      <c r="D173" s="63" t="s">
        <v>4</v>
      </c>
      <c r="E173" s="63" t="s">
        <v>162</v>
      </c>
      <c r="F173" s="66" t="s">
        <v>159</v>
      </c>
      <c r="G173" s="67">
        <v>36</v>
      </c>
      <c r="H173" s="67">
        <v>97</v>
      </c>
      <c r="I173" s="68">
        <v>94</v>
      </c>
      <c r="J173" s="68">
        <v>2.61111111111111</v>
      </c>
      <c r="K173" s="69">
        <v>12481.95</v>
      </c>
      <c r="L173" s="68">
        <v>12</v>
      </c>
      <c r="M173" s="67">
        <v>228</v>
      </c>
      <c r="N173" s="68">
        <v>402.069999999999</v>
      </c>
    </row>
    <row r="174" hidden="1" spans="1:14">
      <c r="A174" s="63" t="s">
        <v>189</v>
      </c>
      <c r="B174" s="63" t="s">
        <v>82</v>
      </c>
      <c r="C174" s="63" t="s">
        <v>83</v>
      </c>
      <c r="D174" s="63" t="s">
        <v>7</v>
      </c>
      <c r="E174" s="63" t="s">
        <v>163</v>
      </c>
      <c r="F174" s="66" t="s">
        <v>159</v>
      </c>
      <c r="G174" s="67">
        <v>55</v>
      </c>
      <c r="H174" s="67">
        <v>266</v>
      </c>
      <c r="I174" s="68">
        <v>259</v>
      </c>
      <c r="J174" s="68">
        <v>4.70909090909091</v>
      </c>
      <c r="K174" s="69">
        <v>31943.6</v>
      </c>
      <c r="L174" s="68">
        <v>22</v>
      </c>
      <c r="M174" s="67">
        <v>598</v>
      </c>
      <c r="N174" s="68">
        <v>1543.98000000003</v>
      </c>
    </row>
    <row r="175" hidden="1" spans="1:14">
      <c r="A175" s="63" t="s">
        <v>189</v>
      </c>
      <c r="B175" s="63" t="s">
        <v>82</v>
      </c>
      <c r="C175" s="63" t="s">
        <v>83</v>
      </c>
      <c r="D175" s="63" t="s">
        <v>8</v>
      </c>
      <c r="E175" s="63" t="s">
        <v>164</v>
      </c>
      <c r="F175" s="66" t="s">
        <v>159</v>
      </c>
      <c r="G175" s="67">
        <v>56</v>
      </c>
      <c r="H175" s="67">
        <v>109</v>
      </c>
      <c r="I175" s="68">
        <v>107</v>
      </c>
      <c r="J175" s="68">
        <v>1.91071428571429</v>
      </c>
      <c r="K175" s="69">
        <v>14275.6</v>
      </c>
      <c r="L175" s="68">
        <v>0</v>
      </c>
      <c r="M175" s="67">
        <v>308</v>
      </c>
      <c r="N175" s="68">
        <v>1136.59</v>
      </c>
    </row>
    <row r="176" hidden="1" spans="1:14">
      <c r="A176" s="63" t="s">
        <v>189</v>
      </c>
      <c r="B176" s="63" t="s">
        <v>82</v>
      </c>
      <c r="C176" s="63" t="s">
        <v>83</v>
      </c>
      <c r="D176" s="63" t="s">
        <v>6</v>
      </c>
      <c r="E176" s="63" t="s">
        <v>165</v>
      </c>
      <c r="F176" s="66" t="s">
        <v>159</v>
      </c>
      <c r="G176" s="67">
        <v>70</v>
      </c>
      <c r="H176" s="67">
        <v>243</v>
      </c>
      <c r="I176" s="68">
        <v>238</v>
      </c>
      <c r="J176" s="68">
        <v>3.4</v>
      </c>
      <c r="K176" s="69">
        <v>28299.37</v>
      </c>
      <c r="L176" s="68">
        <v>2</v>
      </c>
      <c r="M176" s="67">
        <v>645</v>
      </c>
      <c r="N176" s="68">
        <v>1736.95000000001</v>
      </c>
    </row>
    <row r="177" spans="1:14">
      <c r="A177" s="63" t="s">
        <v>190</v>
      </c>
      <c r="B177" s="63" t="s">
        <v>82</v>
      </c>
      <c r="C177" s="63" t="s">
        <v>83</v>
      </c>
      <c r="D177" s="63" t="s">
        <v>3</v>
      </c>
      <c r="E177" s="63" t="s">
        <v>158</v>
      </c>
      <c r="F177" s="66" t="s">
        <v>159</v>
      </c>
      <c r="G177" s="67">
        <v>53</v>
      </c>
      <c r="H177" s="67">
        <v>244</v>
      </c>
      <c r="I177" s="68">
        <v>232</v>
      </c>
      <c r="J177" s="68">
        <v>4.37735849056604</v>
      </c>
      <c r="K177" s="69">
        <v>32713.55</v>
      </c>
      <c r="L177" s="68">
        <v>1</v>
      </c>
      <c r="M177" s="67">
        <v>695</v>
      </c>
      <c r="N177" s="68">
        <v>1699.33</v>
      </c>
    </row>
    <row r="178" hidden="1" spans="1:14">
      <c r="A178" s="63" t="s">
        <v>190</v>
      </c>
      <c r="B178" s="63" t="s">
        <v>82</v>
      </c>
      <c r="C178" s="63" t="s">
        <v>83</v>
      </c>
      <c r="D178" s="63" t="s">
        <v>9</v>
      </c>
      <c r="E178" s="63" t="s">
        <v>160</v>
      </c>
      <c r="F178" s="66" t="s">
        <v>159</v>
      </c>
      <c r="G178" s="67">
        <v>57</v>
      </c>
      <c r="H178" s="67">
        <v>183</v>
      </c>
      <c r="I178" s="68">
        <v>178</v>
      </c>
      <c r="J178" s="68">
        <v>3.12280701754386</v>
      </c>
      <c r="K178" s="69">
        <v>30585.08</v>
      </c>
      <c r="L178" s="68">
        <v>0</v>
      </c>
      <c r="M178" s="67">
        <v>563</v>
      </c>
      <c r="N178" s="68">
        <v>2585.7</v>
      </c>
    </row>
    <row r="179" hidden="1" spans="1:14">
      <c r="A179" s="63" t="s">
        <v>190</v>
      </c>
      <c r="B179" s="63" t="s">
        <v>82</v>
      </c>
      <c r="C179" s="63" t="s">
        <v>83</v>
      </c>
      <c r="D179" s="63" t="s">
        <v>5</v>
      </c>
      <c r="E179" s="63" t="s">
        <v>161</v>
      </c>
      <c r="F179" s="66" t="s">
        <v>159</v>
      </c>
      <c r="G179" s="67">
        <v>48</v>
      </c>
      <c r="H179" s="67">
        <v>278</v>
      </c>
      <c r="I179" s="68">
        <v>273</v>
      </c>
      <c r="J179" s="68">
        <v>5.6875</v>
      </c>
      <c r="K179" s="69">
        <v>33152.89</v>
      </c>
      <c r="L179" s="68">
        <v>5</v>
      </c>
      <c r="M179" s="67">
        <v>786</v>
      </c>
      <c r="N179" s="68">
        <v>2573.34</v>
      </c>
    </row>
    <row r="180" hidden="1" spans="1:14">
      <c r="A180" s="63" t="s">
        <v>190</v>
      </c>
      <c r="B180" s="63" t="s">
        <v>82</v>
      </c>
      <c r="C180" s="63" t="s">
        <v>83</v>
      </c>
      <c r="D180" s="63" t="s">
        <v>4</v>
      </c>
      <c r="E180" s="63" t="s">
        <v>162</v>
      </c>
      <c r="F180" s="66" t="s">
        <v>159</v>
      </c>
      <c r="G180" s="67">
        <v>36</v>
      </c>
      <c r="H180" s="67">
        <v>116</v>
      </c>
      <c r="I180" s="68">
        <v>108</v>
      </c>
      <c r="J180" s="68">
        <v>3</v>
      </c>
      <c r="K180" s="69">
        <v>12901.9</v>
      </c>
      <c r="L180" s="68">
        <v>16</v>
      </c>
      <c r="M180" s="67">
        <v>260</v>
      </c>
      <c r="N180" s="68">
        <v>1320.91</v>
      </c>
    </row>
    <row r="181" hidden="1" spans="1:14">
      <c r="A181" s="63" t="s">
        <v>190</v>
      </c>
      <c r="B181" s="63" t="s">
        <v>82</v>
      </c>
      <c r="C181" s="63" t="s">
        <v>83</v>
      </c>
      <c r="D181" s="63" t="s">
        <v>7</v>
      </c>
      <c r="E181" s="63" t="s">
        <v>163</v>
      </c>
      <c r="F181" s="66" t="s">
        <v>159</v>
      </c>
      <c r="G181" s="67">
        <v>55</v>
      </c>
      <c r="H181" s="67">
        <v>305</v>
      </c>
      <c r="I181" s="68">
        <v>294</v>
      </c>
      <c r="J181" s="68">
        <v>5.34545454545455</v>
      </c>
      <c r="K181" s="69">
        <v>36192.71</v>
      </c>
      <c r="L181" s="68">
        <v>11</v>
      </c>
      <c r="M181" s="67">
        <v>696</v>
      </c>
      <c r="N181" s="68">
        <v>2119.24</v>
      </c>
    </row>
    <row r="182" hidden="1" spans="1:14">
      <c r="A182" s="63" t="s">
        <v>190</v>
      </c>
      <c r="B182" s="63" t="s">
        <v>82</v>
      </c>
      <c r="C182" s="63" t="s">
        <v>83</v>
      </c>
      <c r="D182" s="63" t="s">
        <v>8</v>
      </c>
      <c r="E182" s="63" t="s">
        <v>164</v>
      </c>
      <c r="F182" s="66" t="s">
        <v>159</v>
      </c>
      <c r="G182" s="67">
        <v>56</v>
      </c>
      <c r="H182" s="67">
        <v>123</v>
      </c>
      <c r="I182" s="68">
        <v>115</v>
      </c>
      <c r="J182" s="68">
        <v>2.05357142857143</v>
      </c>
      <c r="K182" s="69">
        <v>16429.3</v>
      </c>
      <c r="L182" s="68">
        <v>0</v>
      </c>
      <c r="M182" s="67">
        <v>332</v>
      </c>
      <c r="N182" s="68">
        <v>1074.75</v>
      </c>
    </row>
    <row r="183" hidden="1" spans="1:14">
      <c r="A183" s="63" t="s">
        <v>190</v>
      </c>
      <c r="B183" s="63" t="s">
        <v>82</v>
      </c>
      <c r="C183" s="63" t="s">
        <v>83</v>
      </c>
      <c r="D183" s="63" t="s">
        <v>6</v>
      </c>
      <c r="E183" s="63" t="s">
        <v>165</v>
      </c>
      <c r="F183" s="66" t="s">
        <v>159</v>
      </c>
      <c r="G183" s="67">
        <v>70</v>
      </c>
      <c r="H183" s="67">
        <v>273</v>
      </c>
      <c r="I183" s="68">
        <v>269</v>
      </c>
      <c r="J183" s="68">
        <v>3.84285714285714</v>
      </c>
      <c r="K183" s="69">
        <v>29930.93</v>
      </c>
      <c r="L183" s="68">
        <v>6</v>
      </c>
      <c r="M183" s="67">
        <v>684</v>
      </c>
      <c r="N183" s="68">
        <v>1830.15</v>
      </c>
    </row>
    <row r="184" spans="1:14">
      <c r="A184" s="63" t="s">
        <v>191</v>
      </c>
      <c r="B184" s="63" t="s">
        <v>82</v>
      </c>
      <c r="C184" s="63" t="s">
        <v>83</v>
      </c>
      <c r="D184" s="63" t="s">
        <v>3</v>
      </c>
      <c r="E184" s="63" t="s">
        <v>158</v>
      </c>
      <c r="F184" s="66" t="s">
        <v>148</v>
      </c>
      <c r="G184" s="67">
        <v>53</v>
      </c>
      <c r="H184" s="67">
        <v>242</v>
      </c>
      <c r="I184" s="68">
        <v>232</v>
      </c>
      <c r="J184" s="68">
        <v>4.37735849056604</v>
      </c>
      <c r="K184" s="69">
        <v>36456.7</v>
      </c>
      <c r="L184" s="68">
        <v>0</v>
      </c>
      <c r="M184" s="67">
        <v>691</v>
      </c>
      <c r="N184" s="68">
        <v>2519.03999999999</v>
      </c>
    </row>
    <row r="185" hidden="1" spans="1:14">
      <c r="A185" s="63" t="s">
        <v>191</v>
      </c>
      <c r="B185" s="63" t="s">
        <v>82</v>
      </c>
      <c r="C185" s="63" t="s">
        <v>83</v>
      </c>
      <c r="D185" s="63" t="s">
        <v>9</v>
      </c>
      <c r="E185" s="63" t="s">
        <v>160</v>
      </c>
      <c r="F185" s="66" t="s">
        <v>148</v>
      </c>
      <c r="G185" s="67">
        <v>57</v>
      </c>
      <c r="H185" s="67">
        <v>215</v>
      </c>
      <c r="I185" s="68">
        <v>211</v>
      </c>
      <c r="J185" s="68">
        <v>3.70175438596491</v>
      </c>
      <c r="K185" s="69">
        <v>35672.78</v>
      </c>
      <c r="L185" s="68">
        <v>0</v>
      </c>
      <c r="M185" s="67">
        <v>632</v>
      </c>
      <c r="N185" s="68">
        <v>2108.34999999999</v>
      </c>
    </row>
    <row r="186" hidden="1" spans="1:14">
      <c r="A186" s="63" t="s">
        <v>191</v>
      </c>
      <c r="B186" s="63" t="s">
        <v>82</v>
      </c>
      <c r="C186" s="63" t="s">
        <v>83</v>
      </c>
      <c r="D186" s="63" t="s">
        <v>5</v>
      </c>
      <c r="E186" s="63" t="s">
        <v>161</v>
      </c>
      <c r="F186" s="66" t="s">
        <v>148</v>
      </c>
      <c r="G186" s="67">
        <v>48</v>
      </c>
      <c r="H186" s="67">
        <v>388</v>
      </c>
      <c r="I186" s="68">
        <v>382</v>
      </c>
      <c r="J186" s="68">
        <v>7.95833333333333</v>
      </c>
      <c r="K186" s="69">
        <v>45277.67</v>
      </c>
      <c r="L186" s="68">
        <v>8</v>
      </c>
      <c r="M186" s="67">
        <v>1218</v>
      </c>
      <c r="N186" s="68">
        <v>3356.11000000003</v>
      </c>
    </row>
    <row r="187" hidden="1" spans="1:14">
      <c r="A187" s="63" t="s">
        <v>191</v>
      </c>
      <c r="B187" s="63" t="s">
        <v>82</v>
      </c>
      <c r="C187" s="63" t="s">
        <v>83</v>
      </c>
      <c r="D187" s="63" t="s">
        <v>4</v>
      </c>
      <c r="E187" s="63" t="s">
        <v>162</v>
      </c>
      <c r="F187" s="66" t="s">
        <v>148</v>
      </c>
      <c r="G187" s="67">
        <v>36</v>
      </c>
      <c r="H187" s="67">
        <v>161</v>
      </c>
      <c r="I187" s="68">
        <v>156</v>
      </c>
      <c r="J187" s="68">
        <v>4.33333333333333</v>
      </c>
      <c r="K187" s="69">
        <v>22347.55</v>
      </c>
      <c r="L187" s="68">
        <v>8</v>
      </c>
      <c r="M187" s="67">
        <v>416</v>
      </c>
      <c r="N187" s="68">
        <v>974.660000000008</v>
      </c>
    </row>
    <row r="188" hidden="1" spans="1:14">
      <c r="A188" s="63" t="s">
        <v>191</v>
      </c>
      <c r="B188" s="63" t="s">
        <v>82</v>
      </c>
      <c r="C188" s="63" t="s">
        <v>83</v>
      </c>
      <c r="D188" s="63" t="s">
        <v>7</v>
      </c>
      <c r="E188" s="63" t="s">
        <v>163</v>
      </c>
      <c r="F188" s="66" t="s">
        <v>148</v>
      </c>
      <c r="G188" s="67">
        <v>55</v>
      </c>
      <c r="H188" s="67">
        <v>324</v>
      </c>
      <c r="I188" s="68">
        <v>318</v>
      </c>
      <c r="J188" s="68">
        <v>5.78181818181818</v>
      </c>
      <c r="K188" s="69">
        <v>38198.28</v>
      </c>
      <c r="L188" s="68">
        <v>18</v>
      </c>
      <c r="M188" s="67">
        <v>765</v>
      </c>
      <c r="N188" s="68">
        <v>2567.63</v>
      </c>
    </row>
    <row r="189" hidden="1" spans="1:14">
      <c r="A189" s="63" t="s">
        <v>191</v>
      </c>
      <c r="B189" s="63" t="s">
        <v>82</v>
      </c>
      <c r="C189" s="63" t="s">
        <v>83</v>
      </c>
      <c r="D189" s="63" t="s">
        <v>8</v>
      </c>
      <c r="E189" s="63" t="s">
        <v>164</v>
      </c>
      <c r="F189" s="66" t="s">
        <v>148</v>
      </c>
      <c r="G189" s="67">
        <v>56</v>
      </c>
      <c r="H189" s="67">
        <v>172</v>
      </c>
      <c r="I189" s="68">
        <v>167</v>
      </c>
      <c r="J189" s="68">
        <v>2.98214285714286</v>
      </c>
      <c r="K189" s="69">
        <v>22699.2</v>
      </c>
      <c r="L189" s="68">
        <v>0</v>
      </c>
      <c r="M189" s="67">
        <v>465</v>
      </c>
      <c r="N189" s="68">
        <v>1526.2</v>
      </c>
    </row>
    <row r="190" hidden="1" spans="1:14">
      <c r="A190" s="63" t="s">
        <v>191</v>
      </c>
      <c r="B190" s="63" t="s">
        <v>82</v>
      </c>
      <c r="C190" s="63" t="s">
        <v>83</v>
      </c>
      <c r="D190" s="63" t="s">
        <v>6</v>
      </c>
      <c r="E190" s="63" t="s">
        <v>165</v>
      </c>
      <c r="F190" s="66" t="s">
        <v>148</v>
      </c>
      <c r="G190" s="67">
        <v>70</v>
      </c>
      <c r="H190" s="67">
        <v>486</v>
      </c>
      <c r="I190" s="68">
        <v>482</v>
      </c>
      <c r="J190" s="68">
        <v>6.88571428571429</v>
      </c>
      <c r="K190" s="69">
        <v>55546.02</v>
      </c>
      <c r="L190" s="68">
        <v>3</v>
      </c>
      <c r="M190" s="67">
        <v>1312</v>
      </c>
      <c r="N190" s="68">
        <v>3289.83999999999</v>
      </c>
    </row>
    <row r="191" spans="1:14">
      <c r="A191" s="63" t="s">
        <v>192</v>
      </c>
      <c r="B191" s="63" t="s">
        <v>82</v>
      </c>
      <c r="C191" s="63" t="s">
        <v>83</v>
      </c>
      <c r="D191" s="63" t="s">
        <v>3</v>
      </c>
      <c r="E191" s="63" t="s">
        <v>158</v>
      </c>
      <c r="F191" s="66" t="s">
        <v>148</v>
      </c>
      <c r="G191" s="67">
        <v>53</v>
      </c>
      <c r="H191" s="67">
        <v>268</v>
      </c>
      <c r="I191" s="68">
        <v>259</v>
      </c>
      <c r="J191" s="68">
        <v>4.88679245283019</v>
      </c>
      <c r="K191" s="69">
        <v>43519.55</v>
      </c>
      <c r="L191" s="68">
        <v>5</v>
      </c>
      <c r="M191" s="67">
        <v>755</v>
      </c>
      <c r="N191" s="68">
        <v>2182.42000000001</v>
      </c>
    </row>
    <row r="192" hidden="1" spans="1:14">
      <c r="A192" s="63" t="s">
        <v>192</v>
      </c>
      <c r="B192" s="63" t="s">
        <v>82</v>
      </c>
      <c r="C192" s="63" t="s">
        <v>83</v>
      </c>
      <c r="D192" s="63" t="s">
        <v>9</v>
      </c>
      <c r="E192" s="63" t="s">
        <v>160</v>
      </c>
      <c r="F192" s="66" t="s">
        <v>148</v>
      </c>
      <c r="G192" s="67">
        <v>57</v>
      </c>
      <c r="H192" s="67">
        <v>238</v>
      </c>
      <c r="I192" s="68">
        <v>233</v>
      </c>
      <c r="J192" s="68">
        <v>4.08771929824561</v>
      </c>
      <c r="K192" s="69">
        <v>41265.82</v>
      </c>
      <c r="L192" s="68">
        <v>0</v>
      </c>
      <c r="M192" s="67">
        <v>738</v>
      </c>
      <c r="N192" s="68">
        <v>1798.24999999999</v>
      </c>
    </row>
    <row r="193" hidden="1" spans="1:14">
      <c r="A193" s="63" t="s">
        <v>192</v>
      </c>
      <c r="B193" s="63" t="s">
        <v>82</v>
      </c>
      <c r="C193" s="63" t="s">
        <v>83</v>
      </c>
      <c r="D193" s="63" t="s">
        <v>5</v>
      </c>
      <c r="E193" s="63" t="s">
        <v>161</v>
      </c>
      <c r="F193" s="66" t="s">
        <v>148</v>
      </c>
      <c r="G193" s="67">
        <v>48</v>
      </c>
      <c r="H193" s="67">
        <v>312</v>
      </c>
      <c r="I193" s="68">
        <v>305</v>
      </c>
      <c r="J193" s="68">
        <v>6.35416666666667</v>
      </c>
      <c r="K193" s="69">
        <v>49334.39</v>
      </c>
      <c r="L193" s="68">
        <v>4</v>
      </c>
      <c r="M193" s="67">
        <v>972</v>
      </c>
      <c r="N193" s="68">
        <v>2619.60999999999</v>
      </c>
    </row>
    <row r="194" hidden="1" spans="1:14">
      <c r="A194" s="63" t="s">
        <v>192</v>
      </c>
      <c r="B194" s="63" t="s">
        <v>82</v>
      </c>
      <c r="C194" s="63" t="s">
        <v>83</v>
      </c>
      <c r="D194" s="63" t="s">
        <v>4</v>
      </c>
      <c r="E194" s="63" t="s">
        <v>162</v>
      </c>
      <c r="F194" s="66" t="s">
        <v>148</v>
      </c>
      <c r="G194" s="67">
        <v>36</v>
      </c>
      <c r="H194" s="67">
        <v>139</v>
      </c>
      <c r="I194" s="68">
        <v>135</v>
      </c>
      <c r="J194" s="68">
        <v>3.75</v>
      </c>
      <c r="K194" s="69">
        <v>21779.5</v>
      </c>
      <c r="L194" s="68">
        <v>12</v>
      </c>
      <c r="M194" s="67">
        <v>345</v>
      </c>
      <c r="N194" s="68">
        <v>723.290000000013</v>
      </c>
    </row>
    <row r="195" hidden="1" spans="1:14">
      <c r="A195" s="63" t="s">
        <v>192</v>
      </c>
      <c r="B195" s="63" t="s">
        <v>82</v>
      </c>
      <c r="C195" s="63" t="s">
        <v>83</v>
      </c>
      <c r="D195" s="63" t="s">
        <v>7</v>
      </c>
      <c r="E195" s="63" t="s">
        <v>163</v>
      </c>
      <c r="F195" s="66" t="s">
        <v>148</v>
      </c>
      <c r="G195" s="67">
        <v>55</v>
      </c>
      <c r="H195" s="67">
        <v>313</v>
      </c>
      <c r="I195" s="68">
        <v>306</v>
      </c>
      <c r="J195" s="68">
        <v>5.56363636363636</v>
      </c>
      <c r="K195" s="69">
        <v>44063.35</v>
      </c>
      <c r="L195" s="68">
        <v>17</v>
      </c>
      <c r="M195" s="67">
        <v>755</v>
      </c>
      <c r="N195" s="68">
        <v>1541.46999999996</v>
      </c>
    </row>
    <row r="196" hidden="1" spans="1:14">
      <c r="A196" s="63" t="s">
        <v>192</v>
      </c>
      <c r="B196" s="63" t="s">
        <v>82</v>
      </c>
      <c r="C196" s="63" t="s">
        <v>83</v>
      </c>
      <c r="D196" s="63" t="s">
        <v>8</v>
      </c>
      <c r="E196" s="63" t="s">
        <v>164</v>
      </c>
      <c r="F196" s="66" t="s">
        <v>148</v>
      </c>
      <c r="G196" s="67">
        <v>56</v>
      </c>
      <c r="H196" s="67">
        <v>199</v>
      </c>
      <c r="I196" s="68">
        <v>196</v>
      </c>
      <c r="J196" s="68">
        <v>3.5</v>
      </c>
      <c r="K196" s="69">
        <v>29913</v>
      </c>
      <c r="L196" s="68">
        <v>0</v>
      </c>
      <c r="M196" s="67">
        <v>591</v>
      </c>
      <c r="N196" s="68">
        <v>1769.5</v>
      </c>
    </row>
    <row r="197" hidden="1" spans="1:14">
      <c r="A197" s="63" t="s">
        <v>192</v>
      </c>
      <c r="B197" s="63" t="s">
        <v>82</v>
      </c>
      <c r="C197" s="63" t="s">
        <v>83</v>
      </c>
      <c r="D197" s="63" t="s">
        <v>6</v>
      </c>
      <c r="E197" s="63" t="s">
        <v>165</v>
      </c>
      <c r="F197" s="66" t="s">
        <v>148</v>
      </c>
      <c r="G197" s="67">
        <v>70</v>
      </c>
      <c r="H197" s="67">
        <v>326</v>
      </c>
      <c r="I197" s="68">
        <v>322</v>
      </c>
      <c r="J197" s="68">
        <v>4.6</v>
      </c>
      <c r="K197" s="69">
        <v>52428.85</v>
      </c>
      <c r="L197" s="68">
        <v>6</v>
      </c>
      <c r="M197" s="67">
        <v>929</v>
      </c>
      <c r="N197" s="68">
        <v>2241.71999999996</v>
      </c>
    </row>
    <row r="198" spans="1:14">
      <c r="A198" s="63" t="s">
        <v>193</v>
      </c>
      <c r="B198" s="63" t="s">
        <v>82</v>
      </c>
      <c r="C198" s="63" t="s">
        <v>83</v>
      </c>
      <c r="D198" s="63" t="s">
        <v>3</v>
      </c>
      <c r="E198" s="63" t="s">
        <v>158</v>
      </c>
      <c r="F198" s="66" t="s">
        <v>148</v>
      </c>
      <c r="G198" s="67">
        <v>53</v>
      </c>
      <c r="H198" s="67">
        <v>272</v>
      </c>
      <c r="I198" s="68">
        <v>268</v>
      </c>
      <c r="J198" s="68">
        <v>5.05660377358491</v>
      </c>
      <c r="K198" s="69">
        <v>45328.6</v>
      </c>
      <c r="L198" s="68">
        <v>1</v>
      </c>
      <c r="M198" s="67">
        <v>812</v>
      </c>
      <c r="N198" s="68">
        <v>2262.27000000003</v>
      </c>
    </row>
    <row r="199" hidden="1" spans="1:14">
      <c r="A199" s="63" t="s">
        <v>193</v>
      </c>
      <c r="B199" s="63" t="s">
        <v>82</v>
      </c>
      <c r="C199" s="63" t="s">
        <v>83</v>
      </c>
      <c r="D199" s="63" t="s">
        <v>9</v>
      </c>
      <c r="E199" s="63" t="s">
        <v>160</v>
      </c>
      <c r="F199" s="66" t="s">
        <v>148</v>
      </c>
      <c r="G199" s="67">
        <v>57</v>
      </c>
      <c r="H199" s="67">
        <v>234</v>
      </c>
      <c r="I199" s="68">
        <v>233</v>
      </c>
      <c r="J199" s="68">
        <v>4.08771929824561</v>
      </c>
      <c r="K199" s="69">
        <v>40942.69</v>
      </c>
      <c r="L199" s="68">
        <v>0</v>
      </c>
      <c r="M199" s="67">
        <v>749</v>
      </c>
      <c r="N199" s="68">
        <v>1947.82999999999</v>
      </c>
    </row>
    <row r="200" hidden="1" spans="1:14">
      <c r="A200" s="63" t="s">
        <v>193</v>
      </c>
      <c r="B200" s="63" t="s">
        <v>82</v>
      </c>
      <c r="C200" s="63" t="s">
        <v>83</v>
      </c>
      <c r="D200" s="63" t="s">
        <v>5</v>
      </c>
      <c r="E200" s="63" t="s">
        <v>161</v>
      </c>
      <c r="F200" s="66" t="s">
        <v>148</v>
      </c>
      <c r="G200" s="67">
        <v>48</v>
      </c>
      <c r="H200" s="67">
        <v>304</v>
      </c>
      <c r="I200" s="68">
        <v>299</v>
      </c>
      <c r="J200" s="68">
        <v>6.22916666666667</v>
      </c>
      <c r="K200" s="69">
        <v>46899.45</v>
      </c>
      <c r="L200" s="68">
        <v>4</v>
      </c>
      <c r="M200" s="67">
        <v>964</v>
      </c>
      <c r="N200" s="68">
        <v>2146.07000000003</v>
      </c>
    </row>
    <row r="201" hidden="1" spans="1:14">
      <c r="A201" s="63" t="s">
        <v>193</v>
      </c>
      <c r="B201" s="63" t="s">
        <v>82</v>
      </c>
      <c r="C201" s="63" t="s">
        <v>83</v>
      </c>
      <c r="D201" s="63" t="s">
        <v>4</v>
      </c>
      <c r="E201" s="63" t="s">
        <v>162</v>
      </c>
      <c r="F201" s="66" t="s">
        <v>148</v>
      </c>
      <c r="G201" s="67">
        <v>36</v>
      </c>
      <c r="H201" s="67">
        <v>135</v>
      </c>
      <c r="I201" s="68">
        <v>129</v>
      </c>
      <c r="J201" s="68">
        <v>3.58333333333333</v>
      </c>
      <c r="K201" s="69">
        <v>21096.55</v>
      </c>
      <c r="L201" s="68">
        <v>9</v>
      </c>
      <c r="M201" s="67">
        <v>355</v>
      </c>
      <c r="N201" s="68">
        <v>1143.83000000001</v>
      </c>
    </row>
    <row r="202" hidden="1" spans="1:14">
      <c r="A202" s="63" t="s">
        <v>193</v>
      </c>
      <c r="B202" s="63" t="s">
        <v>82</v>
      </c>
      <c r="C202" s="63" t="s">
        <v>83</v>
      </c>
      <c r="D202" s="63" t="s">
        <v>7</v>
      </c>
      <c r="E202" s="63" t="s">
        <v>163</v>
      </c>
      <c r="F202" s="66" t="s">
        <v>148</v>
      </c>
      <c r="G202" s="67">
        <v>55</v>
      </c>
      <c r="H202" s="67">
        <v>313</v>
      </c>
      <c r="I202" s="68">
        <v>306</v>
      </c>
      <c r="J202" s="68">
        <v>5.56363636363636</v>
      </c>
      <c r="K202" s="69">
        <v>39069.55</v>
      </c>
      <c r="L202" s="68">
        <v>32</v>
      </c>
      <c r="M202" s="67">
        <v>701</v>
      </c>
      <c r="N202" s="68">
        <v>1258.76999999999</v>
      </c>
    </row>
    <row r="203" hidden="1" spans="1:14">
      <c r="A203" s="63" t="s">
        <v>193</v>
      </c>
      <c r="B203" s="63" t="s">
        <v>82</v>
      </c>
      <c r="C203" s="63" t="s">
        <v>83</v>
      </c>
      <c r="D203" s="63" t="s">
        <v>8</v>
      </c>
      <c r="E203" s="63" t="s">
        <v>164</v>
      </c>
      <c r="F203" s="66" t="s">
        <v>148</v>
      </c>
      <c r="G203" s="67">
        <v>56</v>
      </c>
      <c r="H203" s="67">
        <v>196</v>
      </c>
      <c r="I203" s="68">
        <v>188</v>
      </c>
      <c r="J203" s="68">
        <v>3.35714285714286</v>
      </c>
      <c r="K203" s="69">
        <v>27412.3</v>
      </c>
      <c r="L203" s="68">
        <v>0</v>
      </c>
      <c r="M203" s="67">
        <v>570</v>
      </c>
      <c r="N203" s="68">
        <v>1838.60000000002</v>
      </c>
    </row>
    <row r="204" hidden="1" spans="1:14">
      <c r="A204" s="63" t="s">
        <v>193</v>
      </c>
      <c r="B204" s="63" t="s">
        <v>82</v>
      </c>
      <c r="C204" s="63" t="s">
        <v>83</v>
      </c>
      <c r="D204" s="63" t="s">
        <v>6</v>
      </c>
      <c r="E204" s="63" t="s">
        <v>165</v>
      </c>
      <c r="F204" s="66" t="s">
        <v>148</v>
      </c>
      <c r="G204" s="67">
        <v>70</v>
      </c>
      <c r="H204" s="67">
        <v>351</v>
      </c>
      <c r="I204" s="68">
        <v>348</v>
      </c>
      <c r="J204" s="68">
        <v>4.97142857142857</v>
      </c>
      <c r="K204" s="69">
        <v>51941.6</v>
      </c>
      <c r="L204" s="68">
        <v>4</v>
      </c>
      <c r="M204" s="67">
        <v>1039</v>
      </c>
      <c r="N204" s="68">
        <v>2154.84000000002</v>
      </c>
    </row>
    <row r="205" spans="1:14">
      <c r="A205" s="63" t="s">
        <v>194</v>
      </c>
      <c r="B205" s="63" t="s">
        <v>82</v>
      </c>
      <c r="C205" s="63" t="s">
        <v>83</v>
      </c>
      <c r="D205" s="63" t="s">
        <v>3</v>
      </c>
      <c r="E205" s="63" t="s">
        <v>158</v>
      </c>
      <c r="F205" s="66" t="s">
        <v>159</v>
      </c>
      <c r="G205" s="67">
        <v>53</v>
      </c>
      <c r="H205" s="67">
        <v>225</v>
      </c>
      <c r="I205" s="68">
        <v>214</v>
      </c>
      <c r="J205" s="68">
        <v>4.0377358490566</v>
      </c>
      <c r="K205" s="69">
        <v>29077.85</v>
      </c>
      <c r="L205" s="68">
        <v>3</v>
      </c>
      <c r="M205" s="67">
        <v>604</v>
      </c>
      <c r="N205" s="68">
        <v>1660.89000000001</v>
      </c>
    </row>
    <row r="206" hidden="1" spans="1:14">
      <c r="A206" s="63" t="s">
        <v>194</v>
      </c>
      <c r="B206" s="63" t="s">
        <v>82</v>
      </c>
      <c r="C206" s="63" t="s">
        <v>83</v>
      </c>
      <c r="D206" s="63" t="s">
        <v>9</v>
      </c>
      <c r="E206" s="63" t="s">
        <v>160</v>
      </c>
      <c r="F206" s="66" t="s">
        <v>159</v>
      </c>
      <c r="G206" s="67">
        <v>57</v>
      </c>
      <c r="H206" s="67">
        <v>174</v>
      </c>
      <c r="I206" s="68">
        <v>173</v>
      </c>
      <c r="J206" s="68">
        <v>3.03508771929825</v>
      </c>
      <c r="K206" s="69">
        <v>25071.06</v>
      </c>
      <c r="L206" s="68">
        <v>0</v>
      </c>
      <c r="M206" s="67">
        <v>465</v>
      </c>
      <c r="N206" s="68">
        <v>2335.43999999999</v>
      </c>
    </row>
    <row r="207" hidden="1" spans="1:14">
      <c r="A207" s="63" t="s">
        <v>194</v>
      </c>
      <c r="B207" s="63" t="s">
        <v>82</v>
      </c>
      <c r="C207" s="63" t="s">
        <v>83</v>
      </c>
      <c r="D207" s="63" t="s">
        <v>5</v>
      </c>
      <c r="E207" s="63" t="s">
        <v>161</v>
      </c>
      <c r="F207" s="66" t="s">
        <v>159</v>
      </c>
      <c r="G207" s="67">
        <v>48</v>
      </c>
      <c r="H207" s="67">
        <v>273</v>
      </c>
      <c r="I207" s="68">
        <v>266</v>
      </c>
      <c r="J207" s="68">
        <v>5.54166666666667</v>
      </c>
      <c r="K207" s="69">
        <v>29282.81</v>
      </c>
      <c r="L207" s="68">
        <v>4</v>
      </c>
      <c r="M207" s="67">
        <v>748</v>
      </c>
      <c r="N207" s="68">
        <v>1817.60999999999</v>
      </c>
    </row>
    <row r="208" hidden="1" spans="1:14">
      <c r="A208" s="63" t="s">
        <v>194</v>
      </c>
      <c r="B208" s="63" t="s">
        <v>82</v>
      </c>
      <c r="C208" s="63" t="s">
        <v>83</v>
      </c>
      <c r="D208" s="63" t="s">
        <v>4</v>
      </c>
      <c r="E208" s="63" t="s">
        <v>162</v>
      </c>
      <c r="F208" s="66" t="s">
        <v>159</v>
      </c>
      <c r="G208" s="67">
        <v>36</v>
      </c>
      <c r="H208" s="67">
        <v>93</v>
      </c>
      <c r="I208" s="68">
        <v>87</v>
      </c>
      <c r="J208" s="68">
        <v>2.41666666666667</v>
      </c>
      <c r="K208" s="69">
        <v>11159.8</v>
      </c>
      <c r="L208" s="68">
        <v>9</v>
      </c>
      <c r="M208" s="67">
        <v>226</v>
      </c>
      <c r="N208" s="68">
        <v>988.069999999998</v>
      </c>
    </row>
    <row r="209" hidden="1" spans="1:14">
      <c r="A209" s="63" t="s">
        <v>194</v>
      </c>
      <c r="B209" s="63" t="s">
        <v>82</v>
      </c>
      <c r="C209" s="63" t="s">
        <v>83</v>
      </c>
      <c r="D209" s="63" t="s">
        <v>7</v>
      </c>
      <c r="E209" s="63" t="s">
        <v>163</v>
      </c>
      <c r="F209" s="66" t="s">
        <v>159</v>
      </c>
      <c r="G209" s="67">
        <v>55</v>
      </c>
      <c r="H209" s="67">
        <v>296</v>
      </c>
      <c r="I209" s="68">
        <v>290</v>
      </c>
      <c r="J209" s="68">
        <v>5.27272727272727</v>
      </c>
      <c r="K209" s="69">
        <v>32847.19</v>
      </c>
      <c r="L209" s="68">
        <v>41</v>
      </c>
      <c r="M209" s="67">
        <v>617</v>
      </c>
      <c r="N209" s="68">
        <v>1765.38000000001</v>
      </c>
    </row>
    <row r="210" hidden="1" spans="1:14">
      <c r="A210" s="63" t="s">
        <v>194</v>
      </c>
      <c r="B210" s="63" t="s">
        <v>82</v>
      </c>
      <c r="C210" s="63" t="s">
        <v>83</v>
      </c>
      <c r="D210" s="63" t="s">
        <v>8</v>
      </c>
      <c r="E210" s="63" t="s">
        <v>164</v>
      </c>
      <c r="F210" s="66" t="s">
        <v>159</v>
      </c>
      <c r="G210" s="67">
        <v>56</v>
      </c>
      <c r="H210" s="67">
        <v>144</v>
      </c>
      <c r="I210" s="68">
        <v>137</v>
      </c>
      <c r="J210" s="68">
        <v>2.44642857142857</v>
      </c>
      <c r="K210" s="69">
        <v>17637.45</v>
      </c>
      <c r="L210" s="68">
        <v>0</v>
      </c>
      <c r="M210" s="67">
        <v>399</v>
      </c>
      <c r="N210" s="68">
        <v>1641.32</v>
      </c>
    </row>
    <row r="211" hidden="1" spans="1:14">
      <c r="A211" s="63" t="s">
        <v>194</v>
      </c>
      <c r="B211" s="63" t="s">
        <v>82</v>
      </c>
      <c r="C211" s="63" t="s">
        <v>83</v>
      </c>
      <c r="D211" s="63" t="s">
        <v>6</v>
      </c>
      <c r="E211" s="63" t="s">
        <v>165</v>
      </c>
      <c r="F211" s="66" t="s">
        <v>159</v>
      </c>
      <c r="G211" s="67">
        <v>70</v>
      </c>
      <c r="H211" s="67">
        <v>285</v>
      </c>
      <c r="I211" s="68">
        <v>280</v>
      </c>
      <c r="J211" s="68">
        <v>4</v>
      </c>
      <c r="K211" s="69">
        <v>32281.25</v>
      </c>
      <c r="L211" s="68">
        <v>4</v>
      </c>
      <c r="M211" s="67">
        <v>764</v>
      </c>
      <c r="N211" s="68">
        <v>1912.48</v>
      </c>
    </row>
    <row r="216" spans="11:11">
      <c r="K216" s="60">
        <f>SUM(K142,K149,K156,K163,K170,K177,K184,K191,K198,K205)/10000</f>
        <v>36.577565</v>
      </c>
    </row>
  </sheetData>
  <autoFilter xmlns:etc="http://www.wps.cn/officeDocument/2017/etCustomData" ref="A1:M211" etc:filterBottomFollowUsedRange="0">
    <filterColumn colId="0">
      <filters>
        <filter val="20240610"/>
        <filter val="20240601"/>
        <filter val="20240602"/>
        <filter val="20240603"/>
        <filter val="20240604"/>
        <filter val="20240605"/>
        <filter val="20240606"/>
        <filter val="20240607"/>
        <filter val="20240608"/>
        <filter val="20240609"/>
      </filters>
    </filterColumn>
    <filterColumn colId="3">
      <customFilters>
        <customFilter operator="equal" val="加拿大一店"/>
      </customFilters>
    </filterColumn>
    <extLst/>
  </autoFilter>
  <conditionalFormatting sqref="H2:I141 H212:I1048576">
    <cfRule type="cellIs" dxfId="4" priority="1" operator="equal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U76"/>
  <sheetViews>
    <sheetView topLeftCell="C1" workbookViewId="0">
      <selection activeCell="A2" sqref="A2:P71"/>
    </sheetView>
  </sheetViews>
  <sheetFormatPr defaultColWidth="9" defaultRowHeight="16.8"/>
  <cols>
    <col min="1" max="1" width="9.1640625" customWidth="1"/>
    <col min="2" max="2" width="6.6640625" customWidth="1"/>
    <col min="3" max="4" width="10.4140625" customWidth="1"/>
    <col min="5" max="5" width="11.0859375" customWidth="1"/>
    <col min="6" max="6" width="6.6640625" customWidth="1"/>
    <col min="7" max="7" width="10.4140625" customWidth="1"/>
    <col min="8" max="8" width="8.5" customWidth="1"/>
    <col min="9" max="9" width="19.5" customWidth="1"/>
    <col min="10" max="10" width="13.5859375" customWidth="1"/>
    <col min="11" max="11" width="17.5" customWidth="1"/>
    <col min="12" max="12" width="11.6640625" customWidth="1"/>
    <col min="13" max="13" width="13.5859375" customWidth="1"/>
    <col min="14" max="14" width="18.75" customWidth="1"/>
    <col min="15" max="15" width="8.5" customWidth="1"/>
    <col min="16" max="16" width="15.5859375" customWidth="1"/>
    <col min="18" max="18" width="10.4140625" customWidth="1"/>
    <col min="19" max="19" width="19.9140625" customWidth="1"/>
    <col min="20" max="20" width="16.75" customWidth="1"/>
    <col min="21" max="21" width="28.0859375" customWidth="1"/>
  </cols>
  <sheetData>
    <row r="1" spans="1:21">
      <c r="A1" s="47" t="s">
        <v>128</v>
      </c>
      <c r="B1" s="47" t="s">
        <v>61</v>
      </c>
      <c r="C1" s="47" t="s">
        <v>146</v>
      </c>
      <c r="D1" s="47" t="s">
        <v>108</v>
      </c>
      <c r="E1" s="47" t="s">
        <v>195</v>
      </c>
      <c r="F1" s="72" t="s">
        <v>148</v>
      </c>
      <c r="G1" s="51" t="s">
        <v>149</v>
      </c>
      <c r="H1" s="47" t="s">
        <v>150</v>
      </c>
      <c r="I1" s="51" t="s">
        <v>196</v>
      </c>
      <c r="J1" s="47" t="s">
        <v>151</v>
      </c>
      <c r="K1" s="47" t="s">
        <v>197</v>
      </c>
      <c r="L1" s="47" t="s">
        <v>152</v>
      </c>
      <c r="M1" s="47" t="s">
        <v>198</v>
      </c>
      <c r="N1" s="47" t="s">
        <v>154</v>
      </c>
      <c r="O1" s="47" t="s">
        <v>155</v>
      </c>
      <c r="P1" s="47" t="s">
        <v>199</v>
      </c>
      <c r="R1" t="s">
        <v>137</v>
      </c>
      <c r="S1" t="s">
        <v>138</v>
      </c>
      <c r="T1" t="s">
        <v>142</v>
      </c>
      <c r="U1" s="58" t="s">
        <v>200</v>
      </c>
    </row>
    <row r="2" spans="1:21">
      <c r="A2" s="63" t="s">
        <v>185</v>
      </c>
      <c r="B2" s="63" t="s">
        <v>82</v>
      </c>
      <c r="C2" s="63" t="s">
        <v>83</v>
      </c>
      <c r="D2" s="63" t="s">
        <v>3</v>
      </c>
      <c r="E2" s="63" t="s">
        <v>158</v>
      </c>
      <c r="F2" s="66" t="s">
        <v>148</v>
      </c>
      <c r="G2" s="67">
        <v>53</v>
      </c>
      <c r="H2" s="67">
        <v>316</v>
      </c>
      <c r="I2" s="67">
        <v>311</v>
      </c>
      <c r="J2" s="68">
        <v>303</v>
      </c>
      <c r="K2" s="73">
        <v>5.86792452830189</v>
      </c>
      <c r="L2" s="68">
        <v>5.71698113207547</v>
      </c>
      <c r="M2" s="69">
        <v>50041.3</v>
      </c>
      <c r="N2" s="68">
        <v>6</v>
      </c>
      <c r="O2" s="67">
        <v>902</v>
      </c>
      <c r="P2" s="68">
        <v>2651.49000000002</v>
      </c>
      <c r="R2" s="56" t="s">
        <v>3</v>
      </c>
      <c r="S2">
        <v>2382</v>
      </c>
      <c r="T2">
        <v>530</v>
      </c>
      <c r="U2" s="60">
        <f>S2/T2</f>
        <v>4.49433962264151</v>
      </c>
    </row>
    <row r="3" spans="1:21">
      <c r="A3" s="63" t="s">
        <v>185</v>
      </c>
      <c r="B3" s="63" t="s">
        <v>82</v>
      </c>
      <c r="C3" s="63" t="s">
        <v>83</v>
      </c>
      <c r="D3" s="63" t="s">
        <v>9</v>
      </c>
      <c r="E3" s="63" t="s">
        <v>160</v>
      </c>
      <c r="F3" s="66" t="s">
        <v>148</v>
      </c>
      <c r="G3" s="67">
        <v>57</v>
      </c>
      <c r="H3" s="67">
        <v>244</v>
      </c>
      <c r="I3" s="67">
        <v>243</v>
      </c>
      <c r="J3" s="68">
        <v>242</v>
      </c>
      <c r="K3" s="73">
        <v>4.26315789473684</v>
      </c>
      <c r="L3" s="68">
        <v>4.24561403508772</v>
      </c>
      <c r="M3" s="69">
        <v>43588.68</v>
      </c>
      <c r="N3" s="68">
        <v>0</v>
      </c>
      <c r="O3" s="67">
        <v>731</v>
      </c>
      <c r="P3" s="68">
        <v>1221.71000000001</v>
      </c>
      <c r="R3" s="56" t="s">
        <v>4</v>
      </c>
      <c r="S3">
        <v>1224</v>
      </c>
      <c r="T3">
        <v>360</v>
      </c>
      <c r="U3" s="60">
        <f t="shared" ref="U3:U9" si="0">S3/T3</f>
        <v>3.4</v>
      </c>
    </row>
    <row r="4" spans="1:21">
      <c r="A4" s="63" t="s">
        <v>185</v>
      </c>
      <c r="B4" s="63" t="s">
        <v>82</v>
      </c>
      <c r="C4" s="63" t="s">
        <v>83</v>
      </c>
      <c r="D4" s="63" t="s">
        <v>5</v>
      </c>
      <c r="E4" s="63" t="s">
        <v>161</v>
      </c>
      <c r="F4" s="66" t="s">
        <v>148</v>
      </c>
      <c r="G4" s="67">
        <v>48</v>
      </c>
      <c r="H4" s="67">
        <v>318</v>
      </c>
      <c r="I4" s="67">
        <v>314</v>
      </c>
      <c r="J4" s="68">
        <v>311</v>
      </c>
      <c r="K4" s="73">
        <v>6.54166666666667</v>
      </c>
      <c r="L4" s="68">
        <v>6.47916666666667</v>
      </c>
      <c r="M4" s="69">
        <v>51319.64</v>
      </c>
      <c r="N4" s="68">
        <v>4</v>
      </c>
      <c r="O4" s="67">
        <v>1051</v>
      </c>
      <c r="P4" s="68">
        <v>2360.52</v>
      </c>
      <c r="R4" s="56" t="s">
        <v>5</v>
      </c>
      <c r="S4">
        <v>2856</v>
      </c>
      <c r="T4">
        <v>480</v>
      </c>
      <c r="U4" s="60">
        <f t="shared" si="0"/>
        <v>5.95</v>
      </c>
    </row>
    <row r="5" spans="1:21">
      <c r="A5" s="63" t="s">
        <v>185</v>
      </c>
      <c r="B5" s="63" t="s">
        <v>82</v>
      </c>
      <c r="C5" s="63" t="s">
        <v>83</v>
      </c>
      <c r="D5" s="63" t="s">
        <v>4</v>
      </c>
      <c r="E5" s="63" t="s">
        <v>162</v>
      </c>
      <c r="F5" s="66" t="s">
        <v>148</v>
      </c>
      <c r="G5" s="67">
        <v>36</v>
      </c>
      <c r="H5" s="67">
        <v>172</v>
      </c>
      <c r="I5" s="67">
        <v>172</v>
      </c>
      <c r="J5" s="68">
        <v>171</v>
      </c>
      <c r="K5" s="73">
        <v>4.77777777777778</v>
      </c>
      <c r="L5" s="68">
        <v>4.75</v>
      </c>
      <c r="M5" s="69">
        <v>25872</v>
      </c>
      <c r="N5" s="68">
        <v>12</v>
      </c>
      <c r="O5" s="67">
        <v>455</v>
      </c>
      <c r="P5" s="68">
        <v>1276.87</v>
      </c>
      <c r="R5" s="56" t="s">
        <v>6</v>
      </c>
      <c r="S5">
        <v>3111</v>
      </c>
      <c r="T5">
        <v>700</v>
      </c>
      <c r="U5" s="60">
        <f t="shared" si="0"/>
        <v>4.44428571428571</v>
      </c>
    </row>
    <row r="6" spans="1:21">
      <c r="A6" s="63" t="s">
        <v>185</v>
      </c>
      <c r="B6" s="63" t="s">
        <v>82</v>
      </c>
      <c r="C6" s="63" t="s">
        <v>83</v>
      </c>
      <c r="D6" s="63" t="s">
        <v>7</v>
      </c>
      <c r="E6" s="63" t="s">
        <v>163</v>
      </c>
      <c r="F6" s="66" t="s">
        <v>148</v>
      </c>
      <c r="G6" s="67">
        <v>55</v>
      </c>
      <c r="H6" s="67">
        <v>329</v>
      </c>
      <c r="I6" s="67">
        <v>327</v>
      </c>
      <c r="J6" s="68">
        <v>325</v>
      </c>
      <c r="K6" s="73">
        <v>5.94545454545455</v>
      </c>
      <c r="L6" s="68">
        <v>5.90909090909091</v>
      </c>
      <c r="M6" s="69">
        <v>48799.96</v>
      </c>
      <c r="N6" s="68">
        <v>10</v>
      </c>
      <c r="O6" s="67">
        <v>821</v>
      </c>
      <c r="P6" s="68">
        <v>1546.98999999999</v>
      </c>
      <c r="R6" s="56" t="s">
        <v>7</v>
      </c>
      <c r="S6">
        <v>2813</v>
      </c>
      <c r="T6">
        <v>550</v>
      </c>
      <c r="U6" s="60">
        <f t="shared" si="0"/>
        <v>5.11454545454545</v>
      </c>
    </row>
    <row r="7" spans="1:21">
      <c r="A7" s="63" t="s">
        <v>185</v>
      </c>
      <c r="B7" s="63" t="s">
        <v>82</v>
      </c>
      <c r="C7" s="63" t="s">
        <v>83</v>
      </c>
      <c r="D7" s="63" t="s">
        <v>8</v>
      </c>
      <c r="E7" s="63" t="s">
        <v>164</v>
      </c>
      <c r="F7" s="66" t="s">
        <v>148</v>
      </c>
      <c r="G7" s="67">
        <v>37</v>
      </c>
      <c r="H7" s="67">
        <v>189</v>
      </c>
      <c r="I7" s="67">
        <v>187</v>
      </c>
      <c r="J7" s="68">
        <v>186</v>
      </c>
      <c r="K7" s="73">
        <v>5.05405405405405</v>
      </c>
      <c r="L7" s="68">
        <v>5.02702702702703</v>
      </c>
      <c r="M7" s="69">
        <v>29668.1</v>
      </c>
      <c r="N7" s="68">
        <v>0</v>
      </c>
      <c r="O7" s="67">
        <v>573</v>
      </c>
      <c r="P7" s="68">
        <v>1561.60999999999</v>
      </c>
      <c r="R7" s="56" t="s">
        <v>8</v>
      </c>
      <c r="S7">
        <v>1482</v>
      </c>
      <c r="T7">
        <v>484</v>
      </c>
      <c r="U7" s="60">
        <f t="shared" si="0"/>
        <v>3.06198347107438</v>
      </c>
    </row>
    <row r="8" spans="1:21">
      <c r="A8" s="63" t="s">
        <v>185</v>
      </c>
      <c r="B8" s="63" t="s">
        <v>82</v>
      </c>
      <c r="C8" s="63" t="s">
        <v>83</v>
      </c>
      <c r="D8" s="63" t="s">
        <v>6</v>
      </c>
      <c r="E8" s="63" t="s">
        <v>165</v>
      </c>
      <c r="F8" s="66" t="s">
        <v>148</v>
      </c>
      <c r="G8" s="67">
        <v>70</v>
      </c>
      <c r="H8" s="67">
        <v>381</v>
      </c>
      <c r="I8" s="67">
        <v>374</v>
      </c>
      <c r="J8" s="68">
        <v>377</v>
      </c>
      <c r="K8" s="73">
        <v>5.34285714285714</v>
      </c>
      <c r="L8" s="68">
        <v>5.38571428571429</v>
      </c>
      <c r="M8" s="69">
        <v>59782</v>
      </c>
      <c r="N8" s="68">
        <v>9</v>
      </c>
      <c r="O8" s="67">
        <v>1097</v>
      </c>
      <c r="P8" s="68">
        <v>2838.53000000002</v>
      </c>
      <c r="R8" s="56" t="s">
        <v>9</v>
      </c>
      <c r="S8">
        <v>1962</v>
      </c>
      <c r="T8">
        <v>570</v>
      </c>
      <c r="U8" s="60">
        <f t="shared" si="0"/>
        <v>3.44210526315789</v>
      </c>
    </row>
    <row r="9" spans="1:21">
      <c r="A9" s="63" t="s">
        <v>186</v>
      </c>
      <c r="B9" s="63" t="s">
        <v>82</v>
      </c>
      <c r="C9" s="63" t="s">
        <v>83</v>
      </c>
      <c r="D9" s="63" t="s">
        <v>3</v>
      </c>
      <c r="E9" s="63" t="s">
        <v>158</v>
      </c>
      <c r="F9" s="66" t="s">
        <v>148</v>
      </c>
      <c r="G9" s="67">
        <v>53</v>
      </c>
      <c r="H9" s="67">
        <v>286</v>
      </c>
      <c r="I9" s="67">
        <v>280</v>
      </c>
      <c r="J9" s="68">
        <v>279</v>
      </c>
      <c r="K9" s="73">
        <v>5.28301886792453</v>
      </c>
      <c r="L9" s="68">
        <v>5.26415094339623</v>
      </c>
      <c r="M9" s="69">
        <v>47106.75</v>
      </c>
      <c r="N9" s="68">
        <v>6</v>
      </c>
      <c r="O9" s="67">
        <v>860</v>
      </c>
      <c r="P9" s="68">
        <v>2304.15999999999</v>
      </c>
      <c r="R9" s="56" t="s">
        <v>143</v>
      </c>
      <c r="S9">
        <v>15830</v>
      </c>
      <c r="T9">
        <v>3674</v>
      </c>
      <c r="U9" s="60">
        <f t="shared" si="0"/>
        <v>4.30865541643985</v>
      </c>
    </row>
    <row r="10" spans="1:16">
      <c r="A10" s="63" t="s">
        <v>186</v>
      </c>
      <c r="B10" s="63" t="s">
        <v>82</v>
      </c>
      <c r="C10" s="63" t="s">
        <v>83</v>
      </c>
      <c r="D10" s="63" t="s">
        <v>9</v>
      </c>
      <c r="E10" s="63" t="s">
        <v>160</v>
      </c>
      <c r="F10" s="66" t="s">
        <v>148</v>
      </c>
      <c r="G10" s="67">
        <v>57</v>
      </c>
      <c r="H10" s="67">
        <v>242</v>
      </c>
      <c r="I10" s="67">
        <v>239</v>
      </c>
      <c r="J10" s="68">
        <v>240</v>
      </c>
      <c r="K10" s="73">
        <v>4.19298245614035</v>
      </c>
      <c r="L10" s="68">
        <v>4.21052631578947</v>
      </c>
      <c r="M10" s="69">
        <v>42293.05</v>
      </c>
      <c r="N10" s="68">
        <v>0</v>
      </c>
      <c r="O10" s="67">
        <v>748</v>
      </c>
      <c r="P10" s="68">
        <v>1152.85</v>
      </c>
    </row>
    <row r="11" spans="1:16">
      <c r="A11" s="63" t="s">
        <v>186</v>
      </c>
      <c r="B11" s="63" t="s">
        <v>82</v>
      </c>
      <c r="C11" s="63" t="s">
        <v>83</v>
      </c>
      <c r="D11" s="63" t="s">
        <v>5</v>
      </c>
      <c r="E11" s="63" t="s">
        <v>161</v>
      </c>
      <c r="F11" s="66" t="s">
        <v>148</v>
      </c>
      <c r="G11" s="67">
        <v>48</v>
      </c>
      <c r="H11" s="67">
        <v>307</v>
      </c>
      <c r="I11" s="67">
        <v>304</v>
      </c>
      <c r="J11" s="68">
        <v>305</v>
      </c>
      <c r="K11" s="73">
        <v>6.33333333333333</v>
      </c>
      <c r="L11" s="68">
        <v>6.35416666666667</v>
      </c>
      <c r="M11" s="69">
        <v>46521.45</v>
      </c>
      <c r="N11" s="68">
        <v>9</v>
      </c>
      <c r="O11" s="67">
        <v>955</v>
      </c>
      <c r="P11" s="68">
        <v>2107.63999999997</v>
      </c>
    </row>
    <row r="12" spans="1:16">
      <c r="A12" s="63" t="s">
        <v>186</v>
      </c>
      <c r="B12" s="63" t="s">
        <v>82</v>
      </c>
      <c r="C12" s="63" t="s">
        <v>83</v>
      </c>
      <c r="D12" s="63" t="s">
        <v>4</v>
      </c>
      <c r="E12" s="63" t="s">
        <v>162</v>
      </c>
      <c r="F12" s="66" t="s">
        <v>148</v>
      </c>
      <c r="G12" s="67">
        <v>36</v>
      </c>
      <c r="H12" s="67">
        <v>163</v>
      </c>
      <c r="I12" s="67">
        <v>159</v>
      </c>
      <c r="J12" s="68">
        <v>157</v>
      </c>
      <c r="K12" s="73">
        <v>4.41666666666667</v>
      </c>
      <c r="L12" s="68">
        <v>4.36111111111111</v>
      </c>
      <c r="M12" s="69">
        <v>25565.15</v>
      </c>
      <c r="N12" s="68">
        <v>18</v>
      </c>
      <c r="O12" s="67">
        <v>417</v>
      </c>
      <c r="P12" s="68">
        <v>1453.92000000001</v>
      </c>
    </row>
    <row r="13" spans="1:16">
      <c r="A13" s="63" t="s">
        <v>186</v>
      </c>
      <c r="B13" s="63" t="s">
        <v>82</v>
      </c>
      <c r="C13" s="63" t="s">
        <v>83</v>
      </c>
      <c r="D13" s="63" t="s">
        <v>7</v>
      </c>
      <c r="E13" s="63" t="s">
        <v>163</v>
      </c>
      <c r="F13" s="66" t="s">
        <v>148</v>
      </c>
      <c r="G13" s="67">
        <v>55</v>
      </c>
      <c r="H13" s="67">
        <v>293</v>
      </c>
      <c r="I13" s="67">
        <v>289</v>
      </c>
      <c r="J13" s="68">
        <v>282</v>
      </c>
      <c r="K13" s="73">
        <v>5.25454545454545</v>
      </c>
      <c r="L13" s="68">
        <v>5.12727272727273</v>
      </c>
      <c r="M13" s="69">
        <v>36903.2</v>
      </c>
      <c r="N13" s="68">
        <v>14</v>
      </c>
      <c r="O13" s="67">
        <v>666</v>
      </c>
      <c r="P13" s="68">
        <v>1594.67999999999</v>
      </c>
    </row>
    <row r="14" spans="1:16">
      <c r="A14" s="63" t="s">
        <v>186</v>
      </c>
      <c r="B14" s="63" t="s">
        <v>82</v>
      </c>
      <c r="C14" s="63" t="s">
        <v>83</v>
      </c>
      <c r="D14" s="63" t="s">
        <v>8</v>
      </c>
      <c r="E14" s="63" t="s">
        <v>164</v>
      </c>
      <c r="F14" s="66" t="s">
        <v>148</v>
      </c>
      <c r="G14" s="67">
        <v>37</v>
      </c>
      <c r="H14" s="67">
        <v>170</v>
      </c>
      <c r="I14" s="67">
        <v>168</v>
      </c>
      <c r="J14" s="68">
        <v>167</v>
      </c>
      <c r="K14" s="73">
        <v>4.54054054054054</v>
      </c>
      <c r="L14" s="68">
        <v>4.51351351351351</v>
      </c>
      <c r="M14" s="69">
        <v>24357.9</v>
      </c>
      <c r="N14" s="68">
        <v>1</v>
      </c>
      <c r="O14" s="67">
        <v>513</v>
      </c>
      <c r="P14" s="68">
        <v>1496.06</v>
      </c>
    </row>
    <row r="15" spans="1:16">
      <c r="A15" s="63" t="s">
        <v>186</v>
      </c>
      <c r="B15" s="63" t="s">
        <v>82</v>
      </c>
      <c r="C15" s="63" t="s">
        <v>83</v>
      </c>
      <c r="D15" s="63" t="s">
        <v>6</v>
      </c>
      <c r="E15" s="63" t="s">
        <v>165</v>
      </c>
      <c r="F15" s="66" t="s">
        <v>148</v>
      </c>
      <c r="G15" s="67">
        <v>70</v>
      </c>
      <c r="H15" s="67">
        <v>345</v>
      </c>
      <c r="I15" s="67">
        <v>338</v>
      </c>
      <c r="J15" s="68">
        <v>338</v>
      </c>
      <c r="K15" s="73">
        <v>4.82857142857143</v>
      </c>
      <c r="L15" s="68">
        <v>4.82857142857143</v>
      </c>
      <c r="M15" s="69">
        <v>50368.04</v>
      </c>
      <c r="N15" s="68">
        <v>11</v>
      </c>
      <c r="O15" s="67">
        <v>943</v>
      </c>
      <c r="P15" s="68">
        <v>2189.03000000002</v>
      </c>
    </row>
    <row r="16" spans="1:16">
      <c r="A16" s="63" t="s">
        <v>187</v>
      </c>
      <c r="B16" s="63" t="s">
        <v>82</v>
      </c>
      <c r="C16" s="63" t="s">
        <v>83</v>
      </c>
      <c r="D16" s="63" t="s">
        <v>3</v>
      </c>
      <c r="E16" s="63" t="s">
        <v>158</v>
      </c>
      <c r="F16" s="66" t="s">
        <v>159</v>
      </c>
      <c r="G16" s="67">
        <v>53</v>
      </c>
      <c r="H16" s="67">
        <v>204</v>
      </c>
      <c r="I16" s="67">
        <v>201</v>
      </c>
      <c r="J16" s="68">
        <v>199</v>
      </c>
      <c r="K16" s="73">
        <v>3.79245283018868</v>
      </c>
      <c r="L16" s="68">
        <v>3.75471698113208</v>
      </c>
      <c r="M16" s="69">
        <v>27535.6</v>
      </c>
      <c r="N16" s="68">
        <v>5</v>
      </c>
      <c r="O16" s="67">
        <v>585</v>
      </c>
      <c r="P16" s="68">
        <v>1109.98000000001</v>
      </c>
    </row>
    <row r="17" spans="1:16">
      <c r="A17" s="63" t="s">
        <v>187</v>
      </c>
      <c r="B17" s="63" t="s">
        <v>82</v>
      </c>
      <c r="C17" s="63" t="s">
        <v>83</v>
      </c>
      <c r="D17" s="63" t="s">
        <v>9</v>
      </c>
      <c r="E17" s="63" t="s">
        <v>160</v>
      </c>
      <c r="F17" s="66" t="s">
        <v>159</v>
      </c>
      <c r="G17" s="67">
        <v>57</v>
      </c>
      <c r="H17" s="67">
        <v>160</v>
      </c>
      <c r="I17" s="67">
        <v>157</v>
      </c>
      <c r="J17" s="68">
        <v>155</v>
      </c>
      <c r="K17" s="73">
        <v>2.75438596491228</v>
      </c>
      <c r="L17" s="68">
        <v>2.71929824561403</v>
      </c>
      <c r="M17" s="69">
        <v>23839.93</v>
      </c>
      <c r="N17" s="68">
        <v>0</v>
      </c>
      <c r="O17" s="67">
        <v>393</v>
      </c>
      <c r="P17" s="68">
        <v>1808.53</v>
      </c>
    </row>
    <row r="18" spans="1:16">
      <c r="A18" s="63" t="s">
        <v>187</v>
      </c>
      <c r="B18" s="63" t="s">
        <v>82</v>
      </c>
      <c r="C18" s="63" t="s">
        <v>83</v>
      </c>
      <c r="D18" s="63" t="s">
        <v>5</v>
      </c>
      <c r="E18" s="63" t="s">
        <v>161</v>
      </c>
      <c r="F18" s="66" t="s">
        <v>159</v>
      </c>
      <c r="G18" s="67">
        <v>48</v>
      </c>
      <c r="H18" s="67">
        <v>248</v>
      </c>
      <c r="I18" s="67">
        <v>244</v>
      </c>
      <c r="J18" s="68">
        <v>244</v>
      </c>
      <c r="K18" s="73">
        <v>5.08333333333333</v>
      </c>
      <c r="L18" s="68">
        <v>5.08333333333333</v>
      </c>
      <c r="M18" s="69">
        <v>28390.31</v>
      </c>
      <c r="N18" s="68">
        <v>2</v>
      </c>
      <c r="O18" s="67">
        <v>720</v>
      </c>
      <c r="P18" s="68">
        <v>1407.65999999999</v>
      </c>
    </row>
    <row r="19" spans="1:16">
      <c r="A19" s="63" t="s">
        <v>187</v>
      </c>
      <c r="B19" s="63" t="s">
        <v>82</v>
      </c>
      <c r="C19" s="63" t="s">
        <v>83</v>
      </c>
      <c r="D19" s="63" t="s">
        <v>4</v>
      </c>
      <c r="E19" s="63" t="s">
        <v>162</v>
      </c>
      <c r="F19" s="66" t="s">
        <v>159</v>
      </c>
      <c r="G19" s="67">
        <v>36</v>
      </c>
      <c r="H19" s="67">
        <v>112</v>
      </c>
      <c r="I19" s="67">
        <v>108</v>
      </c>
      <c r="J19" s="68">
        <v>107</v>
      </c>
      <c r="K19" s="73">
        <v>3</v>
      </c>
      <c r="L19" s="68">
        <v>2.97222222222222</v>
      </c>
      <c r="M19" s="69">
        <v>14192.4</v>
      </c>
      <c r="N19" s="68">
        <v>16</v>
      </c>
      <c r="O19" s="67">
        <v>249</v>
      </c>
      <c r="P19" s="68">
        <v>736.619999999995</v>
      </c>
    </row>
    <row r="20" spans="1:16">
      <c r="A20" s="63" t="s">
        <v>187</v>
      </c>
      <c r="B20" s="63" t="s">
        <v>82</v>
      </c>
      <c r="C20" s="63" t="s">
        <v>83</v>
      </c>
      <c r="D20" s="63" t="s">
        <v>7</v>
      </c>
      <c r="E20" s="63" t="s">
        <v>163</v>
      </c>
      <c r="F20" s="66" t="s">
        <v>159</v>
      </c>
      <c r="G20" s="67">
        <v>55</v>
      </c>
      <c r="H20" s="67">
        <v>219</v>
      </c>
      <c r="I20" s="67">
        <v>217</v>
      </c>
      <c r="J20" s="68">
        <v>211</v>
      </c>
      <c r="K20" s="73">
        <v>3.94545454545455</v>
      </c>
      <c r="L20" s="68">
        <v>3.83636363636364</v>
      </c>
      <c r="M20" s="69">
        <v>27688.31</v>
      </c>
      <c r="N20" s="68">
        <v>13</v>
      </c>
      <c r="O20" s="67">
        <v>518</v>
      </c>
      <c r="P20" s="68">
        <v>1606.72</v>
      </c>
    </row>
    <row r="21" spans="1:16">
      <c r="A21" s="63" t="s">
        <v>187</v>
      </c>
      <c r="B21" s="63" t="s">
        <v>82</v>
      </c>
      <c r="C21" s="63" t="s">
        <v>83</v>
      </c>
      <c r="D21" s="63" t="s">
        <v>8</v>
      </c>
      <c r="E21" s="63" t="s">
        <v>164</v>
      </c>
      <c r="F21" s="66" t="s">
        <v>159</v>
      </c>
      <c r="G21" s="67">
        <v>37</v>
      </c>
      <c r="H21" s="67">
        <v>120</v>
      </c>
      <c r="I21" s="67">
        <v>112</v>
      </c>
      <c r="J21" s="68">
        <v>115</v>
      </c>
      <c r="K21" s="73">
        <v>3.02702702702703</v>
      </c>
      <c r="L21" s="68">
        <v>3.10810810810811</v>
      </c>
      <c r="M21" s="69">
        <v>17030.6</v>
      </c>
      <c r="N21" s="68">
        <v>0</v>
      </c>
      <c r="O21" s="67">
        <v>364</v>
      </c>
      <c r="P21" s="68">
        <v>1041.14</v>
      </c>
    </row>
    <row r="22" spans="1:16">
      <c r="A22" s="63" t="s">
        <v>187</v>
      </c>
      <c r="B22" s="63" t="s">
        <v>82</v>
      </c>
      <c r="C22" s="63" t="s">
        <v>83</v>
      </c>
      <c r="D22" s="63" t="s">
        <v>6</v>
      </c>
      <c r="E22" s="63" t="s">
        <v>165</v>
      </c>
      <c r="F22" s="66" t="s">
        <v>159</v>
      </c>
      <c r="G22" s="67">
        <v>70</v>
      </c>
      <c r="H22" s="67">
        <v>210</v>
      </c>
      <c r="I22" s="67">
        <v>210</v>
      </c>
      <c r="J22" s="68">
        <v>207</v>
      </c>
      <c r="K22" s="73">
        <v>3</v>
      </c>
      <c r="L22" s="68">
        <v>2.95714285714286</v>
      </c>
      <c r="M22" s="69">
        <v>24517.38</v>
      </c>
      <c r="N22" s="68">
        <v>4</v>
      </c>
      <c r="O22" s="67">
        <v>547</v>
      </c>
      <c r="P22" s="68">
        <v>1120.51000000001</v>
      </c>
    </row>
    <row r="23" spans="1:16">
      <c r="A23" s="63" t="s">
        <v>188</v>
      </c>
      <c r="B23" s="63" t="s">
        <v>82</v>
      </c>
      <c r="C23" s="63" t="s">
        <v>83</v>
      </c>
      <c r="D23" s="63" t="s">
        <v>3</v>
      </c>
      <c r="E23" s="63" t="s">
        <v>158</v>
      </c>
      <c r="F23" s="66" t="s">
        <v>159</v>
      </c>
      <c r="G23" s="67">
        <v>53</v>
      </c>
      <c r="H23" s="67">
        <v>191</v>
      </c>
      <c r="I23" s="67">
        <v>187</v>
      </c>
      <c r="J23" s="68">
        <v>180</v>
      </c>
      <c r="K23" s="73">
        <v>3.52830188679245</v>
      </c>
      <c r="L23" s="68">
        <v>3.39622641509434</v>
      </c>
      <c r="M23" s="69">
        <v>25406.7</v>
      </c>
      <c r="N23" s="68">
        <v>1</v>
      </c>
      <c r="O23" s="67">
        <v>514</v>
      </c>
      <c r="P23" s="68">
        <v>1628.44</v>
      </c>
    </row>
    <row r="24" spans="1:16">
      <c r="A24" s="63" t="s">
        <v>188</v>
      </c>
      <c r="B24" s="63" t="s">
        <v>82</v>
      </c>
      <c r="C24" s="63" t="s">
        <v>83</v>
      </c>
      <c r="D24" s="63" t="s">
        <v>9</v>
      </c>
      <c r="E24" s="63" t="s">
        <v>160</v>
      </c>
      <c r="F24" s="66" t="s">
        <v>159</v>
      </c>
      <c r="G24" s="67">
        <v>57</v>
      </c>
      <c r="H24" s="67">
        <v>156</v>
      </c>
      <c r="I24" s="67">
        <v>156</v>
      </c>
      <c r="J24" s="68">
        <v>153</v>
      </c>
      <c r="K24" s="73">
        <v>2.73684210526316</v>
      </c>
      <c r="L24" s="68">
        <v>2.68421052631579</v>
      </c>
      <c r="M24" s="69">
        <v>24014.23</v>
      </c>
      <c r="N24" s="68">
        <v>0</v>
      </c>
      <c r="O24" s="67">
        <v>428</v>
      </c>
      <c r="P24" s="68">
        <v>1820.11</v>
      </c>
    </row>
    <row r="25" spans="1:16">
      <c r="A25" s="63" t="s">
        <v>188</v>
      </c>
      <c r="B25" s="63" t="s">
        <v>82</v>
      </c>
      <c r="C25" s="63" t="s">
        <v>83</v>
      </c>
      <c r="D25" s="63" t="s">
        <v>5</v>
      </c>
      <c r="E25" s="63" t="s">
        <v>161</v>
      </c>
      <c r="F25" s="66" t="s">
        <v>159</v>
      </c>
      <c r="G25" s="67">
        <v>48</v>
      </c>
      <c r="H25" s="67">
        <v>230</v>
      </c>
      <c r="I25" s="67">
        <v>229</v>
      </c>
      <c r="J25" s="68">
        <v>227</v>
      </c>
      <c r="K25" s="73">
        <v>4.77083333333333</v>
      </c>
      <c r="L25" s="68">
        <v>4.72916666666667</v>
      </c>
      <c r="M25" s="69">
        <v>25334.13</v>
      </c>
      <c r="N25" s="68">
        <v>4</v>
      </c>
      <c r="O25" s="67">
        <v>629</v>
      </c>
      <c r="P25" s="68">
        <v>1403.79</v>
      </c>
    </row>
    <row r="26" spans="1:16">
      <c r="A26" s="63" t="s">
        <v>188</v>
      </c>
      <c r="B26" s="63" t="s">
        <v>82</v>
      </c>
      <c r="C26" s="63" t="s">
        <v>83</v>
      </c>
      <c r="D26" s="63" t="s">
        <v>4</v>
      </c>
      <c r="E26" s="63" t="s">
        <v>162</v>
      </c>
      <c r="F26" s="66" t="s">
        <v>159</v>
      </c>
      <c r="G26" s="67">
        <v>36</v>
      </c>
      <c r="H26" s="67">
        <v>88</v>
      </c>
      <c r="I26" s="67">
        <v>86</v>
      </c>
      <c r="J26" s="68">
        <v>80</v>
      </c>
      <c r="K26" s="73">
        <v>2.38888888888889</v>
      </c>
      <c r="L26" s="68">
        <v>2.22222222222222</v>
      </c>
      <c r="M26" s="69">
        <v>11380.45</v>
      </c>
      <c r="N26" s="68">
        <v>12</v>
      </c>
      <c r="O26" s="67">
        <v>203</v>
      </c>
      <c r="P26" s="68">
        <v>629.769999999998</v>
      </c>
    </row>
    <row r="27" spans="1:16">
      <c r="A27" s="63" t="s">
        <v>188</v>
      </c>
      <c r="B27" s="63" t="s">
        <v>82</v>
      </c>
      <c r="C27" s="63" t="s">
        <v>83</v>
      </c>
      <c r="D27" s="63" t="s">
        <v>7</v>
      </c>
      <c r="E27" s="63" t="s">
        <v>163</v>
      </c>
      <c r="F27" s="66" t="s">
        <v>159</v>
      </c>
      <c r="G27" s="67">
        <v>55</v>
      </c>
      <c r="H27" s="67">
        <v>228</v>
      </c>
      <c r="I27" s="67">
        <v>228</v>
      </c>
      <c r="J27" s="68">
        <v>222</v>
      </c>
      <c r="K27" s="73">
        <v>4.14545454545455</v>
      </c>
      <c r="L27" s="68">
        <v>4.03636363636364</v>
      </c>
      <c r="M27" s="69">
        <v>31766.94</v>
      </c>
      <c r="N27" s="68">
        <v>0</v>
      </c>
      <c r="O27" s="67">
        <v>594</v>
      </c>
      <c r="P27" s="68">
        <v>2036.82</v>
      </c>
    </row>
    <row r="28" spans="1:16">
      <c r="A28" s="63" t="s">
        <v>188</v>
      </c>
      <c r="B28" s="63" t="s">
        <v>82</v>
      </c>
      <c r="C28" s="63" t="s">
        <v>83</v>
      </c>
      <c r="D28" s="63" t="s">
        <v>8</v>
      </c>
      <c r="E28" s="63" t="s">
        <v>164</v>
      </c>
      <c r="F28" s="66" t="s">
        <v>159</v>
      </c>
      <c r="G28" s="67">
        <v>37</v>
      </c>
      <c r="H28" s="67">
        <v>107</v>
      </c>
      <c r="I28" s="67">
        <v>105</v>
      </c>
      <c r="J28" s="68">
        <v>104</v>
      </c>
      <c r="K28" s="73">
        <v>2.83783783783784</v>
      </c>
      <c r="L28" s="68">
        <v>2.81081081081081</v>
      </c>
      <c r="M28" s="69">
        <v>13795.25</v>
      </c>
      <c r="N28" s="68">
        <v>1</v>
      </c>
      <c r="O28" s="67">
        <v>283</v>
      </c>
      <c r="P28" s="68">
        <v>1068.39</v>
      </c>
    </row>
    <row r="29" spans="1:16">
      <c r="A29" s="63" t="s">
        <v>188</v>
      </c>
      <c r="B29" s="63" t="s">
        <v>82</v>
      </c>
      <c r="C29" s="63" t="s">
        <v>83</v>
      </c>
      <c r="D29" s="63" t="s">
        <v>6</v>
      </c>
      <c r="E29" s="63" t="s">
        <v>165</v>
      </c>
      <c r="F29" s="66" t="s">
        <v>159</v>
      </c>
      <c r="G29" s="67">
        <v>70</v>
      </c>
      <c r="H29" s="67">
        <v>258</v>
      </c>
      <c r="I29" s="67">
        <v>250</v>
      </c>
      <c r="J29" s="68">
        <v>250</v>
      </c>
      <c r="K29" s="73">
        <v>3.57142857142857</v>
      </c>
      <c r="L29" s="68">
        <v>3.57142857142857</v>
      </c>
      <c r="M29" s="69">
        <v>27146.12</v>
      </c>
      <c r="N29" s="68">
        <v>3</v>
      </c>
      <c r="O29" s="67">
        <v>652</v>
      </c>
      <c r="P29" s="68">
        <v>2076.6</v>
      </c>
    </row>
    <row r="30" spans="1:16">
      <c r="A30" s="63" t="s">
        <v>189</v>
      </c>
      <c r="B30" s="63" t="s">
        <v>82</v>
      </c>
      <c r="C30" s="63" t="s">
        <v>83</v>
      </c>
      <c r="D30" s="63" t="s">
        <v>3</v>
      </c>
      <c r="E30" s="63" t="s">
        <v>158</v>
      </c>
      <c r="F30" s="66" t="s">
        <v>159</v>
      </c>
      <c r="G30" s="67">
        <v>53</v>
      </c>
      <c r="H30" s="67">
        <v>223</v>
      </c>
      <c r="I30" s="67">
        <v>216</v>
      </c>
      <c r="J30" s="68">
        <v>216</v>
      </c>
      <c r="K30" s="73">
        <v>4.07547169811321</v>
      </c>
      <c r="L30" s="68">
        <v>4.07547169811321</v>
      </c>
      <c r="M30" s="69">
        <v>28589.05</v>
      </c>
      <c r="N30" s="68">
        <v>3</v>
      </c>
      <c r="O30" s="67">
        <v>592</v>
      </c>
      <c r="P30" s="68">
        <v>1481.29</v>
      </c>
    </row>
    <row r="31" spans="1:16">
      <c r="A31" s="63" t="s">
        <v>189</v>
      </c>
      <c r="B31" s="63" t="s">
        <v>82</v>
      </c>
      <c r="C31" s="63" t="s">
        <v>83</v>
      </c>
      <c r="D31" s="63" t="s">
        <v>9</v>
      </c>
      <c r="E31" s="63" t="s">
        <v>160</v>
      </c>
      <c r="F31" s="66" t="s">
        <v>159</v>
      </c>
      <c r="G31" s="67">
        <v>57</v>
      </c>
      <c r="H31" s="67">
        <v>147</v>
      </c>
      <c r="I31" s="67">
        <v>144</v>
      </c>
      <c r="J31" s="68">
        <v>144</v>
      </c>
      <c r="K31" s="73">
        <v>2.52631578947368</v>
      </c>
      <c r="L31" s="68">
        <v>2.52631578947368</v>
      </c>
      <c r="M31" s="69">
        <v>22890.58</v>
      </c>
      <c r="N31" s="68">
        <v>0</v>
      </c>
      <c r="O31" s="67">
        <v>407</v>
      </c>
      <c r="P31" s="68">
        <v>1744.95</v>
      </c>
    </row>
    <row r="32" spans="1:16">
      <c r="A32" s="63" t="s">
        <v>189</v>
      </c>
      <c r="B32" s="63" t="s">
        <v>82</v>
      </c>
      <c r="C32" s="63" t="s">
        <v>83</v>
      </c>
      <c r="D32" s="63" t="s">
        <v>5</v>
      </c>
      <c r="E32" s="63" t="s">
        <v>161</v>
      </c>
      <c r="F32" s="66" t="s">
        <v>159</v>
      </c>
      <c r="G32" s="67">
        <v>48</v>
      </c>
      <c r="H32" s="67">
        <v>245</v>
      </c>
      <c r="I32" s="67">
        <v>245</v>
      </c>
      <c r="J32" s="68">
        <v>244</v>
      </c>
      <c r="K32" s="73">
        <v>5.10416666666667</v>
      </c>
      <c r="L32" s="68">
        <v>5.08333333333333</v>
      </c>
      <c r="M32" s="69">
        <v>28442.03</v>
      </c>
      <c r="N32" s="68">
        <v>0</v>
      </c>
      <c r="O32" s="67">
        <v>699</v>
      </c>
      <c r="P32" s="68">
        <v>1463.40999999998</v>
      </c>
    </row>
    <row r="33" spans="1:16">
      <c r="A33" s="63" t="s">
        <v>189</v>
      </c>
      <c r="B33" s="63" t="s">
        <v>82</v>
      </c>
      <c r="C33" s="63" t="s">
        <v>83</v>
      </c>
      <c r="D33" s="63" t="s">
        <v>4</v>
      </c>
      <c r="E33" s="63" t="s">
        <v>162</v>
      </c>
      <c r="F33" s="66" t="s">
        <v>159</v>
      </c>
      <c r="G33" s="67">
        <v>36</v>
      </c>
      <c r="H33" s="67">
        <v>97</v>
      </c>
      <c r="I33" s="67">
        <v>95</v>
      </c>
      <c r="J33" s="68">
        <v>94</v>
      </c>
      <c r="K33" s="73">
        <v>2.63888888888889</v>
      </c>
      <c r="L33" s="68">
        <v>2.61111111111111</v>
      </c>
      <c r="M33" s="69">
        <v>12481.95</v>
      </c>
      <c r="N33" s="68">
        <v>12</v>
      </c>
      <c r="O33" s="67">
        <v>228</v>
      </c>
      <c r="P33" s="68">
        <v>402.069999999999</v>
      </c>
    </row>
    <row r="34" spans="1:16">
      <c r="A34" s="63" t="s">
        <v>189</v>
      </c>
      <c r="B34" s="63" t="s">
        <v>82</v>
      </c>
      <c r="C34" s="63" t="s">
        <v>83</v>
      </c>
      <c r="D34" s="63" t="s">
        <v>7</v>
      </c>
      <c r="E34" s="63" t="s">
        <v>163</v>
      </c>
      <c r="F34" s="66" t="s">
        <v>159</v>
      </c>
      <c r="G34" s="67">
        <v>55</v>
      </c>
      <c r="H34" s="67">
        <v>266</v>
      </c>
      <c r="I34" s="67">
        <v>264</v>
      </c>
      <c r="J34" s="68">
        <v>259</v>
      </c>
      <c r="K34" s="73">
        <v>4.8</v>
      </c>
      <c r="L34" s="68">
        <v>4.70909090909091</v>
      </c>
      <c r="M34" s="69">
        <v>31943.6</v>
      </c>
      <c r="N34" s="68">
        <v>22</v>
      </c>
      <c r="O34" s="67">
        <v>598</v>
      </c>
      <c r="P34" s="68">
        <v>1543.98000000003</v>
      </c>
    </row>
    <row r="35" spans="1:16">
      <c r="A35" s="63" t="s">
        <v>189</v>
      </c>
      <c r="B35" s="63" t="s">
        <v>82</v>
      </c>
      <c r="C35" s="63" t="s">
        <v>83</v>
      </c>
      <c r="D35" s="63" t="s">
        <v>8</v>
      </c>
      <c r="E35" s="63" t="s">
        <v>164</v>
      </c>
      <c r="F35" s="66" t="s">
        <v>159</v>
      </c>
      <c r="G35" s="67">
        <v>56</v>
      </c>
      <c r="H35" s="67">
        <v>109</v>
      </c>
      <c r="I35" s="67">
        <v>107</v>
      </c>
      <c r="J35" s="68">
        <v>107</v>
      </c>
      <c r="K35" s="73">
        <v>1.91071428571429</v>
      </c>
      <c r="L35" s="68">
        <v>1.91071428571429</v>
      </c>
      <c r="M35" s="69">
        <v>14275.6</v>
      </c>
      <c r="N35" s="68">
        <v>0</v>
      </c>
      <c r="O35" s="67">
        <v>308</v>
      </c>
      <c r="P35" s="68">
        <v>1136.59</v>
      </c>
    </row>
    <row r="36" spans="1:16">
      <c r="A36" s="63" t="s">
        <v>189</v>
      </c>
      <c r="B36" s="63" t="s">
        <v>82</v>
      </c>
      <c r="C36" s="63" t="s">
        <v>83</v>
      </c>
      <c r="D36" s="63" t="s">
        <v>6</v>
      </c>
      <c r="E36" s="63" t="s">
        <v>165</v>
      </c>
      <c r="F36" s="66" t="s">
        <v>159</v>
      </c>
      <c r="G36" s="67">
        <v>70</v>
      </c>
      <c r="H36" s="67">
        <v>243</v>
      </c>
      <c r="I36" s="67">
        <v>240</v>
      </c>
      <c r="J36" s="68">
        <v>238</v>
      </c>
      <c r="K36" s="73">
        <v>3.42857142857143</v>
      </c>
      <c r="L36" s="68">
        <v>3.4</v>
      </c>
      <c r="M36" s="69">
        <v>28299.37</v>
      </c>
      <c r="N36" s="68">
        <v>2</v>
      </c>
      <c r="O36" s="67">
        <v>645</v>
      </c>
      <c r="P36" s="68">
        <v>1736.95000000001</v>
      </c>
    </row>
    <row r="37" spans="1:16">
      <c r="A37" s="63" t="s">
        <v>190</v>
      </c>
      <c r="B37" s="63" t="s">
        <v>82</v>
      </c>
      <c r="C37" s="63" t="s">
        <v>83</v>
      </c>
      <c r="D37" s="63" t="s">
        <v>3</v>
      </c>
      <c r="E37" s="63" t="s">
        <v>158</v>
      </c>
      <c r="F37" s="66" t="s">
        <v>159</v>
      </c>
      <c r="G37" s="67">
        <v>53</v>
      </c>
      <c r="H37" s="67">
        <v>244</v>
      </c>
      <c r="I37" s="67">
        <v>238</v>
      </c>
      <c r="J37" s="68">
        <v>232</v>
      </c>
      <c r="K37" s="73">
        <v>4.49056603773585</v>
      </c>
      <c r="L37" s="68">
        <v>4.37735849056604</v>
      </c>
      <c r="M37" s="69">
        <v>32713.55</v>
      </c>
      <c r="N37" s="68">
        <v>1</v>
      </c>
      <c r="O37" s="67">
        <v>695</v>
      </c>
      <c r="P37" s="68">
        <v>1699.33</v>
      </c>
    </row>
    <row r="38" spans="1:16">
      <c r="A38" s="63" t="s">
        <v>190</v>
      </c>
      <c r="B38" s="63" t="s">
        <v>82</v>
      </c>
      <c r="C38" s="63" t="s">
        <v>83</v>
      </c>
      <c r="D38" s="63" t="s">
        <v>9</v>
      </c>
      <c r="E38" s="63" t="s">
        <v>160</v>
      </c>
      <c r="F38" s="66" t="s">
        <v>159</v>
      </c>
      <c r="G38" s="67">
        <v>57</v>
      </c>
      <c r="H38" s="67">
        <v>183</v>
      </c>
      <c r="I38" s="67">
        <v>179</v>
      </c>
      <c r="J38" s="68">
        <v>178</v>
      </c>
      <c r="K38" s="73">
        <v>3.14035087719298</v>
      </c>
      <c r="L38" s="68">
        <v>3.12280701754386</v>
      </c>
      <c r="M38" s="69">
        <v>30585.08</v>
      </c>
      <c r="N38" s="68">
        <v>0</v>
      </c>
      <c r="O38" s="67">
        <v>563</v>
      </c>
      <c r="P38" s="68">
        <v>2585.7</v>
      </c>
    </row>
    <row r="39" spans="1:16">
      <c r="A39" s="63" t="s">
        <v>190</v>
      </c>
      <c r="B39" s="63" t="s">
        <v>82</v>
      </c>
      <c r="C39" s="63" t="s">
        <v>83</v>
      </c>
      <c r="D39" s="63" t="s">
        <v>5</v>
      </c>
      <c r="E39" s="63" t="s">
        <v>161</v>
      </c>
      <c r="F39" s="66" t="s">
        <v>159</v>
      </c>
      <c r="G39" s="67">
        <v>48</v>
      </c>
      <c r="H39" s="67">
        <v>278</v>
      </c>
      <c r="I39" s="67">
        <v>277</v>
      </c>
      <c r="J39" s="68">
        <v>273</v>
      </c>
      <c r="K39" s="73">
        <v>5.77083333333333</v>
      </c>
      <c r="L39" s="68">
        <v>5.6875</v>
      </c>
      <c r="M39" s="69">
        <v>33152.89</v>
      </c>
      <c r="N39" s="68">
        <v>5</v>
      </c>
      <c r="O39" s="67">
        <v>786</v>
      </c>
      <c r="P39" s="68">
        <v>2573.34</v>
      </c>
    </row>
    <row r="40" spans="1:16">
      <c r="A40" s="63" t="s">
        <v>190</v>
      </c>
      <c r="B40" s="63" t="s">
        <v>82</v>
      </c>
      <c r="C40" s="63" t="s">
        <v>83</v>
      </c>
      <c r="D40" s="63" t="s">
        <v>4</v>
      </c>
      <c r="E40" s="63" t="s">
        <v>162</v>
      </c>
      <c r="F40" s="66" t="s">
        <v>159</v>
      </c>
      <c r="G40" s="67">
        <v>36</v>
      </c>
      <c r="H40" s="67">
        <v>116</v>
      </c>
      <c r="I40" s="67">
        <v>110</v>
      </c>
      <c r="J40" s="68">
        <v>108</v>
      </c>
      <c r="K40" s="73">
        <v>3.05555555555556</v>
      </c>
      <c r="L40" s="68">
        <v>3</v>
      </c>
      <c r="M40" s="69">
        <v>12901.9</v>
      </c>
      <c r="N40" s="68">
        <v>16</v>
      </c>
      <c r="O40" s="67">
        <v>260</v>
      </c>
      <c r="P40" s="68">
        <v>1320.91</v>
      </c>
    </row>
    <row r="41" spans="1:16">
      <c r="A41" s="63" t="s">
        <v>190</v>
      </c>
      <c r="B41" s="63" t="s">
        <v>82</v>
      </c>
      <c r="C41" s="63" t="s">
        <v>83</v>
      </c>
      <c r="D41" s="63" t="s">
        <v>7</v>
      </c>
      <c r="E41" s="63" t="s">
        <v>163</v>
      </c>
      <c r="F41" s="66" t="s">
        <v>159</v>
      </c>
      <c r="G41" s="67">
        <v>55</v>
      </c>
      <c r="H41" s="67">
        <v>305</v>
      </c>
      <c r="I41" s="67">
        <v>301</v>
      </c>
      <c r="J41" s="68">
        <v>294</v>
      </c>
      <c r="K41" s="73">
        <v>5.47272727272727</v>
      </c>
      <c r="L41" s="68">
        <v>5.34545454545455</v>
      </c>
      <c r="M41" s="69">
        <v>36192.71</v>
      </c>
      <c r="N41" s="68">
        <v>11</v>
      </c>
      <c r="O41" s="67">
        <v>696</v>
      </c>
      <c r="P41" s="68">
        <v>2119.24</v>
      </c>
    </row>
    <row r="42" spans="1:16">
      <c r="A42" s="63" t="s">
        <v>190</v>
      </c>
      <c r="B42" s="63" t="s">
        <v>82</v>
      </c>
      <c r="C42" s="63" t="s">
        <v>83</v>
      </c>
      <c r="D42" s="63" t="s">
        <v>8</v>
      </c>
      <c r="E42" s="63" t="s">
        <v>164</v>
      </c>
      <c r="F42" s="66" t="s">
        <v>159</v>
      </c>
      <c r="G42" s="67">
        <v>56</v>
      </c>
      <c r="H42" s="67">
        <v>123</v>
      </c>
      <c r="I42" s="67">
        <v>116</v>
      </c>
      <c r="J42" s="68">
        <v>115</v>
      </c>
      <c r="K42" s="73">
        <v>2.07142857142857</v>
      </c>
      <c r="L42" s="68">
        <v>2.05357142857143</v>
      </c>
      <c r="M42" s="69">
        <v>16429.3</v>
      </c>
      <c r="N42" s="68">
        <v>0</v>
      </c>
      <c r="O42" s="67">
        <v>332</v>
      </c>
      <c r="P42" s="68">
        <v>1074.75</v>
      </c>
    </row>
    <row r="43" spans="1:16">
      <c r="A43" s="63" t="s">
        <v>190</v>
      </c>
      <c r="B43" s="63" t="s">
        <v>82</v>
      </c>
      <c r="C43" s="63" t="s">
        <v>83</v>
      </c>
      <c r="D43" s="63" t="s">
        <v>6</v>
      </c>
      <c r="E43" s="63" t="s">
        <v>165</v>
      </c>
      <c r="F43" s="66" t="s">
        <v>159</v>
      </c>
      <c r="G43" s="67">
        <v>70</v>
      </c>
      <c r="H43" s="67">
        <v>273</v>
      </c>
      <c r="I43" s="67">
        <v>267</v>
      </c>
      <c r="J43" s="68">
        <v>269</v>
      </c>
      <c r="K43" s="73">
        <v>3.81428571428571</v>
      </c>
      <c r="L43" s="68">
        <v>3.84285714285714</v>
      </c>
      <c r="M43" s="69">
        <v>29930.93</v>
      </c>
      <c r="N43" s="68">
        <v>6</v>
      </c>
      <c r="O43" s="67">
        <v>684</v>
      </c>
      <c r="P43" s="68">
        <v>1830.15</v>
      </c>
    </row>
    <row r="44" spans="1:16">
      <c r="A44" s="63" t="s">
        <v>191</v>
      </c>
      <c r="B44" s="63" t="s">
        <v>82</v>
      </c>
      <c r="C44" s="63" t="s">
        <v>83</v>
      </c>
      <c r="D44" s="63" t="s">
        <v>3</v>
      </c>
      <c r="E44" s="63" t="s">
        <v>158</v>
      </c>
      <c r="F44" s="66" t="s">
        <v>148</v>
      </c>
      <c r="G44" s="67">
        <v>53</v>
      </c>
      <c r="H44" s="67">
        <v>242</v>
      </c>
      <c r="I44" s="67">
        <v>238</v>
      </c>
      <c r="J44" s="68">
        <v>232</v>
      </c>
      <c r="K44" s="73">
        <v>4.49056603773585</v>
      </c>
      <c r="L44" s="68">
        <v>4.37735849056604</v>
      </c>
      <c r="M44" s="69">
        <v>36456.7</v>
      </c>
      <c r="N44" s="68">
        <v>0</v>
      </c>
      <c r="O44" s="67">
        <v>691</v>
      </c>
      <c r="P44" s="68">
        <v>2519.03999999999</v>
      </c>
    </row>
    <row r="45" spans="1:16">
      <c r="A45" s="63" t="s">
        <v>191</v>
      </c>
      <c r="B45" s="63" t="s">
        <v>82</v>
      </c>
      <c r="C45" s="63" t="s">
        <v>83</v>
      </c>
      <c r="D45" s="63" t="s">
        <v>9</v>
      </c>
      <c r="E45" s="63" t="s">
        <v>160</v>
      </c>
      <c r="F45" s="66" t="s">
        <v>148</v>
      </c>
      <c r="G45" s="67">
        <v>57</v>
      </c>
      <c r="H45" s="67">
        <v>215</v>
      </c>
      <c r="I45" s="67">
        <v>213</v>
      </c>
      <c r="J45" s="68">
        <v>211</v>
      </c>
      <c r="K45" s="73">
        <v>3.73684210526316</v>
      </c>
      <c r="L45" s="68">
        <v>3.70175438596491</v>
      </c>
      <c r="M45" s="69">
        <v>35672.78</v>
      </c>
      <c r="N45" s="68">
        <v>0</v>
      </c>
      <c r="O45" s="67">
        <v>632</v>
      </c>
      <c r="P45" s="68">
        <v>2108.34999999999</v>
      </c>
    </row>
    <row r="46" spans="1:16">
      <c r="A46" s="63" t="s">
        <v>191</v>
      </c>
      <c r="B46" s="63" t="s">
        <v>82</v>
      </c>
      <c r="C46" s="63" t="s">
        <v>83</v>
      </c>
      <c r="D46" s="63" t="s">
        <v>5</v>
      </c>
      <c r="E46" s="63" t="s">
        <v>161</v>
      </c>
      <c r="F46" s="66" t="s">
        <v>148</v>
      </c>
      <c r="G46" s="67">
        <v>48</v>
      </c>
      <c r="H46" s="67">
        <v>388</v>
      </c>
      <c r="I46" s="67">
        <v>386</v>
      </c>
      <c r="J46" s="68">
        <v>382</v>
      </c>
      <c r="K46" s="73">
        <v>8.04166666666667</v>
      </c>
      <c r="L46" s="68">
        <v>7.95833333333333</v>
      </c>
      <c r="M46" s="69">
        <v>45277.67</v>
      </c>
      <c r="N46" s="68">
        <v>8</v>
      </c>
      <c r="O46" s="67">
        <v>1218</v>
      </c>
      <c r="P46" s="68">
        <v>3356.11000000003</v>
      </c>
    </row>
    <row r="47" spans="1:16">
      <c r="A47" s="63" t="s">
        <v>191</v>
      </c>
      <c r="B47" s="63" t="s">
        <v>82</v>
      </c>
      <c r="C47" s="63" t="s">
        <v>83</v>
      </c>
      <c r="D47" s="63" t="s">
        <v>4</v>
      </c>
      <c r="E47" s="63" t="s">
        <v>162</v>
      </c>
      <c r="F47" s="66" t="s">
        <v>148</v>
      </c>
      <c r="G47" s="67">
        <v>36</v>
      </c>
      <c r="H47" s="67">
        <v>161</v>
      </c>
      <c r="I47" s="67">
        <v>158</v>
      </c>
      <c r="J47" s="68">
        <v>156</v>
      </c>
      <c r="K47" s="73">
        <v>4.38888888888889</v>
      </c>
      <c r="L47" s="68">
        <v>4.33333333333333</v>
      </c>
      <c r="M47" s="69">
        <v>22347.55</v>
      </c>
      <c r="N47" s="68">
        <v>8</v>
      </c>
      <c r="O47" s="67">
        <v>416</v>
      </c>
      <c r="P47" s="68">
        <v>974.660000000008</v>
      </c>
    </row>
    <row r="48" spans="1:16">
      <c r="A48" s="63" t="s">
        <v>191</v>
      </c>
      <c r="B48" s="63" t="s">
        <v>82</v>
      </c>
      <c r="C48" s="63" t="s">
        <v>83</v>
      </c>
      <c r="D48" s="63" t="s">
        <v>7</v>
      </c>
      <c r="E48" s="63" t="s">
        <v>163</v>
      </c>
      <c r="F48" s="66" t="s">
        <v>148</v>
      </c>
      <c r="G48" s="67">
        <v>55</v>
      </c>
      <c r="H48" s="67">
        <v>324</v>
      </c>
      <c r="I48" s="67">
        <v>321</v>
      </c>
      <c r="J48" s="68">
        <v>318</v>
      </c>
      <c r="K48" s="73">
        <v>5.83636363636364</v>
      </c>
      <c r="L48" s="68">
        <v>5.78181818181818</v>
      </c>
      <c r="M48" s="69">
        <v>38198.28</v>
      </c>
      <c r="N48" s="68">
        <v>18</v>
      </c>
      <c r="O48" s="67">
        <v>765</v>
      </c>
      <c r="P48" s="68">
        <v>2567.63</v>
      </c>
    </row>
    <row r="49" spans="1:16">
      <c r="A49" s="63" t="s">
        <v>191</v>
      </c>
      <c r="B49" s="63" t="s">
        <v>82</v>
      </c>
      <c r="C49" s="63" t="s">
        <v>83</v>
      </c>
      <c r="D49" s="63" t="s">
        <v>8</v>
      </c>
      <c r="E49" s="63" t="s">
        <v>164</v>
      </c>
      <c r="F49" s="66" t="s">
        <v>148</v>
      </c>
      <c r="G49" s="67">
        <v>56</v>
      </c>
      <c r="H49" s="67">
        <v>172</v>
      </c>
      <c r="I49" s="67">
        <v>168</v>
      </c>
      <c r="J49" s="68">
        <v>167</v>
      </c>
      <c r="K49" s="73">
        <v>3</v>
      </c>
      <c r="L49" s="68">
        <v>2.98214285714286</v>
      </c>
      <c r="M49" s="69">
        <v>22699.2</v>
      </c>
      <c r="N49" s="68">
        <v>0</v>
      </c>
      <c r="O49" s="67">
        <v>465</v>
      </c>
      <c r="P49" s="68">
        <v>1526.2</v>
      </c>
    </row>
    <row r="50" spans="1:16">
      <c r="A50" s="63" t="s">
        <v>191</v>
      </c>
      <c r="B50" s="63" t="s">
        <v>82</v>
      </c>
      <c r="C50" s="63" t="s">
        <v>83</v>
      </c>
      <c r="D50" s="63" t="s">
        <v>6</v>
      </c>
      <c r="E50" s="63" t="s">
        <v>165</v>
      </c>
      <c r="F50" s="66" t="s">
        <v>148</v>
      </c>
      <c r="G50" s="67">
        <v>70</v>
      </c>
      <c r="H50" s="67">
        <v>486</v>
      </c>
      <c r="I50" s="67">
        <v>483</v>
      </c>
      <c r="J50" s="68">
        <v>482</v>
      </c>
      <c r="K50" s="73">
        <v>6.9</v>
      </c>
      <c r="L50" s="68">
        <v>6.88571428571429</v>
      </c>
      <c r="M50" s="69">
        <v>55546.02</v>
      </c>
      <c r="N50" s="68">
        <v>3</v>
      </c>
      <c r="O50" s="67">
        <v>1312</v>
      </c>
      <c r="P50" s="68">
        <v>3289.83999999999</v>
      </c>
    </row>
    <row r="51" spans="1:16">
      <c r="A51" s="63" t="s">
        <v>192</v>
      </c>
      <c r="B51" s="63" t="s">
        <v>82</v>
      </c>
      <c r="C51" s="63" t="s">
        <v>83</v>
      </c>
      <c r="D51" s="63" t="s">
        <v>3</v>
      </c>
      <c r="E51" s="63" t="s">
        <v>158</v>
      </c>
      <c r="F51" s="66" t="s">
        <v>148</v>
      </c>
      <c r="G51" s="67">
        <v>53</v>
      </c>
      <c r="H51" s="67">
        <v>268</v>
      </c>
      <c r="I51" s="67">
        <v>260</v>
      </c>
      <c r="J51" s="68">
        <v>259</v>
      </c>
      <c r="K51" s="73">
        <v>4.90566037735849</v>
      </c>
      <c r="L51" s="68">
        <v>4.88679245283019</v>
      </c>
      <c r="M51" s="69">
        <v>43519.55</v>
      </c>
      <c r="N51" s="68">
        <v>5</v>
      </c>
      <c r="O51" s="67">
        <v>755</v>
      </c>
      <c r="P51" s="68">
        <v>2182.42000000001</v>
      </c>
    </row>
    <row r="52" spans="1:16">
      <c r="A52" s="63" t="s">
        <v>192</v>
      </c>
      <c r="B52" s="63" t="s">
        <v>82</v>
      </c>
      <c r="C52" s="63" t="s">
        <v>83</v>
      </c>
      <c r="D52" s="63" t="s">
        <v>9</v>
      </c>
      <c r="E52" s="63" t="s">
        <v>160</v>
      </c>
      <c r="F52" s="66" t="s">
        <v>148</v>
      </c>
      <c r="G52" s="67">
        <v>57</v>
      </c>
      <c r="H52" s="67">
        <v>238</v>
      </c>
      <c r="I52" s="67">
        <v>236</v>
      </c>
      <c r="J52" s="68">
        <v>233</v>
      </c>
      <c r="K52" s="73">
        <v>4.14035087719298</v>
      </c>
      <c r="L52" s="68">
        <v>4.08771929824561</v>
      </c>
      <c r="M52" s="69">
        <v>41265.82</v>
      </c>
      <c r="N52" s="68">
        <v>0</v>
      </c>
      <c r="O52" s="67">
        <v>738</v>
      </c>
      <c r="P52" s="68">
        <v>1798.24999999999</v>
      </c>
    </row>
    <row r="53" spans="1:16">
      <c r="A53" s="63" t="s">
        <v>192</v>
      </c>
      <c r="B53" s="63" t="s">
        <v>82</v>
      </c>
      <c r="C53" s="63" t="s">
        <v>83</v>
      </c>
      <c r="D53" s="63" t="s">
        <v>5</v>
      </c>
      <c r="E53" s="63" t="s">
        <v>161</v>
      </c>
      <c r="F53" s="66" t="s">
        <v>148</v>
      </c>
      <c r="G53" s="67">
        <v>48</v>
      </c>
      <c r="H53" s="67">
        <v>312</v>
      </c>
      <c r="I53" s="67">
        <v>309</v>
      </c>
      <c r="J53" s="68">
        <v>305</v>
      </c>
      <c r="K53" s="73">
        <v>6.4375</v>
      </c>
      <c r="L53" s="68">
        <v>6.35416666666667</v>
      </c>
      <c r="M53" s="69">
        <v>49334.39</v>
      </c>
      <c r="N53" s="68">
        <v>4</v>
      </c>
      <c r="O53" s="67">
        <v>972</v>
      </c>
      <c r="P53" s="68">
        <v>2619.60999999999</v>
      </c>
    </row>
    <row r="54" spans="1:16">
      <c r="A54" s="63" t="s">
        <v>192</v>
      </c>
      <c r="B54" s="63" t="s">
        <v>82</v>
      </c>
      <c r="C54" s="63" t="s">
        <v>83</v>
      </c>
      <c r="D54" s="63" t="s">
        <v>4</v>
      </c>
      <c r="E54" s="63" t="s">
        <v>162</v>
      </c>
      <c r="F54" s="66" t="s">
        <v>148</v>
      </c>
      <c r="G54" s="67">
        <v>36</v>
      </c>
      <c r="H54" s="67">
        <v>139</v>
      </c>
      <c r="I54" s="67">
        <v>135</v>
      </c>
      <c r="J54" s="68">
        <v>135</v>
      </c>
      <c r="K54" s="73">
        <v>3.75</v>
      </c>
      <c r="L54" s="68">
        <v>3.75</v>
      </c>
      <c r="M54" s="69">
        <v>21779.5</v>
      </c>
      <c r="N54" s="68">
        <v>12</v>
      </c>
      <c r="O54" s="67">
        <v>345</v>
      </c>
      <c r="P54" s="68">
        <v>723.290000000013</v>
      </c>
    </row>
    <row r="55" spans="1:16">
      <c r="A55" s="63" t="s">
        <v>192</v>
      </c>
      <c r="B55" s="63" t="s">
        <v>82</v>
      </c>
      <c r="C55" s="63" t="s">
        <v>83</v>
      </c>
      <c r="D55" s="63" t="s">
        <v>7</v>
      </c>
      <c r="E55" s="63" t="s">
        <v>163</v>
      </c>
      <c r="F55" s="66" t="s">
        <v>148</v>
      </c>
      <c r="G55" s="67">
        <v>55</v>
      </c>
      <c r="H55" s="67">
        <v>313</v>
      </c>
      <c r="I55" s="67">
        <v>311</v>
      </c>
      <c r="J55" s="68">
        <v>306</v>
      </c>
      <c r="K55" s="73">
        <v>5.65454545454545</v>
      </c>
      <c r="L55" s="68">
        <v>5.56363636363636</v>
      </c>
      <c r="M55" s="69">
        <v>44063.35</v>
      </c>
      <c r="N55" s="68">
        <v>17</v>
      </c>
      <c r="O55" s="67">
        <v>755</v>
      </c>
      <c r="P55" s="68">
        <v>1541.46999999996</v>
      </c>
    </row>
    <row r="56" spans="1:16">
      <c r="A56" s="63" t="s">
        <v>192</v>
      </c>
      <c r="B56" s="63" t="s">
        <v>82</v>
      </c>
      <c r="C56" s="63" t="s">
        <v>83</v>
      </c>
      <c r="D56" s="63" t="s">
        <v>8</v>
      </c>
      <c r="E56" s="63" t="s">
        <v>164</v>
      </c>
      <c r="F56" s="66" t="s">
        <v>148</v>
      </c>
      <c r="G56" s="67">
        <v>56</v>
      </c>
      <c r="H56" s="67">
        <v>199</v>
      </c>
      <c r="I56" s="67">
        <v>197</v>
      </c>
      <c r="J56" s="68">
        <v>196</v>
      </c>
      <c r="K56" s="73">
        <v>3.51785714285714</v>
      </c>
      <c r="L56" s="68">
        <v>3.5</v>
      </c>
      <c r="M56" s="69">
        <v>29913</v>
      </c>
      <c r="N56" s="68">
        <v>0</v>
      </c>
      <c r="O56" s="67">
        <v>591</v>
      </c>
      <c r="P56" s="68">
        <v>1769.5</v>
      </c>
    </row>
    <row r="57" spans="1:16">
      <c r="A57" s="63" t="s">
        <v>192</v>
      </c>
      <c r="B57" s="63" t="s">
        <v>82</v>
      </c>
      <c r="C57" s="63" t="s">
        <v>83</v>
      </c>
      <c r="D57" s="63" t="s">
        <v>6</v>
      </c>
      <c r="E57" s="63" t="s">
        <v>165</v>
      </c>
      <c r="F57" s="66" t="s">
        <v>148</v>
      </c>
      <c r="G57" s="67">
        <v>70</v>
      </c>
      <c r="H57" s="67">
        <v>326</v>
      </c>
      <c r="I57" s="67">
        <v>324</v>
      </c>
      <c r="J57" s="68">
        <v>322</v>
      </c>
      <c r="K57" s="73">
        <v>4.62857142857143</v>
      </c>
      <c r="L57" s="68">
        <v>4.6</v>
      </c>
      <c r="M57" s="69">
        <v>52428.85</v>
      </c>
      <c r="N57" s="68">
        <v>6</v>
      </c>
      <c r="O57" s="67">
        <v>929</v>
      </c>
      <c r="P57" s="68">
        <v>2241.71999999996</v>
      </c>
    </row>
    <row r="58" spans="1:16">
      <c r="A58" s="63" t="s">
        <v>193</v>
      </c>
      <c r="B58" s="63" t="s">
        <v>82</v>
      </c>
      <c r="C58" s="63" t="s">
        <v>83</v>
      </c>
      <c r="D58" s="63" t="s">
        <v>3</v>
      </c>
      <c r="E58" s="63" t="s">
        <v>158</v>
      </c>
      <c r="F58" s="66" t="s">
        <v>148</v>
      </c>
      <c r="G58" s="67">
        <v>53</v>
      </c>
      <c r="H58" s="67">
        <v>272</v>
      </c>
      <c r="I58" s="67">
        <v>268</v>
      </c>
      <c r="J58" s="68">
        <v>268</v>
      </c>
      <c r="K58" s="73">
        <v>5.05660377358491</v>
      </c>
      <c r="L58" s="68">
        <v>5.05660377358491</v>
      </c>
      <c r="M58" s="69">
        <v>45328.6</v>
      </c>
      <c r="N58" s="68">
        <v>1</v>
      </c>
      <c r="O58" s="67">
        <v>812</v>
      </c>
      <c r="P58" s="68">
        <v>2262.27000000003</v>
      </c>
    </row>
    <row r="59" spans="1:16">
      <c r="A59" s="63" t="s">
        <v>193</v>
      </c>
      <c r="B59" s="63" t="s">
        <v>82</v>
      </c>
      <c r="C59" s="63" t="s">
        <v>83</v>
      </c>
      <c r="D59" s="63" t="s">
        <v>9</v>
      </c>
      <c r="E59" s="63" t="s">
        <v>160</v>
      </c>
      <c r="F59" s="66" t="s">
        <v>148</v>
      </c>
      <c r="G59" s="67">
        <v>57</v>
      </c>
      <c r="H59" s="67">
        <v>234</v>
      </c>
      <c r="I59" s="67">
        <v>232</v>
      </c>
      <c r="J59" s="68">
        <v>233</v>
      </c>
      <c r="K59" s="73">
        <v>4.07017543859649</v>
      </c>
      <c r="L59" s="68">
        <v>4.08771929824561</v>
      </c>
      <c r="M59" s="69">
        <v>40942.69</v>
      </c>
      <c r="N59" s="68">
        <v>0</v>
      </c>
      <c r="O59" s="67">
        <v>749</v>
      </c>
      <c r="P59" s="68">
        <v>1947.82999999999</v>
      </c>
    </row>
    <row r="60" spans="1:16">
      <c r="A60" s="63" t="s">
        <v>193</v>
      </c>
      <c r="B60" s="63" t="s">
        <v>82</v>
      </c>
      <c r="C60" s="63" t="s">
        <v>83</v>
      </c>
      <c r="D60" s="63" t="s">
        <v>5</v>
      </c>
      <c r="E60" s="63" t="s">
        <v>161</v>
      </c>
      <c r="F60" s="66" t="s">
        <v>148</v>
      </c>
      <c r="G60" s="67">
        <v>48</v>
      </c>
      <c r="H60" s="67">
        <v>304</v>
      </c>
      <c r="I60" s="67">
        <v>302</v>
      </c>
      <c r="J60" s="68">
        <v>299</v>
      </c>
      <c r="K60" s="73">
        <v>6.29166666666667</v>
      </c>
      <c r="L60" s="68">
        <v>6.22916666666667</v>
      </c>
      <c r="M60" s="69">
        <v>46899.45</v>
      </c>
      <c r="N60" s="68">
        <v>4</v>
      </c>
      <c r="O60" s="67">
        <v>964</v>
      </c>
      <c r="P60" s="68">
        <v>2146.07000000003</v>
      </c>
    </row>
    <row r="61" spans="1:16">
      <c r="A61" s="63" t="s">
        <v>193</v>
      </c>
      <c r="B61" s="63" t="s">
        <v>82</v>
      </c>
      <c r="C61" s="63" t="s">
        <v>83</v>
      </c>
      <c r="D61" s="63" t="s">
        <v>4</v>
      </c>
      <c r="E61" s="63" t="s">
        <v>162</v>
      </c>
      <c r="F61" s="66" t="s">
        <v>148</v>
      </c>
      <c r="G61" s="67">
        <v>36</v>
      </c>
      <c r="H61" s="67">
        <v>135</v>
      </c>
      <c r="I61" s="67">
        <v>132</v>
      </c>
      <c r="J61" s="68">
        <v>129</v>
      </c>
      <c r="K61" s="73">
        <v>3.66666666666667</v>
      </c>
      <c r="L61" s="68">
        <v>3.58333333333333</v>
      </c>
      <c r="M61" s="69">
        <v>21096.55</v>
      </c>
      <c r="N61" s="68">
        <v>9</v>
      </c>
      <c r="O61" s="67">
        <v>355</v>
      </c>
      <c r="P61" s="68">
        <v>1143.83000000001</v>
      </c>
    </row>
    <row r="62" s="71" customFormat="1" spans="1:16">
      <c r="A62" s="63" t="s">
        <v>193</v>
      </c>
      <c r="B62" s="63" t="s">
        <v>82</v>
      </c>
      <c r="C62" s="63" t="s">
        <v>83</v>
      </c>
      <c r="D62" s="63" t="s">
        <v>7</v>
      </c>
      <c r="E62" s="63" t="s">
        <v>163</v>
      </c>
      <c r="F62" s="66" t="s">
        <v>148</v>
      </c>
      <c r="G62" s="67">
        <v>55</v>
      </c>
      <c r="H62" s="67">
        <v>313</v>
      </c>
      <c r="I62" s="67">
        <v>311</v>
      </c>
      <c r="J62" s="68">
        <v>306</v>
      </c>
      <c r="K62" s="73">
        <v>5.65454545454545</v>
      </c>
      <c r="L62" s="68">
        <v>5.56363636363636</v>
      </c>
      <c r="M62" s="69">
        <v>39069.55</v>
      </c>
      <c r="N62" s="68">
        <v>32</v>
      </c>
      <c r="O62" s="67">
        <v>701</v>
      </c>
      <c r="P62" s="68">
        <v>1258.76999999999</v>
      </c>
    </row>
    <row r="63" s="71" customFormat="1" spans="1:16">
      <c r="A63" s="63" t="s">
        <v>193</v>
      </c>
      <c r="B63" s="63" t="s">
        <v>82</v>
      </c>
      <c r="C63" s="63" t="s">
        <v>83</v>
      </c>
      <c r="D63" s="63" t="s">
        <v>8</v>
      </c>
      <c r="E63" s="63" t="s">
        <v>164</v>
      </c>
      <c r="F63" s="66" t="s">
        <v>148</v>
      </c>
      <c r="G63" s="67">
        <v>56</v>
      </c>
      <c r="H63" s="67">
        <v>196</v>
      </c>
      <c r="I63" s="67">
        <v>188</v>
      </c>
      <c r="J63" s="68">
        <v>188</v>
      </c>
      <c r="K63" s="73">
        <v>3.35714285714286</v>
      </c>
      <c r="L63" s="68">
        <v>3.35714285714286</v>
      </c>
      <c r="M63" s="69">
        <v>27412.3</v>
      </c>
      <c r="N63" s="68">
        <v>0</v>
      </c>
      <c r="O63" s="67">
        <v>570</v>
      </c>
      <c r="P63" s="68">
        <v>1838.60000000002</v>
      </c>
    </row>
    <row r="64" s="71" customFormat="1" spans="1:16">
      <c r="A64" s="63" t="s">
        <v>193</v>
      </c>
      <c r="B64" s="63" t="s">
        <v>82</v>
      </c>
      <c r="C64" s="63" t="s">
        <v>83</v>
      </c>
      <c r="D64" s="63" t="s">
        <v>6</v>
      </c>
      <c r="E64" s="63" t="s">
        <v>165</v>
      </c>
      <c r="F64" s="66" t="s">
        <v>148</v>
      </c>
      <c r="G64" s="67">
        <v>70</v>
      </c>
      <c r="H64" s="67">
        <v>351</v>
      </c>
      <c r="I64" s="67">
        <v>350</v>
      </c>
      <c r="J64" s="68">
        <v>348</v>
      </c>
      <c r="K64" s="73">
        <v>5</v>
      </c>
      <c r="L64" s="68">
        <v>4.97142857142857</v>
      </c>
      <c r="M64" s="69">
        <v>51941.6</v>
      </c>
      <c r="N64" s="68">
        <v>4</v>
      </c>
      <c r="O64" s="67">
        <v>1039</v>
      </c>
      <c r="P64" s="68">
        <v>2154.84000000002</v>
      </c>
    </row>
    <row r="65" s="71" customFormat="1" spans="1:16">
      <c r="A65" s="63" t="s">
        <v>194</v>
      </c>
      <c r="B65" s="63" t="s">
        <v>82</v>
      </c>
      <c r="C65" s="63" t="s">
        <v>83</v>
      </c>
      <c r="D65" s="63" t="s">
        <v>3</v>
      </c>
      <c r="E65" s="63" t="s">
        <v>158</v>
      </c>
      <c r="F65" s="66" t="s">
        <v>159</v>
      </c>
      <c r="G65" s="67">
        <v>53</v>
      </c>
      <c r="H65" s="67">
        <v>225</v>
      </c>
      <c r="I65" s="67">
        <v>219</v>
      </c>
      <c r="J65" s="68">
        <v>214</v>
      </c>
      <c r="K65" s="73">
        <v>4.13207547169811</v>
      </c>
      <c r="L65" s="68">
        <v>4.0377358490566</v>
      </c>
      <c r="M65" s="69">
        <v>29077.85</v>
      </c>
      <c r="N65" s="68">
        <v>3</v>
      </c>
      <c r="O65" s="67">
        <v>604</v>
      </c>
      <c r="P65" s="68">
        <v>1660.89000000001</v>
      </c>
    </row>
    <row r="66" s="71" customFormat="1" spans="1:16">
      <c r="A66" s="63" t="s">
        <v>194</v>
      </c>
      <c r="B66" s="63" t="s">
        <v>82</v>
      </c>
      <c r="C66" s="63" t="s">
        <v>83</v>
      </c>
      <c r="D66" s="63" t="s">
        <v>9</v>
      </c>
      <c r="E66" s="63" t="s">
        <v>160</v>
      </c>
      <c r="F66" s="66" t="s">
        <v>159</v>
      </c>
      <c r="G66" s="67">
        <v>57</v>
      </c>
      <c r="H66" s="67">
        <v>174</v>
      </c>
      <c r="I66" s="67">
        <v>172</v>
      </c>
      <c r="J66" s="68">
        <v>173</v>
      </c>
      <c r="K66" s="73">
        <v>3.01754385964912</v>
      </c>
      <c r="L66" s="68">
        <v>3.03508771929825</v>
      </c>
      <c r="M66" s="69">
        <v>25071.06</v>
      </c>
      <c r="N66" s="68">
        <v>0</v>
      </c>
      <c r="O66" s="67">
        <v>465</v>
      </c>
      <c r="P66" s="68">
        <v>2335.43999999999</v>
      </c>
    </row>
    <row r="67" s="71" customFormat="1" spans="1:16">
      <c r="A67" s="63" t="s">
        <v>194</v>
      </c>
      <c r="B67" s="63" t="s">
        <v>82</v>
      </c>
      <c r="C67" s="63" t="s">
        <v>83</v>
      </c>
      <c r="D67" s="63" t="s">
        <v>5</v>
      </c>
      <c r="E67" s="63" t="s">
        <v>161</v>
      </c>
      <c r="F67" s="66" t="s">
        <v>159</v>
      </c>
      <c r="G67" s="67">
        <v>48</v>
      </c>
      <c r="H67" s="67">
        <v>273</v>
      </c>
      <c r="I67" s="67">
        <v>271</v>
      </c>
      <c r="J67" s="68">
        <v>266</v>
      </c>
      <c r="K67" s="73">
        <v>5.64583333333333</v>
      </c>
      <c r="L67" s="68">
        <v>5.54166666666667</v>
      </c>
      <c r="M67" s="69">
        <v>29282.81</v>
      </c>
      <c r="N67" s="68">
        <v>4</v>
      </c>
      <c r="O67" s="67">
        <v>748</v>
      </c>
      <c r="P67" s="68">
        <v>1817.60999999999</v>
      </c>
    </row>
    <row r="68" s="71" customFormat="1" spans="1:16">
      <c r="A68" s="63" t="s">
        <v>194</v>
      </c>
      <c r="B68" s="63" t="s">
        <v>82</v>
      </c>
      <c r="C68" s="63" t="s">
        <v>83</v>
      </c>
      <c r="D68" s="63" t="s">
        <v>4</v>
      </c>
      <c r="E68" s="63" t="s">
        <v>162</v>
      </c>
      <c r="F68" s="66" t="s">
        <v>159</v>
      </c>
      <c r="G68" s="67">
        <v>36</v>
      </c>
      <c r="H68" s="67">
        <v>93</v>
      </c>
      <c r="I68" s="67">
        <v>90</v>
      </c>
      <c r="J68" s="68">
        <v>87</v>
      </c>
      <c r="K68" s="73">
        <v>2.5</v>
      </c>
      <c r="L68" s="68">
        <v>2.41666666666667</v>
      </c>
      <c r="M68" s="69">
        <v>11159.8</v>
      </c>
      <c r="N68" s="68">
        <v>9</v>
      </c>
      <c r="O68" s="67">
        <v>226</v>
      </c>
      <c r="P68" s="68">
        <v>988.069999999998</v>
      </c>
    </row>
    <row r="69" s="71" customFormat="1" spans="1:16">
      <c r="A69" s="63" t="s">
        <v>194</v>
      </c>
      <c r="B69" s="63" t="s">
        <v>82</v>
      </c>
      <c r="C69" s="63" t="s">
        <v>83</v>
      </c>
      <c r="D69" s="63" t="s">
        <v>7</v>
      </c>
      <c r="E69" s="63" t="s">
        <v>163</v>
      </c>
      <c r="F69" s="66" t="s">
        <v>159</v>
      </c>
      <c r="G69" s="67">
        <v>55</v>
      </c>
      <c r="H69" s="67">
        <v>296</v>
      </c>
      <c r="I69" s="67">
        <v>293</v>
      </c>
      <c r="J69" s="68">
        <v>290</v>
      </c>
      <c r="K69" s="73">
        <v>5.32727272727273</v>
      </c>
      <c r="L69" s="68">
        <v>5.27272727272727</v>
      </c>
      <c r="M69" s="69">
        <v>32847.19</v>
      </c>
      <c r="N69" s="68">
        <v>41</v>
      </c>
      <c r="O69" s="67">
        <v>617</v>
      </c>
      <c r="P69" s="68">
        <v>1765.38000000001</v>
      </c>
    </row>
    <row r="70" s="71" customFormat="1" spans="1:16">
      <c r="A70" s="63" t="s">
        <v>194</v>
      </c>
      <c r="B70" s="63" t="s">
        <v>82</v>
      </c>
      <c r="C70" s="63" t="s">
        <v>83</v>
      </c>
      <c r="D70" s="63" t="s">
        <v>8</v>
      </c>
      <c r="E70" s="63" t="s">
        <v>164</v>
      </c>
      <c r="F70" s="66" t="s">
        <v>159</v>
      </c>
      <c r="G70" s="67">
        <v>56</v>
      </c>
      <c r="H70" s="67">
        <v>144</v>
      </c>
      <c r="I70" s="67">
        <v>139</v>
      </c>
      <c r="J70" s="68">
        <v>137</v>
      </c>
      <c r="K70" s="73">
        <v>2.48214285714286</v>
      </c>
      <c r="L70" s="68">
        <v>2.44642857142857</v>
      </c>
      <c r="M70" s="69">
        <v>17637.45</v>
      </c>
      <c r="N70" s="68">
        <v>0</v>
      </c>
      <c r="O70" s="67">
        <v>399</v>
      </c>
      <c r="P70" s="68">
        <v>1641.32</v>
      </c>
    </row>
    <row r="71" s="71" customFormat="1" spans="1:16">
      <c r="A71" s="63" t="s">
        <v>194</v>
      </c>
      <c r="B71" s="63" t="s">
        <v>82</v>
      </c>
      <c r="C71" s="63" t="s">
        <v>83</v>
      </c>
      <c r="D71" s="63" t="s">
        <v>6</v>
      </c>
      <c r="E71" s="63" t="s">
        <v>165</v>
      </c>
      <c r="F71" s="66" t="s">
        <v>159</v>
      </c>
      <c r="G71" s="67">
        <v>70</v>
      </c>
      <c r="H71" s="67">
        <v>285</v>
      </c>
      <c r="I71" s="67">
        <v>279</v>
      </c>
      <c r="J71" s="68">
        <v>280</v>
      </c>
      <c r="K71" s="73">
        <v>3.98571428571429</v>
      </c>
      <c r="L71" s="68">
        <v>4</v>
      </c>
      <c r="M71" s="69">
        <v>32281.25</v>
      </c>
      <c r="N71" s="68">
        <v>4</v>
      </c>
      <c r="O71" s="67">
        <v>764</v>
      </c>
      <c r="P71" s="68">
        <v>1912.48</v>
      </c>
    </row>
    <row r="72" spans="1:16">
      <c r="A72" s="63"/>
      <c r="B72" s="63"/>
      <c r="C72" s="63"/>
      <c r="D72" s="63"/>
      <c r="E72" s="63"/>
      <c r="F72" s="66"/>
      <c r="G72" s="67"/>
      <c r="H72" s="67"/>
      <c r="I72" s="67"/>
      <c r="J72" s="68"/>
      <c r="K72" s="73"/>
      <c r="L72" s="68"/>
      <c r="M72" s="69"/>
      <c r="N72" s="68"/>
      <c r="O72" s="67"/>
      <c r="P72" s="68"/>
    </row>
    <row r="73" spans="1:16">
      <c r="A73" s="63"/>
      <c r="B73" s="63"/>
      <c r="C73" s="63"/>
      <c r="D73" s="63"/>
      <c r="E73" s="63"/>
      <c r="F73" s="66"/>
      <c r="G73" s="67"/>
      <c r="H73" s="67"/>
      <c r="I73" s="67"/>
      <c r="J73" s="68"/>
      <c r="K73" s="73"/>
      <c r="L73" s="68"/>
      <c r="M73" s="69"/>
      <c r="N73" s="68"/>
      <c r="O73" s="67"/>
      <c r="P73" s="68"/>
    </row>
    <row r="74" spans="1:16">
      <c r="A74" s="63"/>
      <c r="B74" s="63"/>
      <c r="C74" s="63"/>
      <c r="D74" s="63"/>
      <c r="E74" s="63"/>
      <c r="F74" s="66"/>
      <c r="G74" s="67"/>
      <c r="H74" s="67"/>
      <c r="I74" s="67"/>
      <c r="J74" s="68"/>
      <c r="K74" s="73"/>
      <c r="L74" s="68"/>
      <c r="M74" s="69"/>
      <c r="N74" s="68"/>
      <c r="O74" s="67"/>
      <c r="P74" s="68"/>
    </row>
    <row r="75" spans="1:16">
      <c r="A75" s="63"/>
      <c r="B75" s="63"/>
      <c r="C75" s="63"/>
      <c r="D75" s="63"/>
      <c r="E75" s="63"/>
      <c r="F75" s="66"/>
      <c r="G75" s="67"/>
      <c r="H75" s="67"/>
      <c r="I75" s="67"/>
      <c r="J75" s="68"/>
      <c r="K75" s="73"/>
      <c r="L75" s="68"/>
      <c r="M75" s="69"/>
      <c r="N75" s="68"/>
      <c r="O75" s="67"/>
      <c r="P75" s="68"/>
    </row>
    <row r="76" spans="1:16">
      <c r="A76" s="63"/>
      <c r="B76" s="63"/>
      <c r="C76" s="63"/>
      <c r="D76" s="63"/>
      <c r="E76" s="63"/>
      <c r="F76" s="66"/>
      <c r="G76" s="67"/>
      <c r="H76" s="67"/>
      <c r="I76" s="67"/>
      <c r="J76" s="68"/>
      <c r="K76" s="73"/>
      <c r="L76" s="68"/>
      <c r="M76" s="69"/>
      <c r="N76" s="68"/>
      <c r="O76" s="67"/>
      <c r="P76" s="68"/>
    </row>
  </sheetData>
  <autoFilter xmlns:etc="http://www.wps.cn/officeDocument/2017/etCustomData" ref="A1:P71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V211"/>
  <sheetViews>
    <sheetView workbookViewId="0">
      <pane xSplit="4" ySplit="1" topLeftCell="I2" activePane="bottomRight" state="frozen"/>
      <selection/>
      <selection pane="topRight"/>
      <selection pane="bottomLeft"/>
      <selection pane="bottomRight" activeCell="V17" sqref="V17"/>
    </sheetView>
  </sheetViews>
  <sheetFormatPr defaultColWidth="19.3359375" defaultRowHeight="16.8"/>
  <cols>
    <col min="1" max="1" width="9.1640625" style="71" customWidth="1"/>
    <col min="2" max="2" width="9" style="71" customWidth="1"/>
    <col min="3" max="3" width="14.5859375" style="71" customWidth="1"/>
    <col min="4" max="5" width="12.6640625" style="71" customWidth="1"/>
    <col min="6" max="6" width="10.8359375" style="71" customWidth="1"/>
    <col min="7" max="7" width="14.5859375" style="71" customWidth="1"/>
    <col min="8" max="8" width="12.6640625" style="71" customWidth="1"/>
    <col min="9" max="9" width="23.6640625" style="71" customWidth="1"/>
    <col min="10" max="10" width="17.75" style="71" customWidth="1"/>
    <col min="11" max="11" width="21.6640625" style="71" customWidth="1"/>
    <col min="12" max="12" width="15.8359375" style="71" customWidth="1"/>
    <col min="13" max="13" width="17.75" style="71" customWidth="1"/>
    <col min="14" max="14" width="22.9140625" style="71" customWidth="1"/>
    <col min="15" max="15" width="8.5" style="71" customWidth="1"/>
    <col min="16" max="16" width="15.5859375" style="71" customWidth="1"/>
    <col min="17" max="17" width="19.3359375" style="71"/>
    <col min="18" max="18" width="10.4140625" style="71" customWidth="1"/>
    <col min="19" max="19" width="25.8359375" style="71" customWidth="1"/>
    <col min="20" max="20" width="19.9140625" style="71" customWidth="1"/>
    <col min="21" max="16384" width="19.3359375" style="71"/>
  </cols>
  <sheetData>
    <row r="1" spans="1:20">
      <c r="A1" s="47" t="s">
        <v>128</v>
      </c>
      <c r="B1" s="47" t="s">
        <v>61</v>
      </c>
      <c r="C1" s="47" t="s">
        <v>201</v>
      </c>
      <c r="D1" s="47" t="s">
        <v>108</v>
      </c>
      <c r="E1" s="47" t="s">
        <v>195</v>
      </c>
      <c r="F1" s="72" t="s">
        <v>148</v>
      </c>
      <c r="G1" s="47" t="s">
        <v>149</v>
      </c>
      <c r="H1" s="47" t="s">
        <v>150</v>
      </c>
      <c r="I1" s="47" t="s">
        <v>196</v>
      </c>
      <c r="J1" s="47" t="s">
        <v>151</v>
      </c>
      <c r="K1" s="47" t="s">
        <v>197</v>
      </c>
      <c r="L1" s="47" t="s">
        <v>152</v>
      </c>
      <c r="M1" s="47" t="s">
        <v>198</v>
      </c>
      <c r="N1" s="47" t="s">
        <v>154</v>
      </c>
      <c r="O1" s="47" t="s">
        <v>155</v>
      </c>
      <c r="P1" s="47" t="s">
        <v>199</v>
      </c>
      <c r="R1" t="s">
        <v>137</v>
      </c>
      <c r="S1" t="s">
        <v>202</v>
      </c>
      <c r="T1" t="s">
        <v>203</v>
      </c>
    </row>
    <row r="2" spans="1:20">
      <c r="A2" s="63" t="s">
        <v>204</v>
      </c>
      <c r="B2" s="63" t="s">
        <v>82</v>
      </c>
      <c r="C2" s="63" t="s">
        <v>83</v>
      </c>
      <c r="D2" s="63" t="s">
        <v>3</v>
      </c>
      <c r="E2" s="63" t="s">
        <v>158</v>
      </c>
      <c r="F2" s="66" t="s">
        <v>148</v>
      </c>
      <c r="G2" s="67">
        <v>53</v>
      </c>
      <c r="H2" s="67">
        <v>282</v>
      </c>
      <c r="I2" s="67">
        <v>281</v>
      </c>
      <c r="J2" s="68">
        <v>271</v>
      </c>
      <c r="K2" s="73">
        <v>5.30188679245283</v>
      </c>
      <c r="L2" s="68">
        <v>5.11320754716981</v>
      </c>
      <c r="M2" s="69">
        <v>49406.3</v>
      </c>
      <c r="N2" s="68">
        <v>1</v>
      </c>
      <c r="O2" s="67">
        <v>867</v>
      </c>
      <c r="P2" s="68">
        <v>2879.85</v>
      </c>
      <c r="R2" s="56" t="s">
        <v>3</v>
      </c>
      <c r="S2">
        <v>7476</v>
      </c>
      <c r="T2">
        <v>1130854.95</v>
      </c>
    </row>
    <row r="3" spans="1:20">
      <c r="A3" s="63" t="s">
        <v>204</v>
      </c>
      <c r="B3" s="63" t="s">
        <v>82</v>
      </c>
      <c r="C3" s="63" t="s">
        <v>83</v>
      </c>
      <c r="D3" s="63" t="s">
        <v>9</v>
      </c>
      <c r="E3" s="63" t="s">
        <v>160</v>
      </c>
      <c r="F3" s="66" t="s">
        <v>148</v>
      </c>
      <c r="G3" s="67">
        <v>57</v>
      </c>
      <c r="H3" s="67">
        <v>243</v>
      </c>
      <c r="I3" s="67">
        <v>241</v>
      </c>
      <c r="J3" s="68">
        <v>237</v>
      </c>
      <c r="K3" s="73">
        <v>4.2280701754386</v>
      </c>
      <c r="L3" s="68">
        <v>4.15789473684211</v>
      </c>
      <c r="M3" s="69">
        <v>42560.88</v>
      </c>
      <c r="N3" s="68">
        <v>0</v>
      </c>
      <c r="O3" s="67">
        <v>784</v>
      </c>
      <c r="P3" s="68">
        <v>1868.25999999998</v>
      </c>
      <c r="R3" s="56" t="s">
        <v>4</v>
      </c>
      <c r="S3">
        <v>4012</v>
      </c>
      <c r="T3">
        <v>569212.95</v>
      </c>
    </row>
    <row r="4" spans="1:20">
      <c r="A4" s="63" t="s">
        <v>204</v>
      </c>
      <c r="B4" s="63" t="s">
        <v>82</v>
      </c>
      <c r="C4" s="63" t="s">
        <v>83</v>
      </c>
      <c r="D4" s="63" t="s">
        <v>5</v>
      </c>
      <c r="E4" s="63" t="s">
        <v>161</v>
      </c>
      <c r="F4" s="66" t="s">
        <v>148</v>
      </c>
      <c r="G4" s="67">
        <v>48</v>
      </c>
      <c r="H4" s="67">
        <v>324</v>
      </c>
      <c r="I4" s="67">
        <v>322</v>
      </c>
      <c r="J4" s="68">
        <v>321</v>
      </c>
      <c r="K4" s="73">
        <v>6.70833333333333</v>
      </c>
      <c r="L4" s="68">
        <v>6.6875</v>
      </c>
      <c r="M4" s="69">
        <v>48882.75</v>
      </c>
      <c r="N4" s="68">
        <v>7</v>
      </c>
      <c r="O4" s="67">
        <v>1056</v>
      </c>
      <c r="P4" s="68">
        <v>1602.81999999999</v>
      </c>
      <c r="R4" s="56" t="s">
        <v>5</v>
      </c>
      <c r="S4">
        <v>8903</v>
      </c>
      <c r="T4">
        <v>1165041.49</v>
      </c>
    </row>
    <row r="5" spans="1:20">
      <c r="A5" s="63" t="s">
        <v>204</v>
      </c>
      <c r="B5" s="63" t="s">
        <v>82</v>
      </c>
      <c r="C5" s="63" t="s">
        <v>83</v>
      </c>
      <c r="D5" s="63" t="s">
        <v>4</v>
      </c>
      <c r="E5" s="63" t="s">
        <v>162</v>
      </c>
      <c r="F5" s="66" t="s">
        <v>148</v>
      </c>
      <c r="G5" s="67">
        <v>36</v>
      </c>
      <c r="H5" s="67">
        <v>150</v>
      </c>
      <c r="I5" s="67">
        <v>150</v>
      </c>
      <c r="J5" s="68">
        <v>147</v>
      </c>
      <c r="K5" s="73">
        <v>4.16666666666667</v>
      </c>
      <c r="L5" s="68">
        <v>4.08333333333333</v>
      </c>
      <c r="M5" s="69">
        <v>22729.75</v>
      </c>
      <c r="N5" s="68">
        <v>18</v>
      </c>
      <c r="O5" s="67">
        <v>370</v>
      </c>
      <c r="P5" s="68">
        <v>738.91999999999</v>
      </c>
      <c r="R5" s="56" t="s">
        <v>6</v>
      </c>
      <c r="S5">
        <v>9405</v>
      </c>
      <c r="T5">
        <v>1234924.72</v>
      </c>
    </row>
    <row r="6" spans="1:20">
      <c r="A6" s="63" t="s">
        <v>204</v>
      </c>
      <c r="B6" s="63" t="s">
        <v>82</v>
      </c>
      <c r="C6" s="63" t="s">
        <v>83</v>
      </c>
      <c r="D6" s="63" t="s">
        <v>7</v>
      </c>
      <c r="E6" s="63" t="s">
        <v>163</v>
      </c>
      <c r="F6" s="66" t="s">
        <v>148</v>
      </c>
      <c r="G6" s="67">
        <v>55</v>
      </c>
      <c r="H6" s="67">
        <v>348</v>
      </c>
      <c r="I6" s="67">
        <v>348</v>
      </c>
      <c r="J6" s="68">
        <v>342</v>
      </c>
      <c r="K6" s="73">
        <v>6.32727272727273</v>
      </c>
      <c r="L6" s="68">
        <v>6.21818181818182</v>
      </c>
      <c r="M6" s="69">
        <v>43781.85</v>
      </c>
      <c r="N6" s="68">
        <v>28</v>
      </c>
      <c r="O6" s="67">
        <v>818</v>
      </c>
      <c r="P6" s="68">
        <v>1233.61999999999</v>
      </c>
      <c r="R6" s="56" t="s">
        <v>7</v>
      </c>
      <c r="S6">
        <v>8958</v>
      </c>
      <c r="T6">
        <v>1121608.63</v>
      </c>
    </row>
    <row r="7" spans="1:20">
      <c r="A7" s="63" t="s">
        <v>204</v>
      </c>
      <c r="B7" s="63" t="s">
        <v>82</v>
      </c>
      <c r="C7" s="63" t="s">
        <v>83</v>
      </c>
      <c r="D7" s="63" t="s">
        <v>8</v>
      </c>
      <c r="E7" s="63" t="s">
        <v>164</v>
      </c>
      <c r="F7" s="66" t="s">
        <v>148</v>
      </c>
      <c r="G7" s="67">
        <v>56</v>
      </c>
      <c r="H7" s="67">
        <v>254</v>
      </c>
      <c r="I7" s="67">
        <v>253</v>
      </c>
      <c r="J7" s="68">
        <v>248</v>
      </c>
      <c r="K7" s="73">
        <v>4.51785714285714</v>
      </c>
      <c r="L7" s="68">
        <v>4.42857142857143</v>
      </c>
      <c r="M7" s="69">
        <v>34275.5</v>
      </c>
      <c r="N7" s="68">
        <v>15</v>
      </c>
      <c r="O7" s="67">
        <v>693</v>
      </c>
      <c r="P7" s="68">
        <v>1605.71999999998</v>
      </c>
      <c r="R7" s="56" t="s">
        <v>8</v>
      </c>
      <c r="S7">
        <v>5114</v>
      </c>
      <c r="T7">
        <v>699406.15</v>
      </c>
    </row>
    <row r="8" spans="1:20">
      <c r="A8" s="63" t="s">
        <v>204</v>
      </c>
      <c r="B8" s="63" t="s">
        <v>82</v>
      </c>
      <c r="C8" s="63" t="s">
        <v>83</v>
      </c>
      <c r="D8" s="63" t="s">
        <v>6</v>
      </c>
      <c r="E8" s="63" t="s">
        <v>165</v>
      </c>
      <c r="F8" s="66" t="s">
        <v>148</v>
      </c>
      <c r="G8" s="67">
        <v>70</v>
      </c>
      <c r="H8" s="67">
        <v>380</v>
      </c>
      <c r="I8" s="67">
        <v>380</v>
      </c>
      <c r="J8" s="68">
        <v>375</v>
      </c>
      <c r="K8" s="73">
        <v>5.42857142857143</v>
      </c>
      <c r="L8" s="68">
        <v>5.35714285714286</v>
      </c>
      <c r="M8" s="69">
        <v>53069.3</v>
      </c>
      <c r="N8" s="68">
        <v>8</v>
      </c>
      <c r="O8" s="67">
        <v>1072</v>
      </c>
      <c r="P8" s="68">
        <v>2028.59000000002</v>
      </c>
      <c r="R8" s="56" t="s">
        <v>9</v>
      </c>
      <c r="S8">
        <v>6031</v>
      </c>
      <c r="T8">
        <v>1012388.87</v>
      </c>
    </row>
    <row r="9" spans="1:20">
      <c r="A9" s="63" t="s">
        <v>205</v>
      </c>
      <c r="B9" s="63" t="s">
        <v>82</v>
      </c>
      <c r="C9" s="63" t="s">
        <v>83</v>
      </c>
      <c r="D9" s="63" t="s">
        <v>3</v>
      </c>
      <c r="E9" s="63" t="s">
        <v>158</v>
      </c>
      <c r="F9" s="66" t="s">
        <v>148</v>
      </c>
      <c r="G9" s="67">
        <v>53</v>
      </c>
      <c r="H9" s="67">
        <v>269</v>
      </c>
      <c r="I9" s="67">
        <v>264</v>
      </c>
      <c r="J9" s="68">
        <v>260</v>
      </c>
      <c r="K9" s="73">
        <v>4.9811320754717</v>
      </c>
      <c r="L9" s="68">
        <v>4.90566037735849</v>
      </c>
      <c r="M9" s="69">
        <v>46761.5</v>
      </c>
      <c r="N9" s="68">
        <v>5</v>
      </c>
      <c r="O9" s="67">
        <v>820</v>
      </c>
      <c r="P9" s="68">
        <v>1925.83999999999</v>
      </c>
      <c r="R9" s="56" t="s">
        <v>143</v>
      </c>
      <c r="S9">
        <v>49899</v>
      </c>
      <c r="T9">
        <v>6933437.76</v>
      </c>
    </row>
    <row r="10" spans="1:20">
      <c r="A10" s="63" t="s">
        <v>205</v>
      </c>
      <c r="B10" s="63" t="s">
        <v>82</v>
      </c>
      <c r="C10" s="63" t="s">
        <v>83</v>
      </c>
      <c r="D10" s="63" t="s">
        <v>9</v>
      </c>
      <c r="E10" s="63" t="s">
        <v>160</v>
      </c>
      <c r="F10" s="66" t="s">
        <v>148</v>
      </c>
      <c r="G10" s="67">
        <v>57</v>
      </c>
      <c r="H10" s="67">
        <v>227</v>
      </c>
      <c r="I10" s="67">
        <v>225</v>
      </c>
      <c r="J10" s="68">
        <v>224</v>
      </c>
      <c r="K10" s="73">
        <v>3.94736842105263</v>
      </c>
      <c r="L10" s="68">
        <v>3.92982456140351</v>
      </c>
      <c r="M10" s="69">
        <v>38593.82</v>
      </c>
      <c r="N10" s="68">
        <v>0</v>
      </c>
      <c r="O10" s="67">
        <v>709</v>
      </c>
      <c r="P10" s="68">
        <v>1612.22000000001</v>
      </c>
      <c r="R10"/>
      <c r="S10"/>
      <c r="T10"/>
    </row>
    <row r="11" spans="1:20">
      <c r="A11" s="63" t="s">
        <v>205</v>
      </c>
      <c r="B11" s="63" t="s">
        <v>82</v>
      </c>
      <c r="C11" s="63" t="s">
        <v>83</v>
      </c>
      <c r="D11" s="63" t="s">
        <v>5</v>
      </c>
      <c r="E11" s="63" t="s">
        <v>161</v>
      </c>
      <c r="F11" s="66" t="s">
        <v>148</v>
      </c>
      <c r="G11" s="67">
        <v>48</v>
      </c>
      <c r="H11" s="67">
        <v>304</v>
      </c>
      <c r="I11" s="67">
        <v>304</v>
      </c>
      <c r="J11" s="68">
        <v>302</v>
      </c>
      <c r="K11" s="73">
        <v>6.33333333333333</v>
      </c>
      <c r="L11" s="68">
        <v>6.29166666666667</v>
      </c>
      <c r="M11" s="69">
        <v>47264.2</v>
      </c>
      <c r="N11" s="68">
        <v>8</v>
      </c>
      <c r="O11" s="67">
        <v>958</v>
      </c>
      <c r="P11" s="68">
        <v>2062.25000000001</v>
      </c>
      <c r="R11"/>
      <c r="S11"/>
      <c r="T11"/>
    </row>
    <row r="12" spans="1:22">
      <c r="A12" s="63" t="s">
        <v>205</v>
      </c>
      <c r="B12" s="63" t="s">
        <v>82</v>
      </c>
      <c r="C12" s="63" t="s">
        <v>83</v>
      </c>
      <c r="D12" s="63" t="s">
        <v>4</v>
      </c>
      <c r="E12" s="63" t="s">
        <v>162</v>
      </c>
      <c r="F12" s="66" t="s">
        <v>148</v>
      </c>
      <c r="G12" s="67">
        <v>36</v>
      </c>
      <c r="H12" s="67">
        <v>141</v>
      </c>
      <c r="I12" s="67">
        <v>140</v>
      </c>
      <c r="J12" s="68">
        <v>138</v>
      </c>
      <c r="K12" s="73">
        <v>3.88888888888889</v>
      </c>
      <c r="L12" s="68">
        <v>3.83333333333333</v>
      </c>
      <c r="M12" s="69">
        <v>19589.6</v>
      </c>
      <c r="N12" s="68">
        <v>13</v>
      </c>
      <c r="O12" s="67">
        <v>359</v>
      </c>
      <c r="P12" s="68">
        <v>687.060000000005</v>
      </c>
      <c r="R12" t="s">
        <v>137</v>
      </c>
      <c r="S12" t="s">
        <v>202</v>
      </c>
      <c r="T12" t="s">
        <v>203</v>
      </c>
      <c r="U12" s="71" t="s">
        <v>206</v>
      </c>
      <c r="V12" s="74" t="s">
        <v>207</v>
      </c>
    </row>
    <row r="13" spans="1:22">
      <c r="A13" s="63" t="s">
        <v>205</v>
      </c>
      <c r="B13" s="63" t="s">
        <v>82</v>
      </c>
      <c r="C13" s="63" t="s">
        <v>83</v>
      </c>
      <c r="D13" s="63" t="s">
        <v>7</v>
      </c>
      <c r="E13" s="63" t="s">
        <v>163</v>
      </c>
      <c r="F13" s="66" t="s">
        <v>148</v>
      </c>
      <c r="G13" s="67">
        <v>55</v>
      </c>
      <c r="H13" s="67">
        <v>315</v>
      </c>
      <c r="I13" s="67">
        <v>314</v>
      </c>
      <c r="J13" s="68">
        <v>311</v>
      </c>
      <c r="K13" s="73">
        <v>5.70909090909091</v>
      </c>
      <c r="L13" s="68">
        <v>5.65454545454545</v>
      </c>
      <c r="M13" s="69">
        <v>42643.05</v>
      </c>
      <c r="N13" s="68">
        <v>25</v>
      </c>
      <c r="O13" s="67">
        <v>735</v>
      </c>
      <c r="P13" s="68">
        <v>1178.62000000002</v>
      </c>
      <c r="R13" t="s">
        <v>3</v>
      </c>
      <c r="S13">
        <v>7476</v>
      </c>
      <c r="T13">
        <v>1130854.95</v>
      </c>
      <c r="U13" s="71">
        <v>1.05</v>
      </c>
      <c r="V13" s="71">
        <f>T13/S13/U13</f>
        <v>144.061625773905</v>
      </c>
    </row>
    <row r="14" spans="1:22">
      <c r="A14" s="63" t="s">
        <v>205</v>
      </c>
      <c r="B14" s="63" t="s">
        <v>82</v>
      </c>
      <c r="C14" s="63" t="s">
        <v>83</v>
      </c>
      <c r="D14" s="63" t="s">
        <v>8</v>
      </c>
      <c r="E14" s="63" t="s">
        <v>164</v>
      </c>
      <c r="F14" s="66" t="s">
        <v>148</v>
      </c>
      <c r="G14" s="67">
        <v>56</v>
      </c>
      <c r="H14" s="67">
        <v>209</v>
      </c>
      <c r="I14" s="67">
        <v>207</v>
      </c>
      <c r="J14" s="68">
        <v>205</v>
      </c>
      <c r="K14" s="73">
        <v>3.69642857142857</v>
      </c>
      <c r="L14" s="68">
        <v>3.66071428571429</v>
      </c>
      <c r="M14" s="69">
        <v>30963.4</v>
      </c>
      <c r="N14" s="68">
        <v>1</v>
      </c>
      <c r="O14" s="67">
        <v>620</v>
      </c>
      <c r="P14" s="68">
        <v>1335.85000000001</v>
      </c>
      <c r="R14" t="s">
        <v>4</v>
      </c>
      <c r="S14">
        <v>4012</v>
      </c>
      <c r="T14">
        <v>569212.95</v>
      </c>
      <c r="U14" s="71">
        <v>1.05</v>
      </c>
      <c r="V14" s="71">
        <f t="shared" ref="V14:V19" si="0">T14/S14/U14</f>
        <v>135.121528272326</v>
      </c>
    </row>
    <row r="15" spans="1:22">
      <c r="A15" s="63" t="s">
        <v>205</v>
      </c>
      <c r="B15" s="63" t="s">
        <v>82</v>
      </c>
      <c r="C15" s="63" t="s">
        <v>83</v>
      </c>
      <c r="D15" s="63" t="s">
        <v>6</v>
      </c>
      <c r="E15" s="63" t="s">
        <v>165</v>
      </c>
      <c r="F15" s="66" t="s">
        <v>148</v>
      </c>
      <c r="G15" s="67">
        <v>70</v>
      </c>
      <c r="H15" s="67">
        <v>354</v>
      </c>
      <c r="I15" s="67">
        <v>353</v>
      </c>
      <c r="J15" s="68">
        <v>351</v>
      </c>
      <c r="K15" s="73">
        <v>5.04285714285714</v>
      </c>
      <c r="L15" s="68">
        <v>5.01428571428571</v>
      </c>
      <c r="M15" s="69">
        <v>58320.8</v>
      </c>
      <c r="N15" s="68">
        <v>7</v>
      </c>
      <c r="O15" s="67">
        <v>1039</v>
      </c>
      <c r="P15" s="68">
        <v>2039.65999999998</v>
      </c>
      <c r="R15" t="s">
        <v>5</v>
      </c>
      <c r="S15">
        <v>8903</v>
      </c>
      <c r="T15">
        <v>1165041.49</v>
      </c>
      <c r="U15" s="71">
        <v>1.13</v>
      </c>
      <c r="V15" s="71">
        <f t="shared" si="0"/>
        <v>115.804803789913</v>
      </c>
    </row>
    <row r="16" spans="1:22">
      <c r="A16" s="63" t="s">
        <v>208</v>
      </c>
      <c r="B16" s="63" t="s">
        <v>82</v>
      </c>
      <c r="C16" s="63" t="s">
        <v>83</v>
      </c>
      <c r="D16" s="63" t="s">
        <v>3</v>
      </c>
      <c r="E16" s="63" t="s">
        <v>158</v>
      </c>
      <c r="F16" s="66" t="s">
        <v>148</v>
      </c>
      <c r="G16" s="67">
        <v>53</v>
      </c>
      <c r="H16" s="67">
        <v>288</v>
      </c>
      <c r="I16" s="67">
        <v>285</v>
      </c>
      <c r="J16" s="68">
        <v>280</v>
      </c>
      <c r="K16" s="73">
        <v>5.37735849056604</v>
      </c>
      <c r="L16" s="68">
        <v>5.28301886792453</v>
      </c>
      <c r="M16" s="69">
        <v>43467.85</v>
      </c>
      <c r="N16" s="68">
        <v>5</v>
      </c>
      <c r="O16" s="67">
        <v>864</v>
      </c>
      <c r="P16" s="68">
        <v>2994.87999999998</v>
      </c>
      <c r="R16" t="s">
        <v>6</v>
      </c>
      <c r="S16">
        <v>9405</v>
      </c>
      <c r="T16">
        <v>1234924.72</v>
      </c>
      <c r="U16" s="71">
        <v>1.13</v>
      </c>
      <c r="V16" s="71">
        <f t="shared" si="0"/>
        <v>116.199227486792</v>
      </c>
    </row>
    <row r="17" spans="1:22">
      <c r="A17" s="63" t="s">
        <v>208</v>
      </c>
      <c r="B17" s="63" t="s">
        <v>82</v>
      </c>
      <c r="C17" s="63" t="s">
        <v>83</v>
      </c>
      <c r="D17" s="63" t="s">
        <v>9</v>
      </c>
      <c r="E17" s="63" t="s">
        <v>160</v>
      </c>
      <c r="F17" s="66" t="s">
        <v>148</v>
      </c>
      <c r="G17" s="67">
        <v>57</v>
      </c>
      <c r="H17" s="67">
        <v>225</v>
      </c>
      <c r="I17" s="67">
        <v>221</v>
      </c>
      <c r="J17" s="68">
        <v>220</v>
      </c>
      <c r="K17" s="73">
        <v>3.87719298245614</v>
      </c>
      <c r="L17" s="68">
        <v>3.85964912280702</v>
      </c>
      <c r="M17" s="69">
        <v>38212.79</v>
      </c>
      <c r="N17" s="68">
        <v>0</v>
      </c>
      <c r="O17" s="67">
        <v>656</v>
      </c>
      <c r="P17" s="68">
        <v>2998.13999999999</v>
      </c>
      <c r="R17" t="s">
        <v>7</v>
      </c>
      <c r="S17">
        <v>8958</v>
      </c>
      <c r="T17">
        <v>1121608.63</v>
      </c>
      <c r="U17" s="71">
        <v>1.13</v>
      </c>
      <c r="V17" s="71">
        <f t="shared" si="0"/>
        <v>110.80308203277</v>
      </c>
    </row>
    <row r="18" spans="1:22">
      <c r="A18" s="63" t="s">
        <v>208</v>
      </c>
      <c r="B18" s="63" t="s">
        <v>82</v>
      </c>
      <c r="C18" s="63" t="s">
        <v>83</v>
      </c>
      <c r="D18" s="63" t="s">
        <v>5</v>
      </c>
      <c r="E18" s="63" t="s">
        <v>161</v>
      </c>
      <c r="F18" s="66" t="s">
        <v>148</v>
      </c>
      <c r="G18" s="67">
        <v>48</v>
      </c>
      <c r="H18" s="67">
        <v>376</v>
      </c>
      <c r="I18" s="67">
        <v>373</v>
      </c>
      <c r="J18" s="68">
        <v>376</v>
      </c>
      <c r="K18" s="73">
        <v>7.77083333333333</v>
      </c>
      <c r="L18" s="68">
        <v>7.83333333333333</v>
      </c>
      <c r="M18" s="69">
        <v>42847.25</v>
      </c>
      <c r="N18" s="68">
        <v>6</v>
      </c>
      <c r="O18" s="67">
        <v>1127</v>
      </c>
      <c r="P18" s="68">
        <v>2683.08000000003</v>
      </c>
      <c r="R18" t="s">
        <v>8</v>
      </c>
      <c r="S18">
        <v>5114</v>
      </c>
      <c r="T18">
        <v>699406.15</v>
      </c>
      <c r="U18" s="71">
        <v>1.1495</v>
      </c>
      <c r="V18" s="71">
        <f t="shared" si="0"/>
        <v>118.976105133534</v>
      </c>
    </row>
    <row r="19" spans="1:22">
      <c r="A19" s="63" t="s">
        <v>208</v>
      </c>
      <c r="B19" s="63" t="s">
        <v>82</v>
      </c>
      <c r="C19" s="63" t="s">
        <v>83</v>
      </c>
      <c r="D19" s="63" t="s">
        <v>4</v>
      </c>
      <c r="E19" s="63" t="s">
        <v>162</v>
      </c>
      <c r="F19" s="66" t="s">
        <v>148</v>
      </c>
      <c r="G19" s="67">
        <v>36</v>
      </c>
      <c r="H19" s="67">
        <v>150</v>
      </c>
      <c r="I19" s="67">
        <v>146</v>
      </c>
      <c r="J19" s="68">
        <v>146</v>
      </c>
      <c r="K19" s="73">
        <v>4.05555555555556</v>
      </c>
      <c r="L19" s="68">
        <v>4.05555555555556</v>
      </c>
      <c r="M19" s="69">
        <v>19647.5</v>
      </c>
      <c r="N19" s="68">
        <v>10</v>
      </c>
      <c r="O19" s="67">
        <v>374</v>
      </c>
      <c r="P19" s="68">
        <v>828.990000000007</v>
      </c>
      <c r="R19" s="71" t="s">
        <v>9</v>
      </c>
      <c r="S19" s="71">
        <v>6031</v>
      </c>
      <c r="T19" s="71">
        <v>1012388.87</v>
      </c>
      <c r="U19" s="71">
        <v>1.05</v>
      </c>
      <c r="V19" s="71">
        <f t="shared" si="0"/>
        <v>159.870647685372</v>
      </c>
    </row>
    <row r="20" spans="1:16">
      <c r="A20" s="63" t="s">
        <v>208</v>
      </c>
      <c r="B20" s="63" t="s">
        <v>82</v>
      </c>
      <c r="C20" s="63" t="s">
        <v>83</v>
      </c>
      <c r="D20" s="63" t="s">
        <v>7</v>
      </c>
      <c r="E20" s="63" t="s">
        <v>163</v>
      </c>
      <c r="F20" s="66" t="s">
        <v>148</v>
      </c>
      <c r="G20" s="67">
        <v>55</v>
      </c>
      <c r="H20" s="67">
        <v>377</v>
      </c>
      <c r="I20" s="67">
        <v>374</v>
      </c>
      <c r="J20" s="68">
        <v>369</v>
      </c>
      <c r="K20" s="73">
        <v>6.8</v>
      </c>
      <c r="L20" s="68">
        <v>6.70909090909091</v>
      </c>
      <c r="M20" s="69">
        <v>44790.5</v>
      </c>
      <c r="N20" s="68">
        <v>21</v>
      </c>
      <c r="O20" s="67">
        <v>875</v>
      </c>
      <c r="P20" s="68">
        <v>2168.47</v>
      </c>
    </row>
    <row r="21" spans="1:16">
      <c r="A21" s="63" t="s">
        <v>208</v>
      </c>
      <c r="B21" s="63" t="s">
        <v>82</v>
      </c>
      <c r="C21" s="63" t="s">
        <v>83</v>
      </c>
      <c r="D21" s="63" t="s">
        <v>8</v>
      </c>
      <c r="E21" s="63" t="s">
        <v>164</v>
      </c>
      <c r="F21" s="66" t="s">
        <v>148</v>
      </c>
      <c r="G21" s="67">
        <v>56</v>
      </c>
      <c r="H21" s="67">
        <v>237</v>
      </c>
      <c r="I21" s="67">
        <v>233</v>
      </c>
      <c r="J21" s="68">
        <v>233</v>
      </c>
      <c r="K21" s="73">
        <v>4.16071428571429</v>
      </c>
      <c r="L21" s="68">
        <v>4.16071428571429</v>
      </c>
      <c r="M21" s="69">
        <v>29590.85</v>
      </c>
      <c r="N21" s="68">
        <v>4</v>
      </c>
      <c r="O21" s="67">
        <v>656</v>
      </c>
      <c r="P21" s="68">
        <v>1698.50000000002</v>
      </c>
    </row>
    <row r="22" spans="1:16">
      <c r="A22" s="63" t="s">
        <v>208</v>
      </c>
      <c r="B22" s="63" t="s">
        <v>82</v>
      </c>
      <c r="C22" s="63" t="s">
        <v>83</v>
      </c>
      <c r="D22" s="63" t="s">
        <v>6</v>
      </c>
      <c r="E22" s="63" t="s">
        <v>165</v>
      </c>
      <c r="F22" s="66" t="s">
        <v>148</v>
      </c>
      <c r="G22" s="67">
        <v>70</v>
      </c>
      <c r="H22" s="67">
        <v>363</v>
      </c>
      <c r="I22" s="67">
        <v>359</v>
      </c>
      <c r="J22" s="68">
        <v>360</v>
      </c>
      <c r="K22" s="73">
        <v>5.12857142857143</v>
      </c>
      <c r="L22" s="68">
        <v>5.14285714285714</v>
      </c>
      <c r="M22" s="69">
        <v>43351.74</v>
      </c>
      <c r="N22" s="68">
        <v>5</v>
      </c>
      <c r="O22" s="67">
        <v>972</v>
      </c>
      <c r="P22" s="68">
        <v>2292.67</v>
      </c>
    </row>
    <row r="23" spans="1:16">
      <c r="A23" s="63" t="s">
        <v>209</v>
      </c>
      <c r="B23" s="63" t="s">
        <v>82</v>
      </c>
      <c r="C23" s="63" t="s">
        <v>83</v>
      </c>
      <c r="D23" s="63" t="s">
        <v>3</v>
      </c>
      <c r="E23" s="63" t="s">
        <v>158</v>
      </c>
      <c r="F23" s="66" t="s">
        <v>159</v>
      </c>
      <c r="G23" s="67">
        <v>53</v>
      </c>
      <c r="H23" s="67">
        <v>324</v>
      </c>
      <c r="I23" s="67">
        <v>310</v>
      </c>
      <c r="J23" s="68">
        <v>299</v>
      </c>
      <c r="K23" s="73">
        <v>5.84905660377358</v>
      </c>
      <c r="L23" s="68">
        <v>5.64150943396226</v>
      </c>
      <c r="M23" s="69">
        <v>41152.25</v>
      </c>
      <c r="N23" s="68">
        <v>2</v>
      </c>
      <c r="O23" s="67">
        <v>922</v>
      </c>
      <c r="P23" s="68">
        <v>2748.99000000002</v>
      </c>
    </row>
    <row r="24" spans="1:16">
      <c r="A24" s="63" t="s">
        <v>209</v>
      </c>
      <c r="B24" s="63" t="s">
        <v>82</v>
      </c>
      <c r="C24" s="63" t="s">
        <v>83</v>
      </c>
      <c r="D24" s="63" t="s">
        <v>9</v>
      </c>
      <c r="E24" s="63" t="s">
        <v>160</v>
      </c>
      <c r="F24" s="66" t="s">
        <v>159</v>
      </c>
      <c r="G24" s="67">
        <v>57</v>
      </c>
      <c r="H24" s="67">
        <v>201</v>
      </c>
      <c r="I24" s="67">
        <v>195</v>
      </c>
      <c r="J24" s="68">
        <v>196</v>
      </c>
      <c r="K24" s="73">
        <v>3.42105263157895</v>
      </c>
      <c r="L24" s="68">
        <v>3.43859649122807</v>
      </c>
      <c r="M24" s="69">
        <v>33437.47</v>
      </c>
      <c r="N24" s="68">
        <v>0</v>
      </c>
      <c r="O24" s="67">
        <v>580</v>
      </c>
      <c r="P24" s="68">
        <v>3180.39</v>
      </c>
    </row>
    <row r="25" spans="1:16">
      <c r="A25" s="63" t="s">
        <v>209</v>
      </c>
      <c r="B25" s="63" t="s">
        <v>82</v>
      </c>
      <c r="C25" s="63" t="s">
        <v>83</v>
      </c>
      <c r="D25" s="63" t="s">
        <v>5</v>
      </c>
      <c r="E25" s="63" t="s">
        <v>161</v>
      </c>
      <c r="F25" s="66" t="s">
        <v>159</v>
      </c>
      <c r="G25" s="67">
        <v>48</v>
      </c>
      <c r="H25" s="67">
        <v>345</v>
      </c>
      <c r="I25" s="67">
        <v>343</v>
      </c>
      <c r="J25" s="68">
        <v>339</v>
      </c>
      <c r="K25" s="73">
        <v>7.14583333333333</v>
      </c>
      <c r="L25" s="68">
        <v>7.0625</v>
      </c>
      <c r="M25" s="69">
        <v>40242.1</v>
      </c>
      <c r="N25" s="68">
        <v>2</v>
      </c>
      <c r="O25" s="67">
        <v>1042</v>
      </c>
      <c r="P25" s="68">
        <v>2367.99999999998</v>
      </c>
    </row>
    <row r="26" spans="1:16">
      <c r="A26" s="63" t="s">
        <v>209</v>
      </c>
      <c r="B26" s="63" t="s">
        <v>82</v>
      </c>
      <c r="C26" s="63" t="s">
        <v>83</v>
      </c>
      <c r="D26" s="63" t="s">
        <v>4</v>
      </c>
      <c r="E26" s="63" t="s">
        <v>162</v>
      </c>
      <c r="F26" s="66" t="s">
        <v>159</v>
      </c>
      <c r="G26" s="67">
        <v>36</v>
      </c>
      <c r="H26" s="67">
        <v>177</v>
      </c>
      <c r="I26" s="67">
        <v>175</v>
      </c>
      <c r="J26" s="68">
        <v>175</v>
      </c>
      <c r="K26" s="73">
        <v>4.86111111111111</v>
      </c>
      <c r="L26" s="68">
        <v>4.86111111111111</v>
      </c>
      <c r="M26" s="69">
        <v>23460</v>
      </c>
      <c r="N26" s="68">
        <v>16</v>
      </c>
      <c r="O26" s="67">
        <v>451</v>
      </c>
      <c r="P26" s="68">
        <v>842.200000000002</v>
      </c>
    </row>
    <row r="27" spans="1:16">
      <c r="A27" s="63" t="s">
        <v>209</v>
      </c>
      <c r="B27" s="63" t="s">
        <v>82</v>
      </c>
      <c r="C27" s="63" t="s">
        <v>83</v>
      </c>
      <c r="D27" s="63" t="s">
        <v>7</v>
      </c>
      <c r="E27" s="63" t="s">
        <v>163</v>
      </c>
      <c r="F27" s="66" t="s">
        <v>159</v>
      </c>
      <c r="G27" s="67">
        <v>55</v>
      </c>
      <c r="H27" s="67">
        <v>305</v>
      </c>
      <c r="I27" s="67">
        <v>304</v>
      </c>
      <c r="J27" s="68">
        <v>302</v>
      </c>
      <c r="K27" s="73">
        <v>5.52727272727273</v>
      </c>
      <c r="L27" s="68">
        <v>5.49090909090909</v>
      </c>
      <c r="M27" s="69">
        <v>35373.75</v>
      </c>
      <c r="N27" s="68">
        <v>20</v>
      </c>
      <c r="O27" s="67">
        <v>709</v>
      </c>
      <c r="P27" s="68">
        <v>1679.58</v>
      </c>
    </row>
    <row r="28" spans="1:16">
      <c r="A28" s="63" t="s">
        <v>209</v>
      </c>
      <c r="B28" s="63" t="s">
        <v>82</v>
      </c>
      <c r="C28" s="63" t="s">
        <v>83</v>
      </c>
      <c r="D28" s="63" t="s">
        <v>8</v>
      </c>
      <c r="E28" s="63" t="s">
        <v>164</v>
      </c>
      <c r="F28" s="66" t="s">
        <v>159</v>
      </c>
      <c r="G28" s="67">
        <v>56</v>
      </c>
      <c r="H28" s="67">
        <v>195</v>
      </c>
      <c r="I28" s="67">
        <v>191</v>
      </c>
      <c r="J28" s="68">
        <v>184</v>
      </c>
      <c r="K28" s="73">
        <v>3.41071428571429</v>
      </c>
      <c r="L28" s="68">
        <v>3.28571428571429</v>
      </c>
      <c r="M28" s="69">
        <v>22524.4</v>
      </c>
      <c r="N28" s="68">
        <v>10</v>
      </c>
      <c r="O28" s="67">
        <v>496</v>
      </c>
      <c r="P28" s="68">
        <v>1656.81999999999</v>
      </c>
    </row>
    <row r="29" spans="1:16">
      <c r="A29" s="63" t="s">
        <v>209</v>
      </c>
      <c r="B29" s="63" t="s">
        <v>82</v>
      </c>
      <c r="C29" s="63" t="s">
        <v>83</v>
      </c>
      <c r="D29" s="63" t="s">
        <v>6</v>
      </c>
      <c r="E29" s="63" t="s">
        <v>165</v>
      </c>
      <c r="F29" s="66" t="s">
        <v>159</v>
      </c>
      <c r="G29" s="67">
        <v>70</v>
      </c>
      <c r="H29" s="67">
        <v>367</v>
      </c>
      <c r="I29" s="67">
        <v>361</v>
      </c>
      <c r="J29" s="68">
        <v>359</v>
      </c>
      <c r="K29" s="73">
        <v>5.15714285714286</v>
      </c>
      <c r="L29" s="68">
        <v>5.12857142857143</v>
      </c>
      <c r="M29" s="69">
        <v>40969.15</v>
      </c>
      <c r="N29" s="68">
        <v>2</v>
      </c>
      <c r="O29" s="67">
        <v>997</v>
      </c>
      <c r="P29" s="68">
        <v>2599.18000000003</v>
      </c>
    </row>
    <row r="30" spans="1:16">
      <c r="A30" s="63" t="s">
        <v>210</v>
      </c>
      <c r="B30" s="63" t="s">
        <v>82</v>
      </c>
      <c r="C30" s="63" t="s">
        <v>83</v>
      </c>
      <c r="D30" s="63" t="s">
        <v>3</v>
      </c>
      <c r="E30" s="63" t="s">
        <v>158</v>
      </c>
      <c r="F30" s="66" t="s">
        <v>159</v>
      </c>
      <c r="G30" s="67">
        <v>53</v>
      </c>
      <c r="H30" s="67">
        <v>267</v>
      </c>
      <c r="I30" s="67">
        <v>261</v>
      </c>
      <c r="J30" s="68">
        <v>256</v>
      </c>
      <c r="K30" s="73">
        <v>4.92452830188679</v>
      </c>
      <c r="L30" s="68">
        <v>4.83018867924528</v>
      </c>
      <c r="M30" s="69">
        <v>35847.55</v>
      </c>
      <c r="N30" s="68">
        <v>3</v>
      </c>
      <c r="O30" s="67">
        <v>730</v>
      </c>
      <c r="P30" s="68">
        <v>2069.01</v>
      </c>
    </row>
    <row r="31" spans="1:16">
      <c r="A31" s="63" t="s">
        <v>210</v>
      </c>
      <c r="B31" s="63" t="s">
        <v>82</v>
      </c>
      <c r="C31" s="63" t="s">
        <v>83</v>
      </c>
      <c r="D31" s="63" t="s">
        <v>9</v>
      </c>
      <c r="E31" s="63" t="s">
        <v>160</v>
      </c>
      <c r="F31" s="66" t="s">
        <v>159</v>
      </c>
      <c r="G31" s="67">
        <v>57</v>
      </c>
      <c r="H31" s="67">
        <v>176</v>
      </c>
      <c r="I31" s="67">
        <v>175</v>
      </c>
      <c r="J31" s="68">
        <v>174</v>
      </c>
      <c r="K31" s="73">
        <v>3.07017543859649</v>
      </c>
      <c r="L31" s="68">
        <v>3.05263157894737</v>
      </c>
      <c r="M31" s="69">
        <v>27109.66</v>
      </c>
      <c r="N31" s="68">
        <v>0</v>
      </c>
      <c r="O31" s="67">
        <v>489</v>
      </c>
      <c r="P31" s="68">
        <v>2367.53</v>
      </c>
    </row>
    <row r="32" spans="1:16">
      <c r="A32" s="63" t="s">
        <v>210</v>
      </c>
      <c r="B32" s="63" t="s">
        <v>82</v>
      </c>
      <c r="C32" s="63" t="s">
        <v>83</v>
      </c>
      <c r="D32" s="63" t="s">
        <v>5</v>
      </c>
      <c r="E32" s="63" t="s">
        <v>161</v>
      </c>
      <c r="F32" s="66" t="s">
        <v>159</v>
      </c>
      <c r="G32" s="67">
        <v>48</v>
      </c>
      <c r="H32" s="67">
        <v>303</v>
      </c>
      <c r="I32" s="67">
        <v>300</v>
      </c>
      <c r="J32" s="68">
        <v>294</v>
      </c>
      <c r="K32" s="73">
        <v>6.25</v>
      </c>
      <c r="L32" s="68">
        <v>6.125</v>
      </c>
      <c r="M32" s="69">
        <v>35715.15</v>
      </c>
      <c r="N32" s="68">
        <v>1</v>
      </c>
      <c r="O32" s="67">
        <v>896</v>
      </c>
      <c r="P32" s="68">
        <v>1640.01999999999</v>
      </c>
    </row>
    <row r="33" spans="1:16">
      <c r="A33" s="63" t="s">
        <v>210</v>
      </c>
      <c r="B33" s="63" t="s">
        <v>82</v>
      </c>
      <c r="C33" s="63" t="s">
        <v>83</v>
      </c>
      <c r="D33" s="63" t="s">
        <v>4</v>
      </c>
      <c r="E33" s="63" t="s">
        <v>162</v>
      </c>
      <c r="F33" s="66" t="s">
        <v>159</v>
      </c>
      <c r="G33" s="67">
        <v>36</v>
      </c>
      <c r="H33" s="67">
        <v>148</v>
      </c>
      <c r="I33" s="67">
        <v>146</v>
      </c>
      <c r="J33" s="68">
        <v>143</v>
      </c>
      <c r="K33" s="73">
        <v>4.05555555555556</v>
      </c>
      <c r="L33" s="68">
        <v>3.97222222222222</v>
      </c>
      <c r="M33" s="69">
        <v>19872.65</v>
      </c>
      <c r="N33" s="68">
        <v>12</v>
      </c>
      <c r="O33" s="67">
        <v>338</v>
      </c>
      <c r="P33" s="68">
        <v>1241.14</v>
      </c>
    </row>
    <row r="34" spans="1:16">
      <c r="A34" s="63" t="s">
        <v>210</v>
      </c>
      <c r="B34" s="63" t="s">
        <v>82</v>
      </c>
      <c r="C34" s="63" t="s">
        <v>83</v>
      </c>
      <c r="D34" s="63" t="s">
        <v>7</v>
      </c>
      <c r="E34" s="63" t="s">
        <v>163</v>
      </c>
      <c r="F34" s="66" t="s">
        <v>159</v>
      </c>
      <c r="G34" s="67">
        <v>55</v>
      </c>
      <c r="H34" s="67">
        <v>261</v>
      </c>
      <c r="I34" s="67">
        <v>260</v>
      </c>
      <c r="J34" s="68">
        <v>255</v>
      </c>
      <c r="K34" s="73">
        <v>4.72727272727273</v>
      </c>
      <c r="L34" s="68">
        <v>4.63636363636364</v>
      </c>
      <c r="M34" s="69">
        <v>32620.05</v>
      </c>
      <c r="N34" s="68">
        <v>24</v>
      </c>
      <c r="O34" s="67">
        <v>601</v>
      </c>
      <c r="P34" s="68">
        <v>1429.54000000001</v>
      </c>
    </row>
    <row r="35" spans="1:16">
      <c r="A35" s="63" t="s">
        <v>210</v>
      </c>
      <c r="B35" s="63" t="s">
        <v>82</v>
      </c>
      <c r="C35" s="63" t="s">
        <v>83</v>
      </c>
      <c r="D35" s="63" t="s">
        <v>8</v>
      </c>
      <c r="E35" s="63" t="s">
        <v>164</v>
      </c>
      <c r="F35" s="66" t="s">
        <v>159</v>
      </c>
      <c r="G35" s="67">
        <v>56</v>
      </c>
      <c r="H35" s="67">
        <v>145</v>
      </c>
      <c r="I35" s="67">
        <v>141</v>
      </c>
      <c r="J35" s="68">
        <v>141</v>
      </c>
      <c r="K35" s="73">
        <v>2.51785714285714</v>
      </c>
      <c r="L35" s="68">
        <v>2.51785714285714</v>
      </c>
      <c r="M35" s="69">
        <v>17310.4</v>
      </c>
      <c r="N35" s="68">
        <v>0</v>
      </c>
      <c r="O35" s="67">
        <v>393</v>
      </c>
      <c r="P35" s="68">
        <v>670.400000000003</v>
      </c>
    </row>
    <row r="36" spans="1:16">
      <c r="A36" s="63" t="s">
        <v>210</v>
      </c>
      <c r="B36" s="63" t="s">
        <v>82</v>
      </c>
      <c r="C36" s="63" t="s">
        <v>83</v>
      </c>
      <c r="D36" s="63" t="s">
        <v>6</v>
      </c>
      <c r="E36" s="63" t="s">
        <v>165</v>
      </c>
      <c r="F36" s="66" t="s">
        <v>159</v>
      </c>
      <c r="G36" s="67">
        <v>70</v>
      </c>
      <c r="H36" s="67">
        <v>290</v>
      </c>
      <c r="I36" s="67">
        <v>284</v>
      </c>
      <c r="J36" s="68">
        <v>286</v>
      </c>
      <c r="K36" s="73">
        <v>4.05714285714286</v>
      </c>
      <c r="L36" s="68">
        <v>4.08571428571429</v>
      </c>
      <c r="M36" s="69">
        <v>34569.01</v>
      </c>
      <c r="N36" s="68">
        <v>6</v>
      </c>
      <c r="O36" s="67">
        <v>803</v>
      </c>
      <c r="P36" s="68">
        <v>1502.15000000003</v>
      </c>
    </row>
    <row r="37" spans="1:16">
      <c r="A37" s="63" t="s">
        <v>211</v>
      </c>
      <c r="B37" s="63" t="s">
        <v>82</v>
      </c>
      <c r="C37" s="63" t="s">
        <v>83</v>
      </c>
      <c r="D37" s="63" t="s">
        <v>3</v>
      </c>
      <c r="E37" s="63" t="s">
        <v>158</v>
      </c>
      <c r="F37" s="66" t="s">
        <v>159</v>
      </c>
      <c r="G37" s="67">
        <v>53</v>
      </c>
      <c r="H37" s="67">
        <v>278</v>
      </c>
      <c r="I37" s="67">
        <v>273</v>
      </c>
      <c r="J37" s="68">
        <v>269</v>
      </c>
      <c r="K37" s="73">
        <v>5.15094339622642</v>
      </c>
      <c r="L37" s="68">
        <v>5.07547169811321</v>
      </c>
      <c r="M37" s="69">
        <v>38079.4</v>
      </c>
      <c r="N37" s="68">
        <v>2</v>
      </c>
      <c r="O37" s="67">
        <v>799</v>
      </c>
      <c r="P37" s="68">
        <v>2294.50000000001</v>
      </c>
    </row>
    <row r="38" spans="1:16">
      <c r="A38" s="63" t="s">
        <v>211</v>
      </c>
      <c r="B38" s="63" t="s">
        <v>82</v>
      </c>
      <c r="C38" s="63" t="s">
        <v>83</v>
      </c>
      <c r="D38" s="63" t="s">
        <v>9</v>
      </c>
      <c r="E38" s="63" t="s">
        <v>160</v>
      </c>
      <c r="F38" s="66" t="s">
        <v>159</v>
      </c>
      <c r="G38" s="67">
        <v>57</v>
      </c>
      <c r="H38" s="67">
        <v>155</v>
      </c>
      <c r="I38" s="67">
        <v>153</v>
      </c>
      <c r="J38" s="68">
        <v>151</v>
      </c>
      <c r="K38" s="73">
        <v>2.68421052631579</v>
      </c>
      <c r="L38" s="68">
        <v>2.64912280701754</v>
      </c>
      <c r="M38" s="69">
        <v>26050.26</v>
      </c>
      <c r="N38" s="68">
        <v>0</v>
      </c>
      <c r="O38" s="67">
        <v>470</v>
      </c>
      <c r="P38" s="68">
        <v>2375.85</v>
      </c>
    </row>
    <row r="39" spans="1:16">
      <c r="A39" s="63" t="s">
        <v>211</v>
      </c>
      <c r="B39" s="63" t="s">
        <v>82</v>
      </c>
      <c r="C39" s="63" t="s">
        <v>83</v>
      </c>
      <c r="D39" s="63" t="s">
        <v>5</v>
      </c>
      <c r="E39" s="63" t="s">
        <v>161</v>
      </c>
      <c r="F39" s="66" t="s">
        <v>159</v>
      </c>
      <c r="G39" s="67">
        <v>48</v>
      </c>
      <c r="H39" s="67">
        <v>291</v>
      </c>
      <c r="I39" s="67">
        <v>287</v>
      </c>
      <c r="J39" s="68">
        <v>286</v>
      </c>
      <c r="K39" s="73">
        <v>5.97916666666667</v>
      </c>
      <c r="L39" s="68">
        <v>5.95833333333333</v>
      </c>
      <c r="M39" s="69">
        <v>33411.4</v>
      </c>
      <c r="N39" s="68">
        <v>3</v>
      </c>
      <c r="O39" s="67">
        <v>851</v>
      </c>
      <c r="P39" s="68">
        <v>1881.44999999999</v>
      </c>
    </row>
    <row r="40" spans="1:16">
      <c r="A40" s="63" t="s">
        <v>211</v>
      </c>
      <c r="B40" s="63" t="s">
        <v>82</v>
      </c>
      <c r="C40" s="63" t="s">
        <v>83</v>
      </c>
      <c r="D40" s="63" t="s">
        <v>4</v>
      </c>
      <c r="E40" s="63" t="s">
        <v>162</v>
      </c>
      <c r="F40" s="66" t="s">
        <v>159</v>
      </c>
      <c r="G40" s="67">
        <v>36</v>
      </c>
      <c r="H40" s="67">
        <v>141</v>
      </c>
      <c r="I40" s="67">
        <v>139</v>
      </c>
      <c r="J40" s="68">
        <v>137</v>
      </c>
      <c r="K40" s="73">
        <v>3.86111111111111</v>
      </c>
      <c r="L40" s="68">
        <v>3.80555555555556</v>
      </c>
      <c r="M40" s="69">
        <v>18066.35</v>
      </c>
      <c r="N40" s="68">
        <v>11</v>
      </c>
      <c r="O40" s="67">
        <v>363</v>
      </c>
      <c r="P40" s="68">
        <v>694.899999999997</v>
      </c>
    </row>
    <row r="41" spans="1:16">
      <c r="A41" s="63" t="s">
        <v>211</v>
      </c>
      <c r="B41" s="63" t="s">
        <v>82</v>
      </c>
      <c r="C41" s="63" t="s">
        <v>83</v>
      </c>
      <c r="D41" s="63" t="s">
        <v>7</v>
      </c>
      <c r="E41" s="63" t="s">
        <v>163</v>
      </c>
      <c r="F41" s="66" t="s">
        <v>159</v>
      </c>
      <c r="G41" s="67">
        <v>55</v>
      </c>
      <c r="H41" s="67">
        <v>317</v>
      </c>
      <c r="I41" s="67">
        <v>310</v>
      </c>
      <c r="J41" s="68">
        <v>309</v>
      </c>
      <c r="K41" s="73">
        <v>5.63636363636364</v>
      </c>
      <c r="L41" s="68">
        <v>5.61818181818182</v>
      </c>
      <c r="M41" s="69">
        <v>38137.65</v>
      </c>
      <c r="N41" s="68">
        <v>26</v>
      </c>
      <c r="O41" s="67">
        <v>756</v>
      </c>
      <c r="P41" s="68">
        <v>1734.35000000002</v>
      </c>
    </row>
    <row r="42" spans="1:16">
      <c r="A42" s="63" t="s">
        <v>211</v>
      </c>
      <c r="B42" s="63" t="s">
        <v>82</v>
      </c>
      <c r="C42" s="63" t="s">
        <v>83</v>
      </c>
      <c r="D42" s="63" t="s">
        <v>8</v>
      </c>
      <c r="E42" s="63" t="s">
        <v>164</v>
      </c>
      <c r="F42" s="66" t="s">
        <v>159</v>
      </c>
      <c r="G42" s="67">
        <v>56</v>
      </c>
      <c r="H42" s="67">
        <v>164</v>
      </c>
      <c r="I42" s="67">
        <v>159</v>
      </c>
      <c r="J42" s="68">
        <v>158</v>
      </c>
      <c r="K42" s="73">
        <v>2.83928571428571</v>
      </c>
      <c r="L42" s="68">
        <v>2.82142857142857</v>
      </c>
      <c r="M42" s="69">
        <v>21352.4</v>
      </c>
      <c r="N42" s="68">
        <v>0</v>
      </c>
      <c r="O42" s="67">
        <v>447</v>
      </c>
      <c r="P42" s="68">
        <v>1120.11</v>
      </c>
    </row>
    <row r="43" spans="1:16">
      <c r="A43" s="63" t="s">
        <v>211</v>
      </c>
      <c r="B43" s="63" t="s">
        <v>82</v>
      </c>
      <c r="C43" s="63" t="s">
        <v>83</v>
      </c>
      <c r="D43" s="63" t="s">
        <v>6</v>
      </c>
      <c r="E43" s="63" t="s">
        <v>165</v>
      </c>
      <c r="F43" s="66" t="s">
        <v>159</v>
      </c>
      <c r="G43" s="67">
        <v>70</v>
      </c>
      <c r="H43" s="67">
        <v>293</v>
      </c>
      <c r="I43" s="67">
        <v>290</v>
      </c>
      <c r="J43" s="68">
        <v>288</v>
      </c>
      <c r="K43" s="73">
        <v>4.14285714285714</v>
      </c>
      <c r="L43" s="68">
        <v>4.11428571428571</v>
      </c>
      <c r="M43" s="69">
        <v>32841.25</v>
      </c>
      <c r="N43" s="68">
        <v>7</v>
      </c>
      <c r="O43" s="67">
        <v>777</v>
      </c>
      <c r="P43" s="68">
        <v>1921.31000000002</v>
      </c>
    </row>
    <row r="44" spans="1:16">
      <c r="A44" s="63" t="s">
        <v>212</v>
      </c>
      <c r="B44" s="63" t="s">
        <v>82</v>
      </c>
      <c r="C44" s="63" t="s">
        <v>83</v>
      </c>
      <c r="D44" s="63" t="s">
        <v>3</v>
      </c>
      <c r="E44" s="63" t="s">
        <v>158</v>
      </c>
      <c r="F44" s="66" t="s">
        <v>159</v>
      </c>
      <c r="G44" s="67">
        <v>53</v>
      </c>
      <c r="H44" s="67">
        <v>256</v>
      </c>
      <c r="I44" s="67">
        <v>251</v>
      </c>
      <c r="J44" s="68">
        <v>249</v>
      </c>
      <c r="K44" s="73">
        <v>4.73584905660377</v>
      </c>
      <c r="L44" s="68">
        <v>4.69811320754717</v>
      </c>
      <c r="M44" s="69">
        <v>35819.35</v>
      </c>
      <c r="N44" s="68">
        <v>2</v>
      </c>
      <c r="O44" s="67">
        <v>741</v>
      </c>
      <c r="P44" s="68">
        <v>2111.68999999999</v>
      </c>
    </row>
    <row r="45" spans="1:16">
      <c r="A45" s="63" t="s">
        <v>212</v>
      </c>
      <c r="B45" s="63" t="s">
        <v>82</v>
      </c>
      <c r="C45" s="63" t="s">
        <v>83</v>
      </c>
      <c r="D45" s="63" t="s">
        <v>9</v>
      </c>
      <c r="E45" s="63" t="s">
        <v>160</v>
      </c>
      <c r="F45" s="66" t="s">
        <v>159</v>
      </c>
      <c r="G45" s="67">
        <v>57</v>
      </c>
      <c r="H45" s="67">
        <v>184</v>
      </c>
      <c r="I45" s="67">
        <v>182</v>
      </c>
      <c r="J45" s="68">
        <v>181</v>
      </c>
      <c r="K45" s="73">
        <v>3.19298245614035</v>
      </c>
      <c r="L45" s="68">
        <v>3.17543859649123</v>
      </c>
      <c r="M45" s="69">
        <v>29097.95</v>
      </c>
      <c r="N45" s="68">
        <v>0</v>
      </c>
      <c r="O45" s="67">
        <v>497</v>
      </c>
      <c r="P45" s="68">
        <v>2361.21</v>
      </c>
    </row>
    <row r="46" spans="1:16">
      <c r="A46" s="63" t="s">
        <v>212</v>
      </c>
      <c r="B46" s="63" t="s">
        <v>82</v>
      </c>
      <c r="C46" s="63" t="s">
        <v>83</v>
      </c>
      <c r="D46" s="63" t="s">
        <v>5</v>
      </c>
      <c r="E46" s="63" t="s">
        <v>161</v>
      </c>
      <c r="F46" s="66" t="s">
        <v>159</v>
      </c>
      <c r="G46" s="67">
        <v>48</v>
      </c>
      <c r="H46" s="67">
        <v>282</v>
      </c>
      <c r="I46" s="67">
        <v>279</v>
      </c>
      <c r="J46" s="68">
        <v>279</v>
      </c>
      <c r="K46" s="73">
        <v>5.8125</v>
      </c>
      <c r="L46" s="68">
        <v>5.8125</v>
      </c>
      <c r="M46" s="69">
        <v>31245.25</v>
      </c>
      <c r="N46" s="68">
        <v>2</v>
      </c>
      <c r="O46" s="67">
        <v>814</v>
      </c>
      <c r="P46" s="68">
        <v>1712.4</v>
      </c>
    </row>
    <row r="47" spans="1:16">
      <c r="A47" s="63" t="s">
        <v>212</v>
      </c>
      <c r="B47" s="63" t="s">
        <v>82</v>
      </c>
      <c r="C47" s="63" t="s">
        <v>83</v>
      </c>
      <c r="D47" s="63" t="s">
        <v>4</v>
      </c>
      <c r="E47" s="63" t="s">
        <v>162</v>
      </c>
      <c r="F47" s="66" t="s">
        <v>159</v>
      </c>
      <c r="G47" s="67">
        <v>36</v>
      </c>
      <c r="H47" s="67">
        <v>126</v>
      </c>
      <c r="I47" s="67">
        <v>123</v>
      </c>
      <c r="J47" s="68">
        <v>120</v>
      </c>
      <c r="K47" s="73">
        <v>3.41666666666667</v>
      </c>
      <c r="L47" s="68">
        <v>3.33333333333333</v>
      </c>
      <c r="M47" s="69">
        <v>17491.35</v>
      </c>
      <c r="N47" s="68">
        <v>12</v>
      </c>
      <c r="O47" s="67">
        <v>333</v>
      </c>
      <c r="P47" s="68">
        <v>531.42</v>
      </c>
    </row>
    <row r="48" spans="1:16">
      <c r="A48" s="63" t="s">
        <v>212</v>
      </c>
      <c r="B48" s="63" t="s">
        <v>82</v>
      </c>
      <c r="C48" s="63" t="s">
        <v>83</v>
      </c>
      <c r="D48" s="63" t="s">
        <v>7</v>
      </c>
      <c r="E48" s="63" t="s">
        <v>163</v>
      </c>
      <c r="F48" s="66" t="s">
        <v>159</v>
      </c>
      <c r="G48" s="67">
        <v>55</v>
      </c>
      <c r="H48" s="67">
        <v>289</v>
      </c>
      <c r="I48" s="67">
        <v>288</v>
      </c>
      <c r="J48" s="68">
        <v>281</v>
      </c>
      <c r="K48" s="73">
        <v>5.23636363636364</v>
      </c>
      <c r="L48" s="68">
        <v>5.10909090909091</v>
      </c>
      <c r="M48" s="69">
        <v>33592.55</v>
      </c>
      <c r="N48" s="68">
        <v>19</v>
      </c>
      <c r="O48" s="67">
        <v>643</v>
      </c>
      <c r="P48" s="68">
        <v>1679.50999999999</v>
      </c>
    </row>
    <row r="49" spans="1:16">
      <c r="A49" s="63" t="s">
        <v>212</v>
      </c>
      <c r="B49" s="63" t="s">
        <v>82</v>
      </c>
      <c r="C49" s="63" t="s">
        <v>83</v>
      </c>
      <c r="D49" s="63" t="s">
        <v>8</v>
      </c>
      <c r="E49" s="63" t="s">
        <v>164</v>
      </c>
      <c r="F49" s="66" t="s">
        <v>159</v>
      </c>
      <c r="G49" s="67">
        <v>56</v>
      </c>
      <c r="H49" s="67">
        <v>195</v>
      </c>
      <c r="I49" s="67">
        <v>187</v>
      </c>
      <c r="J49" s="68">
        <v>186</v>
      </c>
      <c r="K49" s="73">
        <v>3.33928571428571</v>
      </c>
      <c r="L49" s="68">
        <v>3.32142857142857</v>
      </c>
      <c r="M49" s="69">
        <v>27020.9</v>
      </c>
      <c r="N49" s="68">
        <v>0</v>
      </c>
      <c r="O49" s="67">
        <v>575</v>
      </c>
      <c r="P49" s="68">
        <v>1893.26999999999</v>
      </c>
    </row>
    <row r="50" spans="1:16">
      <c r="A50" s="63" t="s">
        <v>212</v>
      </c>
      <c r="B50" s="63" t="s">
        <v>82</v>
      </c>
      <c r="C50" s="63" t="s">
        <v>83</v>
      </c>
      <c r="D50" s="63" t="s">
        <v>6</v>
      </c>
      <c r="E50" s="63" t="s">
        <v>165</v>
      </c>
      <c r="F50" s="66" t="s">
        <v>159</v>
      </c>
      <c r="G50" s="67">
        <v>70</v>
      </c>
      <c r="H50" s="67">
        <v>257</v>
      </c>
      <c r="I50" s="67">
        <v>255</v>
      </c>
      <c r="J50" s="68">
        <v>255</v>
      </c>
      <c r="K50" s="73">
        <v>3.64285714285714</v>
      </c>
      <c r="L50" s="68">
        <v>3.64285714285714</v>
      </c>
      <c r="M50" s="69">
        <v>31554.3</v>
      </c>
      <c r="N50" s="68">
        <v>4</v>
      </c>
      <c r="O50" s="67">
        <v>721</v>
      </c>
      <c r="P50" s="68">
        <v>1674.35000000001</v>
      </c>
    </row>
    <row r="51" spans="1:16">
      <c r="A51" s="63" t="s">
        <v>213</v>
      </c>
      <c r="B51" s="63" t="s">
        <v>82</v>
      </c>
      <c r="C51" s="63" t="s">
        <v>83</v>
      </c>
      <c r="D51" s="63" t="s">
        <v>3</v>
      </c>
      <c r="E51" s="63" t="s">
        <v>158</v>
      </c>
      <c r="F51" s="66" t="s">
        <v>148</v>
      </c>
      <c r="G51" s="67">
        <v>53</v>
      </c>
      <c r="H51" s="67">
        <v>271</v>
      </c>
      <c r="I51" s="67">
        <v>262</v>
      </c>
      <c r="J51" s="68">
        <v>262</v>
      </c>
      <c r="K51" s="73">
        <v>4.94339622641509</v>
      </c>
      <c r="L51" s="68">
        <v>4.94339622641509</v>
      </c>
      <c r="M51" s="69">
        <v>43214.5</v>
      </c>
      <c r="N51" s="68">
        <v>5</v>
      </c>
      <c r="O51" s="67">
        <v>758</v>
      </c>
      <c r="P51" s="68">
        <v>2101.06000000002</v>
      </c>
    </row>
    <row r="52" spans="1:16">
      <c r="A52" s="63" t="s">
        <v>213</v>
      </c>
      <c r="B52" s="63" t="s">
        <v>82</v>
      </c>
      <c r="C52" s="63" t="s">
        <v>83</v>
      </c>
      <c r="D52" s="63" t="s">
        <v>9</v>
      </c>
      <c r="E52" s="63" t="s">
        <v>160</v>
      </c>
      <c r="F52" s="66" t="s">
        <v>148</v>
      </c>
      <c r="G52" s="67">
        <v>57</v>
      </c>
      <c r="H52" s="67">
        <v>223</v>
      </c>
      <c r="I52" s="67">
        <v>222</v>
      </c>
      <c r="J52" s="68">
        <v>218</v>
      </c>
      <c r="K52" s="73">
        <v>3.89473684210526</v>
      </c>
      <c r="L52" s="68">
        <v>3.82456140350877</v>
      </c>
      <c r="M52" s="69">
        <v>37849.48</v>
      </c>
      <c r="N52" s="68">
        <v>0</v>
      </c>
      <c r="O52" s="67">
        <v>694</v>
      </c>
      <c r="P52" s="68">
        <v>1904.13000000001</v>
      </c>
    </row>
    <row r="53" spans="1:16">
      <c r="A53" s="63" t="s">
        <v>213</v>
      </c>
      <c r="B53" s="63" t="s">
        <v>82</v>
      </c>
      <c r="C53" s="63" t="s">
        <v>83</v>
      </c>
      <c r="D53" s="63" t="s">
        <v>5</v>
      </c>
      <c r="E53" s="63" t="s">
        <v>161</v>
      </c>
      <c r="F53" s="66" t="s">
        <v>148</v>
      </c>
      <c r="G53" s="67">
        <v>48</v>
      </c>
      <c r="H53" s="67">
        <v>309</v>
      </c>
      <c r="I53" s="67">
        <v>306</v>
      </c>
      <c r="J53" s="68">
        <v>302</v>
      </c>
      <c r="K53" s="73">
        <v>6.375</v>
      </c>
      <c r="L53" s="68">
        <v>6.29166666666667</v>
      </c>
      <c r="M53" s="69">
        <v>48829.1</v>
      </c>
      <c r="N53" s="68">
        <v>6</v>
      </c>
      <c r="O53" s="67">
        <v>1023</v>
      </c>
      <c r="P53" s="68">
        <v>1997.25999999994</v>
      </c>
    </row>
    <row r="54" spans="1:16">
      <c r="A54" s="63" t="s">
        <v>213</v>
      </c>
      <c r="B54" s="63" t="s">
        <v>82</v>
      </c>
      <c r="C54" s="63" t="s">
        <v>83</v>
      </c>
      <c r="D54" s="63" t="s">
        <v>4</v>
      </c>
      <c r="E54" s="63" t="s">
        <v>162</v>
      </c>
      <c r="F54" s="66" t="s">
        <v>148</v>
      </c>
      <c r="G54" s="67">
        <v>36</v>
      </c>
      <c r="H54" s="67">
        <v>162</v>
      </c>
      <c r="I54" s="67">
        <v>161</v>
      </c>
      <c r="J54" s="68">
        <v>159</v>
      </c>
      <c r="K54" s="73">
        <v>4.47222222222222</v>
      </c>
      <c r="L54" s="68">
        <v>4.41666666666667</v>
      </c>
      <c r="M54" s="69">
        <v>23801.85</v>
      </c>
      <c r="N54" s="68">
        <v>19</v>
      </c>
      <c r="O54" s="67">
        <v>441</v>
      </c>
      <c r="P54" s="68">
        <v>3906.58000000001</v>
      </c>
    </row>
    <row r="55" spans="1:16">
      <c r="A55" s="63" t="s">
        <v>213</v>
      </c>
      <c r="B55" s="63" t="s">
        <v>82</v>
      </c>
      <c r="C55" s="63" t="s">
        <v>83</v>
      </c>
      <c r="D55" s="63" t="s">
        <v>7</v>
      </c>
      <c r="E55" s="63" t="s">
        <v>163</v>
      </c>
      <c r="F55" s="66" t="s">
        <v>148</v>
      </c>
      <c r="G55" s="67">
        <v>55</v>
      </c>
      <c r="H55" s="67">
        <v>303</v>
      </c>
      <c r="I55" s="67">
        <v>300</v>
      </c>
      <c r="J55" s="68">
        <v>287</v>
      </c>
      <c r="K55" s="73">
        <v>5.45454545454545</v>
      </c>
      <c r="L55" s="68">
        <v>5.21818181818182</v>
      </c>
      <c r="M55" s="69">
        <v>37978.35</v>
      </c>
      <c r="N55" s="68">
        <v>23</v>
      </c>
      <c r="O55" s="67">
        <v>677</v>
      </c>
      <c r="P55" s="68">
        <v>1265.24999999999</v>
      </c>
    </row>
    <row r="56" spans="1:16">
      <c r="A56" s="63" t="s">
        <v>213</v>
      </c>
      <c r="B56" s="63" t="s">
        <v>82</v>
      </c>
      <c r="C56" s="63" t="s">
        <v>83</v>
      </c>
      <c r="D56" s="63" t="s">
        <v>8</v>
      </c>
      <c r="E56" s="63" t="s">
        <v>164</v>
      </c>
      <c r="F56" s="66" t="s">
        <v>148</v>
      </c>
      <c r="G56" s="67">
        <v>56</v>
      </c>
      <c r="H56" s="67">
        <v>214</v>
      </c>
      <c r="I56" s="67">
        <v>210</v>
      </c>
      <c r="J56" s="68">
        <v>208</v>
      </c>
      <c r="K56" s="73">
        <v>3.75</v>
      </c>
      <c r="L56" s="68">
        <v>3.71428571428571</v>
      </c>
      <c r="M56" s="69">
        <v>29811.65</v>
      </c>
      <c r="N56" s="68">
        <v>0</v>
      </c>
      <c r="O56" s="67">
        <v>655</v>
      </c>
      <c r="P56" s="68">
        <v>2223.18000000001</v>
      </c>
    </row>
    <row r="57" spans="1:16">
      <c r="A57" s="63" t="s">
        <v>213</v>
      </c>
      <c r="B57" s="63" t="s">
        <v>82</v>
      </c>
      <c r="C57" s="63" t="s">
        <v>83</v>
      </c>
      <c r="D57" s="63" t="s">
        <v>6</v>
      </c>
      <c r="E57" s="63" t="s">
        <v>165</v>
      </c>
      <c r="F57" s="66" t="s">
        <v>148</v>
      </c>
      <c r="G57" s="67">
        <v>70</v>
      </c>
      <c r="H57" s="67">
        <v>370</v>
      </c>
      <c r="I57" s="67">
        <v>365</v>
      </c>
      <c r="J57" s="68">
        <v>367</v>
      </c>
      <c r="K57" s="73">
        <v>5.21428571428571</v>
      </c>
      <c r="L57" s="68">
        <v>5.24285714285714</v>
      </c>
      <c r="M57" s="69">
        <v>54859.75</v>
      </c>
      <c r="N57" s="68">
        <v>5</v>
      </c>
      <c r="O57" s="67">
        <v>1077</v>
      </c>
      <c r="P57" s="68">
        <v>2213.90999999995</v>
      </c>
    </row>
    <row r="58" spans="1:16">
      <c r="A58" s="63" t="s">
        <v>214</v>
      </c>
      <c r="B58" s="63" t="s">
        <v>82</v>
      </c>
      <c r="C58" s="63" t="s">
        <v>83</v>
      </c>
      <c r="D58" s="63" t="s">
        <v>3</v>
      </c>
      <c r="E58" s="63" t="s">
        <v>158</v>
      </c>
      <c r="F58" s="66" t="s">
        <v>148</v>
      </c>
      <c r="G58" s="67">
        <v>53</v>
      </c>
      <c r="H58" s="67">
        <v>262</v>
      </c>
      <c r="I58" s="67">
        <v>258</v>
      </c>
      <c r="J58" s="68">
        <v>255</v>
      </c>
      <c r="K58" s="73">
        <v>4.86792452830189</v>
      </c>
      <c r="L58" s="68">
        <v>4.81132075471698</v>
      </c>
      <c r="M58" s="69">
        <v>46424.85</v>
      </c>
      <c r="N58" s="68">
        <v>7</v>
      </c>
      <c r="O58" s="67">
        <v>772</v>
      </c>
      <c r="P58" s="68">
        <v>2085.93000000001</v>
      </c>
    </row>
    <row r="59" spans="1:16">
      <c r="A59" s="63" t="s">
        <v>214</v>
      </c>
      <c r="B59" s="63" t="s">
        <v>82</v>
      </c>
      <c r="C59" s="63" t="s">
        <v>83</v>
      </c>
      <c r="D59" s="63" t="s">
        <v>9</v>
      </c>
      <c r="E59" s="63" t="s">
        <v>160</v>
      </c>
      <c r="F59" s="66" t="s">
        <v>148</v>
      </c>
      <c r="G59" s="67">
        <v>57</v>
      </c>
      <c r="H59" s="67">
        <v>243</v>
      </c>
      <c r="I59" s="67">
        <v>240</v>
      </c>
      <c r="J59" s="68">
        <v>239</v>
      </c>
      <c r="K59" s="73">
        <v>4.21052631578947</v>
      </c>
      <c r="L59" s="68">
        <v>4.19298245614035</v>
      </c>
      <c r="M59" s="69">
        <v>43338.66</v>
      </c>
      <c r="N59" s="68">
        <v>0</v>
      </c>
      <c r="O59" s="67">
        <v>736</v>
      </c>
      <c r="P59" s="68">
        <v>1194.38000000001</v>
      </c>
    </row>
    <row r="60" spans="1:16">
      <c r="A60" s="63" t="s">
        <v>214</v>
      </c>
      <c r="B60" s="63" t="s">
        <v>82</v>
      </c>
      <c r="C60" s="63" t="s">
        <v>83</v>
      </c>
      <c r="D60" s="63" t="s">
        <v>5</v>
      </c>
      <c r="E60" s="63" t="s">
        <v>161</v>
      </c>
      <c r="F60" s="66" t="s">
        <v>148</v>
      </c>
      <c r="G60" s="67">
        <v>48</v>
      </c>
      <c r="H60" s="67">
        <v>290</v>
      </c>
      <c r="I60" s="67">
        <v>289</v>
      </c>
      <c r="J60" s="68">
        <v>288</v>
      </c>
      <c r="K60" s="73">
        <v>6.02083333333333</v>
      </c>
      <c r="L60" s="68">
        <v>6</v>
      </c>
      <c r="M60" s="69">
        <v>46410.8</v>
      </c>
      <c r="N60" s="68">
        <v>1</v>
      </c>
      <c r="O60" s="67">
        <v>906</v>
      </c>
      <c r="P60" s="68">
        <v>1906.19000000001</v>
      </c>
    </row>
    <row r="61" spans="1:16">
      <c r="A61" s="63" t="s">
        <v>214</v>
      </c>
      <c r="B61" s="63" t="s">
        <v>82</v>
      </c>
      <c r="C61" s="63" t="s">
        <v>83</v>
      </c>
      <c r="D61" s="63" t="s">
        <v>4</v>
      </c>
      <c r="E61" s="63" t="s">
        <v>162</v>
      </c>
      <c r="F61" s="66" t="s">
        <v>148</v>
      </c>
      <c r="G61" s="67">
        <v>36</v>
      </c>
      <c r="H61" s="67">
        <v>166</v>
      </c>
      <c r="I61" s="67">
        <v>162</v>
      </c>
      <c r="J61" s="68">
        <v>158</v>
      </c>
      <c r="K61" s="73">
        <v>4.5</v>
      </c>
      <c r="L61" s="68">
        <v>4.38888888888889</v>
      </c>
      <c r="M61" s="69">
        <v>25159.5</v>
      </c>
      <c r="N61" s="68">
        <v>16</v>
      </c>
      <c r="O61" s="67">
        <v>430</v>
      </c>
      <c r="P61" s="68">
        <v>1418.12999999999</v>
      </c>
    </row>
    <row r="62" spans="1:16">
      <c r="A62" s="63" t="s">
        <v>214</v>
      </c>
      <c r="B62" s="63" t="s">
        <v>82</v>
      </c>
      <c r="C62" s="63" t="s">
        <v>83</v>
      </c>
      <c r="D62" s="63" t="s">
        <v>7</v>
      </c>
      <c r="E62" s="63" t="s">
        <v>163</v>
      </c>
      <c r="F62" s="66" t="s">
        <v>148</v>
      </c>
      <c r="G62" s="67">
        <v>55</v>
      </c>
      <c r="H62" s="67">
        <v>323</v>
      </c>
      <c r="I62" s="67">
        <v>322</v>
      </c>
      <c r="J62" s="68">
        <v>315</v>
      </c>
      <c r="K62" s="73">
        <v>5.85454545454545</v>
      </c>
      <c r="L62" s="68">
        <v>5.72727272727273</v>
      </c>
      <c r="M62" s="69">
        <v>43617.35</v>
      </c>
      <c r="N62" s="68">
        <v>22</v>
      </c>
      <c r="O62" s="67">
        <v>769</v>
      </c>
      <c r="P62" s="68">
        <v>1805.45000000002</v>
      </c>
    </row>
    <row r="63" spans="1:16">
      <c r="A63" s="63" t="s">
        <v>214</v>
      </c>
      <c r="B63" s="63" t="s">
        <v>82</v>
      </c>
      <c r="C63" s="63" t="s">
        <v>83</v>
      </c>
      <c r="D63" s="63" t="s">
        <v>8</v>
      </c>
      <c r="E63" s="63" t="s">
        <v>164</v>
      </c>
      <c r="F63" s="66" t="s">
        <v>148</v>
      </c>
      <c r="G63" s="67">
        <v>56</v>
      </c>
      <c r="H63" s="67">
        <v>193</v>
      </c>
      <c r="I63" s="67">
        <v>187</v>
      </c>
      <c r="J63" s="68">
        <v>190</v>
      </c>
      <c r="K63" s="73">
        <v>3.33928571428571</v>
      </c>
      <c r="L63" s="68">
        <v>3.39285714285714</v>
      </c>
      <c r="M63" s="69">
        <v>28195.95</v>
      </c>
      <c r="N63" s="68">
        <v>1</v>
      </c>
      <c r="O63" s="67">
        <v>581</v>
      </c>
      <c r="P63" s="68">
        <v>1673.71</v>
      </c>
    </row>
    <row r="64" spans="1:16">
      <c r="A64" s="63" t="s">
        <v>214</v>
      </c>
      <c r="B64" s="63" t="s">
        <v>82</v>
      </c>
      <c r="C64" s="63" t="s">
        <v>83</v>
      </c>
      <c r="D64" s="63" t="s">
        <v>6</v>
      </c>
      <c r="E64" s="63" t="s">
        <v>165</v>
      </c>
      <c r="F64" s="66" t="s">
        <v>148</v>
      </c>
      <c r="G64" s="67">
        <v>70</v>
      </c>
      <c r="H64" s="67">
        <v>313</v>
      </c>
      <c r="I64" s="67">
        <v>310</v>
      </c>
      <c r="J64" s="68">
        <v>309</v>
      </c>
      <c r="K64" s="73">
        <v>4.42857142857143</v>
      </c>
      <c r="L64" s="68">
        <v>4.41428571428571</v>
      </c>
      <c r="M64" s="69">
        <v>49206.1</v>
      </c>
      <c r="N64" s="68">
        <v>4</v>
      </c>
      <c r="O64" s="67">
        <v>887</v>
      </c>
      <c r="P64" s="68">
        <v>1979.95999999999</v>
      </c>
    </row>
    <row r="65" spans="1:16">
      <c r="A65" s="63" t="s">
        <v>215</v>
      </c>
      <c r="B65" s="63" t="s">
        <v>82</v>
      </c>
      <c r="C65" s="63" t="s">
        <v>83</v>
      </c>
      <c r="D65" s="63" t="s">
        <v>3</v>
      </c>
      <c r="E65" s="63" t="s">
        <v>158</v>
      </c>
      <c r="F65" s="66" t="s">
        <v>148</v>
      </c>
      <c r="G65" s="67">
        <v>53</v>
      </c>
      <c r="H65" s="67">
        <v>280</v>
      </c>
      <c r="I65" s="67">
        <v>274</v>
      </c>
      <c r="J65" s="68">
        <v>273</v>
      </c>
      <c r="K65" s="73">
        <v>5.16981132075472</v>
      </c>
      <c r="L65" s="68">
        <v>5.15094339622642</v>
      </c>
      <c r="M65" s="69">
        <v>42764.7</v>
      </c>
      <c r="N65" s="68">
        <v>3</v>
      </c>
      <c r="O65" s="67">
        <v>789</v>
      </c>
      <c r="P65" s="68">
        <v>3009.72999999998</v>
      </c>
    </row>
    <row r="66" spans="1:16">
      <c r="A66" s="63" t="s">
        <v>215</v>
      </c>
      <c r="B66" s="63" t="s">
        <v>82</v>
      </c>
      <c r="C66" s="63" t="s">
        <v>83</v>
      </c>
      <c r="D66" s="63" t="s">
        <v>9</v>
      </c>
      <c r="E66" s="63" t="s">
        <v>160</v>
      </c>
      <c r="F66" s="66" t="s">
        <v>148</v>
      </c>
      <c r="G66" s="67">
        <v>57</v>
      </c>
      <c r="H66" s="67">
        <v>199</v>
      </c>
      <c r="I66" s="67">
        <v>197</v>
      </c>
      <c r="J66" s="68">
        <v>198</v>
      </c>
      <c r="K66" s="73">
        <v>3.45614035087719</v>
      </c>
      <c r="L66" s="68">
        <v>3.47368421052632</v>
      </c>
      <c r="M66" s="69">
        <v>33137.13</v>
      </c>
      <c r="N66" s="68">
        <v>0</v>
      </c>
      <c r="O66" s="67">
        <v>596</v>
      </c>
      <c r="P66" s="68">
        <v>1904.67</v>
      </c>
    </row>
    <row r="67" spans="1:16">
      <c r="A67" s="63" t="s">
        <v>215</v>
      </c>
      <c r="B67" s="63" t="s">
        <v>82</v>
      </c>
      <c r="C67" s="63" t="s">
        <v>83</v>
      </c>
      <c r="D67" s="63" t="s">
        <v>5</v>
      </c>
      <c r="E67" s="63" t="s">
        <v>161</v>
      </c>
      <c r="F67" s="66" t="s">
        <v>148</v>
      </c>
      <c r="G67" s="67">
        <v>48</v>
      </c>
      <c r="H67" s="67">
        <v>353</v>
      </c>
      <c r="I67" s="67">
        <v>351</v>
      </c>
      <c r="J67" s="68">
        <v>351</v>
      </c>
      <c r="K67" s="73">
        <v>7.3125</v>
      </c>
      <c r="L67" s="68">
        <v>7.3125</v>
      </c>
      <c r="M67" s="69">
        <v>42380.65</v>
      </c>
      <c r="N67" s="68">
        <v>5</v>
      </c>
      <c r="O67" s="67">
        <v>1057</v>
      </c>
      <c r="P67" s="68">
        <v>2694.03</v>
      </c>
    </row>
    <row r="68" spans="1:16">
      <c r="A68" s="63" t="s">
        <v>215</v>
      </c>
      <c r="B68" s="63" t="s">
        <v>82</v>
      </c>
      <c r="C68" s="63" t="s">
        <v>83</v>
      </c>
      <c r="D68" s="63" t="s">
        <v>4</v>
      </c>
      <c r="E68" s="63" t="s">
        <v>162</v>
      </c>
      <c r="F68" s="66" t="s">
        <v>148</v>
      </c>
      <c r="G68" s="67">
        <v>36</v>
      </c>
      <c r="H68" s="67">
        <v>168</v>
      </c>
      <c r="I68" s="67">
        <v>165</v>
      </c>
      <c r="J68" s="68">
        <v>160</v>
      </c>
      <c r="K68" s="73">
        <v>4.58333333333333</v>
      </c>
      <c r="L68" s="68">
        <v>4.44444444444444</v>
      </c>
      <c r="M68" s="69">
        <v>21499.7</v>
      </c>
      <c r="N68" s="68">
        <v>18</v>
      </c>
      <c r="O68" s="67">
        <v>392</v>
      </c>
      <c r="P68" s="68">
        <v>997.060000000003</v>
      </c>
    </row>
    <row r="69" spans="1:16">
      <c r="A69" s="63" t="s">
        <v>215</v>
      </c>
      <c r="B69" s="63" t="s">
        <v>82</v>
      </c>
      <c r="C69" s="63" t="s">
        <v>83</v>
      </c>
      <c r="D69" s="63" t="s">
        <v>7</v>
      </c>
      <c r="E69" s="63" t="s">
        <v>163</v>
      </c>
      <c r="F69" s="66" t="s">
        <v>148</v>
      </c>
      <c r="G69" s="67">
        <v>55</v>
      </c>
      <c r="H69" s="67">
        <v>355</v>
      </c>
      <c r="I69" s="67">
        <v>352</v>
      </c>
      <c r="J69" s="68">
        <v>351</v>
      </c>
      <c r="K69" s="73">
        <v>6.4</v>
      </c>
      <c r="L69" s="68">
        <v>6.38181818181818</v>
      </c>
      <c r="M69" s="69">
        <v>41987.05</v>
      </c>
      <c r="N69" s="68">
        <v>27</v>
      </c>
      <c r="O69" s="67">
        <v>810</v>
      </c>
      <c r="P69" s="68">
        <v>2105.01</v>
      </c>
    </row>
    <row r="70" spans="1:16">
      <c r="A70" s="63" t="s">
        <v>215</v>
      </c>
      <c r="B70" s="63" t="s">
        <v>82</v>
      </c>
      <c r="C70" s="63" t="s">
        <v>83</v>
      </c>
      <c r="D70" s="63" t="s">
        <v>8</v>
      </c>
      <c r="E70" s="63" t="s">
        <v>164</v>
      </c>
      <c r="F70" s="66" t="s">
        <v>148</v>
      </c>
      <c r="G70" s="67">
        <v>56</v>
      </c>
      <c r="H70" s="67">
        <v>221</v>
      </c>
      <c r="I70" s="67">
        <v>220</v>
      </c>
      <c r="J70" s="68">
        <v>218</v>
      </c>
      <c r="K70" s="73">
        <v>3.92857142857143</v>
      </c>
      <c r="L70" s="68">
        <v>3.89285714285714</v>
      </c>
      <c r="M70" s="69">
        <v>28440.2</v>
      </c>
      <c r="N70" s="68">
        <v>0</v>
      </c>
      <c r="O70" s="67">
        <v>647</v>
      </c>
      <c r="P70" s="68">
        <v>1385.33000000001</v>
      </c>
    </row>
    <row r="71" spans="1:16">
      <c r="A71" s="63" t="s">
        <v>215</v>
      </c>
      <c r="B71" s="63" t="s">
        <v>82</v>
      </c>
      <c r="C71" s="63" t="s">
        <v>83</v>
      </c>
      <c r="D71" s="63" t="s">
        <v>6</v>
      </c>
      <c r="E71" s="63" t="s">
        <v>165</v>
      </c>
      <c r="F71" s="66" t="s">
        <v>148</v>
      </c>
      <c r="G71" s="67">
        <v>70</v>
      </c>
      <c r="H71" s="67">
        <v>388</v>
      </c>
      <c r="I71" s="67">
        <v>383</v>
      </c>
      <c r="J71" s="68">
        <v>381</v>
      </c>
      <c r="K71" s="73">
        <v>5.47142857142857</v>
      </c>
      <c r="L71" s="68">
        <v>5.44285714285714</v>
      </c>
      <c r="M71" s="69">
        <v>47079.7</v>
      </c>
      <c r="N71" s="68">
        <v>15</v>
      </c>
      <c r="O71" s="67">
        <v>1044</v>
      </c>
      <c r="P71" s="68">
        <v>3001.11000000001</v>
      </c>
    </row>
    <row r="72" spans="1:16">
      <c r="A72" s="63" t="s">
        <v>216</v>
      </c>
      <c r="B72" s="63" t="s">
        <v>82</v>
      </c>
      <c r="C72" s="63" t="s">
        <v>83</v>
      </c>
      <c r="D72" s="63" t="s">
        <v>3</v>
      </c>
      <c r="E72" s="63" t="s">
        <v>158</v>
      </c>
      <c r="F72" s="66" t="s">
        <v>159</v>
      </c>
      <c r="G72" s="67">
        <v>53</v>
      </c>
      <c r="H72" s="67">
        <v>243</v>
      </c>
      <c r="I72" s="67">
        <v>238</v>
      </c>
      <c r="J72" s="68">
        <v>235</v>
      </c>
      <c r="K72" s="73">
        <v>4.49056603773585</v>
      </c>
      <c r="L72" s="68">
        <v>4.43396226415094</v>
      </c>
      <c r="M72" s="69">
        <v>33483.6</v>
      </c>
      <c r="N72" s="68">
        <v>0</v>
      </c>
      <c r="O72" s="67">
        <v>704</v>
      </c>
      <c r="P72" s="68">
        <v>2057.07000000002</v>
      </c>
    </row>
    <row r="73" spans="1:16">
      <c r="A73" s="63" t="s">
        <v>216</v>
      </c>
      <c r="B73" s="63" t="s">
        <v>82</v>
      </c>
      <c r="C73" s="63" t="s">
        <v>83</v>
      </c>
      <c r="D73" s="63" t="s">
        <v>9</v>
      </c>
      <c r="E73" s="63" t="s">
        <v>160</v>
      </c>
      <c r="F73" s="66" t="s">
        <v>159</v>
      </c>
      <c r="G73" s="67">
        <v>57</v>
      </c>
      <c r="H73" s="67">
        <v>184</v>
      </c>
      <c r="I73" s="67">
        <v>183</v>
      </c>
      <c r="J73" s="68">
        <v>179</v>
      </c>
      <c r="K73" s="73">
        <v>3.21052631578947</v>
      </c>
      <c r="L73" s="68">
        <v>3.14035087719298</v>
      </c>
      <c r="M73" s="69">
        <v>28506.27</v>
      </c>
      <c r="N73" s="68">
        <v>0</v>
      </c>
      <c r="O73" s="67">
        <v>541</v>
      </c>
      <c r="P73" s="68">
        <v>2310.27</v>
      </c>
    </row>
    <row r="74" spans="1:16">
      <c r="A74" s="63" t="s">
        <v>216</v>
      </c>
      <c r="B74" s="63" t="s">
        <v>82</v>
      </c>
      <c r="C74" s="63" t="s">
        <v>83</v>
      </c>
      <c r="D74" s="63" t="s">
        <v>5</v>
      </c>
      <c r="E74" s="63" t="s">
        <v>161</v>
      </c>
      <c r="F74" s="66" t="s">
        <v>159</v>
      </c>
      <c r="G74" s="67">
        <v>48</v>
      </c>
      <c r="H74" s="67">
        <v>285</v>
      </c>
      <c r="I74" s="67">
        <v>283</v>
      </c>
      <c r="J74" s="68">
        <v>282</v>
      </c>
      <c r="K74" s="73">
        <v>5.89583333333333</v>
      </c>
      <c r="L74" s="68">
        <v>5.875</v>
      </c>
      <c r="M74" s="69">
        <v>34545.55</v>
      </c>
      <c r="N74" s="68">
        <v>6</v>
      </c>
      <c r="O74" s="67">
        <v>841</v>
      </c>
      <c r="P74" s="68">
        <v>1682.82</v>
      </c>
    </row>
    <row r="75" spans="1:16">
      <c r="A75" s="63" t="s">
        <v>216</v>
      </c>
      <c r="B75" s="63" t="s">
        <v>82</v>
      </c>
      <c r="C75" s="63" t="s">
        <v>83</v>
      </c>
      <c r="D75" s="63" t="s">
        <v>4</v>
      </c>
      <c r="E75" s="63" t="s">
        <v>162</v>
      </c>
      <c r="F75" s="66" t="s">
        <v>159</v>
      </c>
      <c r="G75" s="67">
        <v>36</v>
      </c>
      <c r="H75" s="67">
        <v>111</v>
      </c>
      <c r="I75" s="67">
        <v>109</v>
      </c>
      <c r="J75" s="68">
        <v>108</v>
      </c>
      <c r="K75" s="73">
        <v>3.02777777777778</v>
      </c>
      <c r="L75" s="68">
        <v>3</v>
      </c>
      <c r="M75" s="69">
        <v>14353.8</v>
      </c>
      <c r="N75" s="68">
        <v>20</v>
      </c>
      <c r="O75" s="67">
        <v>264</v>
      </c>
      <c r="P75" s="68">
        <v>601.700000000002</v>
      </c>
    </row>
    <row r="76" spans="1:16">
      <c r="A76" s="63" t="s">
        <v>216</v>
      </c>
      <c r="B76" s="63" t="s">
        <v>82</v>
      </c>
      <c r="C76" s="63" t="s">
        <v>83</v>
      </c>
      <c r="D76" s="63" t="s">
        <v>7</v>
      </c>
      <c r="E76" s="63" t="s">
        <v>163</v>
      </c>
      <c r="F76" s="66" t="s">
        <v>159</v>
      </c>
      <c r="G76" s="67">
        <v>55</v>
      </c>
      <c r="H76" s="67">
        <v>310</v>
      </c>
      <c r="I76" s="67">
        <v>309</v>
      </c>
      <c r="J76" s="68">
        <v>303</v>
      </c>
      <c r="K76" s="73">
        <v>5.61818181818182</v>
      </c>
      <c r="L76" s="68">
        <v>5.50909090909091</v>
      </c>
      <c r="M76" s="69">
        <v>39010.75</v>
      </c>
      <c r="N76" s="68">
        <v>35</v>
      </c>
      <c r="O76" s="67">
        <v>723</v>
      </c>
      <c r="P76" s="68">
        <v>1882.08999999999</v>
      </c>
    </row>
    <row r="77" spans="1:16">
      <c r="A77" s="63" t="s">
        <v>216</v>
      </c>
      <c r="B77" s="63" t="s">
        <v>82</v>
      </c>
      <c r="C77" s="63" t="s">
        <v>83</v>
      </c>
      <c r="D77" s="63" t="s">
        <v>8</v>
      </c>
      <c r="E77" s="63" t="s">
        <v>164</v>
      </c>
      <c r="F77" s="66" t="s">
        <v>159</v>
      </c>
      <c r="G77" s="67">
        <v>56</v>
      </c>
      <c r="H77" s="67">
        <v>173</v>
      </c>
      <c r="I77" s="67">
        <v>169</v>
      </c>
      <c r="J77" s="68">
        <v>169</v>
      </c>
      <c r="K77" s="73">
        <v>3.01785714285714</v>
      </c>
      <c r="L77" s="68">
        <v>3.01785714285714</v>
      </c>
      <c r="M77" s="69">
        <v>20212.6</v>
      </c>
      <c r="N77" s="68">
        <v>0</v>
      </c>
      <c r="O77" s="67">
        <v>475</v>
      </c>
      <c r="P77" s="68">
        <v>1376.35</v>
      </c>
    </row>
    <row r="78" spans="1:16">
      <c r="A78" s="63" t="s">
        <v>216</v>
      </c>
      <c r="B78" s="63" t="s">
        <v>82</v>
      </c>
      <c r="C78" s="63" t="s">
        <v>83</v>
      </c>
      <c r="D78" s="63" t="s">
        <v>6</v>
      </c>
      <c r="E78" s="63" t="s">
        <v>165</v>
      </c>
      <c r="F78" s="66" t="s">
        <v>159</v>
      </c>
      <c r="G78" s="67">
        <v>70</v>
      </c>
      <c r="H78" s="67">
        <v>295</v>
      </c>
      <c r="I78" s="67">
        <v>293</v>
      </c>
      <c r="J78" s="68">
        <v>293</v>
      </c>
      <c r="K78" s="73">
        <v>4.18571428571429</v>
      </c>
      <c r="L78" s="68">
        <v>4.18571428571429</v>
      </c>
      <c r="M78" s="69">
        <v>34086.15</v>
      </c>
      <c r="N78" s="68">
        <v>5</v>
      </c>
      <c r="O78" s="67">
        <v>774</v>
      </c>
      <c r="P78" s="68">
        <v>1869.7</v>
      </c>
    </row>
    <row r="79" spans="1:16">
      <c r="A79" s="63" t="s">
        <v>217</v>
      </c>
      <c r="B79" s="63" t="s">
        <v>82</v>
      </c>
      <c r="C79" s="63" t="s">
        <v>83</v>
      </c>
      <c r="D79" s="63" t="s">
        <v>3</v>
      </c>
      <c r="E79" s="63" t="s">
        <v>158</v>
      </c>
      <c r="F79" s="66" t="s">
        <v>159</v>
      </c>
      <c r="G79" s="67">
        <v>53</v>
      </c>
      <c r="H79" s="67">
        <v>200</v>
      </c>
      <c r="I79" s="67">
        <v>194</v>
      </c>
      <c r="J79" s="68">
        <v>190</v>
      </c>
      <c r="K79" s="73">
        <v>3.66037735849057</v>
      </c>
      <c r="L79" s="68">
        <v>3.58490566037736</v>
      </c>
      <c r="M79" s="69">
        <v>26414.1</v>
      </c>
      <c r="N79" s="68">
        <v>2</v>
      </c>
      <c r="O79" s="67">
        <v>513</v>
      </c>
      <c r="P79" s="68">
        <v>1800.08000000001</v>
      </c>
    </row>
    <row r="80" spans="1:16">
      <c r="A80" s="63" t="s">
        <v>217</v>
      </c>
      <c r="B80" s="63" t="s">
        <v>82</v>
      </c>
      <c r="C80" s="63" t="s">
        <v>83</v>
      </c>
      <c r="D80" s="63" t="s">
        <v>9</v>
      </c>
      <c r="E80" s="63" t="s">
        <v>160</v>
      </c>
      <c r="F80" s="66" t="s">
        <v>159</v>
      </c>
      <c r="G80" s="67">
        <v>57</v>
      </c>
      <c r="H80" s="67">
        <v>176</v>
      </c>
      <c r="I80" s="67">
        <v>174</v>
      </c>
      <c r="J80" s="68">
        <v>174</v>
      </c>
      <c r="K80" s="73">
        <v>3.05263157894737</v>
      </c>
      <c r="L80" s="68">
        <v>3.05263157894737</v>
      </c>
      <c r="M80" s="69">
        <v>26681.75</v>
      </c>
      <c r="N80" s="68">
        <v>0</v>
      </c>
      <c r="O80" s="67">
        <v>504</v>
      </c>
      <c r="P80" s="68">
        <v>2365.8</v>
      </c>
    </row>
    <row r="81" spans="1:16">
      <c r="A81" s="63" t="s">
        <v>217</v>
      </c>
      <c r="B81" s="63" t="s">
        <v>82</v>
      </c>
      <c r="C81" s="63" t="s">
        <v>83</v>
      </c>
      <c r="D81" s="63" t="s">
        <v>5</v>
      </c>
      <c r="E81" s="63" t="s">
        <v>161</v>
      </c>
      <c r="F81" s="66" t="s">
        <v>159</v>
      </c>
      <c r="G81" s="67">
        <v>48</v>
      </c>
      <c r="H81" s="67">
        <v>277</v>
      </c>
      <c r="I81" s="67">
        <v>273</v>
      </c>
      <c r="J81" s="68">
        <v>272</v>
      </c>
      <c r="K81" s="73">
        <v>5.6875</v>
      </c>
      <c r="L81" s="68">
        <v>5.66666666666667</v>
      </c>
      <c r="M81" s="69">
        <v>32788.45</v>
      </c>
      <c r="N81" s="68">
        <v>0</v>
      </c>
      <c r="O81" s="67">
        <v>764</v>
      </c>
      <c r="P81" s="68">
        <v>1531.62000000001</v>
      </c>
    </row>
    <row r="82" spans="1:16">
      <c r="A82" s="63" t="s">
        <v>217</v>
      </c>
      <c r="B82" s="63" t="s">
        <v>82</v>
      </c>
      <c r="C82" s="63" t="s">
        <v>83</v>
      </c>
      <c r="D82" s="63" t="s">
        <v>4</v>
      </c>
      <c r="E82" s="63" t="s">
        <v>162</v>
      </c>
      <c r="F82" s="66" t="s">
        <v>159</v>
      </c>
      <c r="G82" s="67">
        <v>36</v>
      </c>
      <c r="H82" s="67">
        <v>114</v>
      </c>
      <c r="I82" s="67">
        <v>110</v>
      </c>
      <c r="J82" s="68">
        <v>108</v>
      </c>
      <c r="K82" s="73">
        <v>3.05555555555556</v>
      </c>
      <c r="L82" s="68">
        <v>3</v>
      </c>
      <c r="M82" s="69">
        <v>14097.25</v>
      </c>
      <c r="N82" s="68">
        <v>14</v>
      </c>
      <c r="O82" s="67">
        <v>256</v>
      </c>
      <c r="P82" s="68">
        <v>943.600000000004</v>
      </c>
    </row>
    <row r="83" spans="1:16">
      <c r="A83" s="63" t="s">
        <v>217</v>
      </c>
      <c r="B83" s="63" t="s">
        <v>82</v>
      </c>
      <c r="C83" s="63" t="s">
        <v>83</v>
      </c>
      <c r="D83" s="63" t="s">
        <v>7</v>
      </c>
      <c r="E83" s="63" t="s">
        <v>163</v>
      </c>
      <c r="F83" s="66" t="s">
        <v>159</v>
      </c>
      <c r="G83" s="67">
        <v>55</v>
      </c>
      <c r="H83" s="67">
        <v>267</v>
      </c>
      <c r="I83" s="67">
        <v>265</v>
      </c>
      <c r="J83" s="68">
        <v>260</v>
      </c>
      <c r="K83" s="73">
        <v>4.81818181818182</v>
      </c>
      <c r="L83" s="68">
        <v>4.72727272727273</v>
      </c>
      <c r="M83" s="69">
        <v>31674</v>
      </c>
      <c r="N83" s="68">
        <v>25</v>
      </c>
      <c r="O83" s="67">
        <v>598</v>
      </c>
      <c r="P83" s="68">
        <v>1469.56</v>
      </c>
    </row>
    <row r="84" spans="1:16">
      <c r="A84" s="63" t="s">
        <v>217</v>
      </c>
      <c r="B84" s="63" t="s">
        <v>82</v>
      </c>
      <c r="C84" s="63" t="s">
        <v>83</v>
      </c>
      <c r="D84" s="63" t="s">
        <v>8</v>
      </c>
      <c r="E84" s="63" t="s">
        <v>164</v>
      </c>
      <c r="F84" s="66" t="s">
        <v>159</v>
      </c>
      <c r="G84" s="67">
        <v>56</v>
      </c>
      <c r="H84" s="67">
        <v>154</v>
      </c>
      <c r="I84" s="67">
        <v>147</v>
      </c>
      <c r="J84" s="68">
        <v>148</v>
      </c>
      <c r="K84" s="73">
        <v>2.625</v>
      </c>
      <c r="L84" s="68">
        <v>2.64285714285714</v>
      </c>
      <c r="M84" s="69">
        <v>17979.9</v>
      </c>
      <c r="N84" s="68">
        <v>0</v>
      </c>
      <c r="O84" s="67">
        <v>434</v>
      </c>
      <c r="P84" s="68">
        <v>1370.36</v>
      </c>
    </row>
    <row r="85" spans="1:16">
      <c r="A85" s="63" t="s">
        <v>217</v>
      </c>
      <c r="B85" s="63" t="s">
        <v>82</v>
      </c>
      <c r="C85" s="63" t="s">
        <v>83</v>
      </c>
      <c r="D85" s="63" t="s">
        <v>6</v>
      </c>
      <c r="E85" s="63" t="s">
        <v>165</v>
      </c>
      <c r="F85" s="66" t="s">
        <v>159</v>
      </c>
      <c r="G85" s="67">
        <v>70</v>
      </c>
      <c r="H85" s="67">
        <v>242</v>
      </c>
      <c r="I85" s="67">
        <v>239</v>
      </c>
      <c r="J85" s="68">
        <v>240</v>
      </c>
      <c r="K85" s="73">
        <v>3.41428571428571</v>
      </c>
      <c r="L85" s="68">
        <v>3.42857142857143</v>
      </c>
      <c r="M85" s="69">
        <v>26776.6</v>
      </c>
      <c r="N85" s="68">
        <v>2</v>
      </c>
      <c r="O85" s="67">
        <v>610</v>
      </c>
      <c r="P85" s="68">
        <v>1810.00000000001</v>
      </c>
    </row>
    <row r="86" spans="1:16">
      <c r="A86" s="63" t="s">
        <v>218</v>
      </c>
      <c r="B86" s="63" t="s">
        <v>82</v>
      </c>
      <c r="C86" s="63" t="s">
        <v>83</v>
      </c>
      <c r="D86" s="63" t="s">
        <v>3</v>
      </c>
      <c r="E86" s="63" t="s">
        <v>158</v>
      </c>
      <c r="F86" s="66" t="s">
        <v>159</v>
      </c>
      <c r="G86" s="67">
        <v>53</v>
      </c>
      <c r="H86" s="67">
        <v>215</v>
      </c>
      <c r="I86" s="67">
        <v>207</v>
      </c>
      <c r="J86" s="68">
        <v>200</v>
      </c>
      <c r="K86" s="73">
        <v>3.90566037735849</v>
      </c>
      <c r="L86" s="68">
        <v>3.77358490566038</v>
      </c>
      <c r="M86" s="69">
        <v>27365.1</v>
      </c>
      <c r="N86" s="68">
        <v>4</v>
      </c>
      <c r="O86" s="67">
        <v>573</v>
      </c>
      <c r="P86" s="68">
        <v>1840.24</v>
      </c>
    </row>
    <row r="87" spans="1:16">
      <c r="A87" s="63" t="s">
        <v>218</v>
      </c>
      <c r="B87" s="63" t="s">
        <v>82</v>
      </c>
      <c r="C87" s="63" t="s">
        <v>83</v>
      </c>
      <c r="D87" s="63" t="s">
        <v>9</v>
      </c>
      <c r="E87" s="63" t="s">
        <v>160</v>
      </c>
      <c r="F87" s="66" t="s">
        <v>159</v>
      </c>
      <c r="G87" s="67">
        <v>57</v>
      </c>
      <c r="H87" s="67">
        <v>177</v>
      </c>
      <c r="I87" s="67">
        <v>176</v>
      </c>
      <c r="J87" s="68">
        <v>173</v>
      </c>
      <c r="K87" s="73">
        <v>3.08771929824561</v>
      </c>
      <c r="L87" s="68">
        <v>3.03508771929825</v>
      </c>
      <c r="M87" s="69">
        <v>29090.11</v>
      </c>
      <c r="N87" s="68">
        <v>0</v>
      </c>
      <c r="O87" s="67">
        <v>537</v>
      </c>
      <c r="P87" s="68">
        <v>2111.56</v>
      </c>
    </row>
    <row r="88" spans="1:16">
      <c r="A88" s="63" t="s">
        <v>218</v>
      </c>
      <c r="B88" s="63" t="s">
        <v>82</v>
      </c>
      <c r="C88" s="63" t="s">
        <v>83</v>
      </c>
      <c r="D88" s="63" t="s">
        <v>5</v>
      </c>
      <c r="E88" s="63" t="s">
        <v>161</v>
      </c>
      <c r="F88" s="66" t="s">
        <v>159</v>
      </c>
      <c r="G88" s="67">
        <v>48</v>
      </c>
      <c r="H88" s="67">
        <v>239</v>
      </c>
      <c r="I88" s="67">
        <v>237</v>
      </c>
      <c r="J88" s="68">
        <v>236</v>
      </c>
      <c r="K88" s="73">
        <v>4.9375</v>
      </c>
      <c r="L88" s="68">
        <v>4.91666666666667</v>
      </c>
      <c r="M88" s="69">
        <v>28574.55</v>
      </c>
      <c r="N88" s="68">
        <v>5</v>
      </c>
      <c r="O88" s="67">
        <v>688</v>
      </c>
      <c r="P88" s="68">
        <v>1677.80000000001</v>
      </c>
    </row>
    <row r="89" spans="1:16">
      <c r="A89" s="63" t="s">
        <v>218</v>
      </c>
      <c r="B89" s="63" t="s">
        <v>82</v>
      </c>
      <c r="C89" s="63" t="s">
        <v>83</v>
      </c>
      <c r="D89" s="63" t="s">
        <v>4</v>
      </c>
      <c r="E89" s="63" t="s">
        <v>162</v>
      </c>
      <c r="F89" s="66" t="s">
        <v>159</v>
      </c>
      <c r="G89" s="67">
        <v>36</v>
      </c>
      <c r="H89" s="67">
        <v>129</v>
      </c>
      <c r="I89" s="67">
        <v>124</v>
      </c>
      <c r="J89" s="68">
        <v>122</v>
      </c>
      <c r="K89" s="73">
        <v>3.44444444444444</v>
      </c>
      <c r="L89" s="68">
        <v>3.38888888888889</v>
      </c>
      <c r="M89" s="69">
        <v>15974.2</v>
      </c>
      <c r="N89" s="68">
        <v>16</v>
      </c>
      <c r="O89" s="67">
        <v>302</v>
      </c>
      <c r="P89" s="68">
        <v>859.620000000005</v>
      </c>
    </row>
    <row r="90" spans="1:16">
      <c r="A90" s="63" t="s">
        <v>218</v>
      </c>
      <c r="B90" s="63" t="s">
        <v>82</v>
      </c>
      <c r="C90" s="63" t="s">
        <v>83</v>
      </c>
      <c r="D90" s="63" t="s">
        <v>7</v>
      </c>
      <c r="E90" s="63" t="s">
        <v>163</v>
      </c>
      <c r="F90" s="66" t="s">
        <v>159</v>
      </c>
      <c r="G90" s="67">
        <v>55</v>
      </c>
      <c r="H90" s="67">
        <v>286</v>
      </c>
      <c r="I90" s="67">
        <v>282</v>
      </c>
      <c r="J90" s="68">
        <v>279</v>
      </c>
      <c r="K90" s="73">
        <v>5.12727272727273</v>
      </c>
      <c r="L90" s="68">
        <v>5.07272727272727</v>
      </c>
      <c r="M90" s="69">
        <v>34592.95</v>
      </c>
      <c r="N90" s="68">
        <v>36</v>
      </c>
      <c r="O90" s="67">
        <v>632</v>
      </c>
      <c r="P90" s="68">
        <v>1239.13000000001</v>
      </c>
    </row>
    <row r="91" spans="1:16">
      <c r="A91" s="63" t="s">
        <v>218</v>
      </c>
      <c r="B91" s="63" t="s">
        <v>82</v>
      </c>
      <c r="C91" s="63" t="s">
        <v>83</v>
      </c>
      <c r="D91" s="63" t="s">
        <v>8</v>
      </c>
      <c r="E91" s="63" t="s">
        <v>164</v>
      </c>
      <c r="F91" s="66" t="s">
        <v>159</v>
      </c>
      <c r="G91" s="67">
        <v>56</v>
      </c>
      <c r="H91" s="67">
        <v>175</v>
      </c>
      <c r="I91" s="67">
        <v>172</v>
      </c>
      <c r="J91" s="68">
        <v>171</v>
      </c>
      <c r="K91" s="73">
        <v>3.07142857142857</v>
      </c>
      <c r="L91" s="68">
        <v>3.05357142857143</v>
      </c>
      <c r="M91" s="69">
        <v>21066.3</v>
      </c>
      <c r="N91" s="68">
        <v>0</v>
      </c>
      <c r="O91" s="67">
        <v>477</v>
      </c>
      <c r="P91" s="68">
        <v>1349.94999999999</v>
      </c>
    </row>
    <row r="92" spans="1:16">
      <c r="A92" s="63" t="s">
        <v>218</v>
      </c>
      <c r="B92" s="63" t="s">
        <v>82</v>
      </c>
      <c r="C92" s="63" t="s">
        <v>83</v>
      </c>
      <c r="D92" s="63" t="s">
        <v>6</v>
      </c>
      <c r="E92" s="63" t="s">
        <v>165</v>
      </c>
      <c r="F92" s="66" t="s">
        <v>159</v>
      </c>
      <c r="G92" s="67">
        <v>70</v>
      </c>
      <c r="H92" s="67">
        <v>234</v>
      </c>
      <c r="I92" s="67">
        <v>228</v>
      </c>
      <c r="J92" s="68">
        <v>228</v>
      </c>
      <c r="K92" s="73">
        <v>3.25714285714286</v>
      </c>
      <c r="L92" s="68">
        <v>3.25714285714286</v>
      </c>
      <c r="M92" s="69">
        <v>25726.3</v>
      </c>
      <c r="N92" s="68">
        <v>8</v>
      </c>
      <c r="O92" s="67">
        <v>588</v>
      </c>
      <c r="P92" s="68">
        <v>1806.94</v>
      </c>
    </row>
    <row r="93" spans="1:16">
      <c r="A93" s="63" t="s">
        <v>219</v>
      </c>
      <c r="B93" s="63" t="s">
        <v>82</v>
      </c>
      <c r="C93" s="63" t="s">
        <v>83</v>
      </c>
      <c r="D93" s="63" t="s">
        <v>3</v>
      </c>
      <c r="E93" s="63" t="s">
        <v>158</v>
      </c>
      <c r="F93" s="66" t="s">
        <v>159</v>
      </c>
      <c r="G93" s="67">
        <v>53</v>
      </c>
      <c r="H93" s="67">
        <v>214</v>
      </c>
      <c r="I93" s="67">
        <v>207</v>
      </c>
      <c r="J93" s="68">
        <v>203</v>
      </c>
      <c r="K93" s="73">
        <v>3.90566037735849</v>
      </c>
      <c r="L93" s="68">
        <v>3.83018867924528</v>
      </c>
      <c r="M93" s="69">
        <v>29569.75</v>
      </c>
      <c r="N93" s="68">
        <v>1</v>
      </c>
      <c r="O93" s="67">
        <v>608</v>
      </c>
      <c r="P93" s="68">
        <v>1842</v>
      </c>
    </row>
    <row r="94" spans="1:16">
      <c r="A94" s="63" t="s">
        <v>219</v>
      </c>
      <c r="B94" s="63" t="s">
        <v>82</v>
      </c>
      <c r="C94" s="63" t="s">
        <v>83</v>
      </c>
      <c r="D94" s="63" t="s">
        <v>9</v>
      </c>
      <c r="E94" s="63" t="s">
        <v>160</v>
      </c>
      <c r="F94" s="66" t="s">
        <v>159</v>
      </c>
      <c r="G94" s="67">
        <v>57</v>
      </c>
      <c r="H94" s="67">
        <v>185</v>
      </c>
      <c r="I94" s="67">
        <v>182</v>
      </c>
      <c r="J94" s="68">
        <v>181</v>
      </c>
      <c r="K94" s="73">
        <v>3.19298245614035</v>
      </c>
      <c r="L94" s="68">
        <v>3.17543859649123</v>
      </c>
      <c r="M94" s="69">
        <v>27463.21</v>
      </c>
      <c r="N94" s="68">
        <v>0</v>
      </c>
      <c r="O94" s="67">
        <v>515</v>
      </c>
      <c r="P94" s="68">
        <v>2564.78999999999</v>
      </c>
    </row>
    <row r="95" spans="1:16">
      <c r="A95" s="63" t="s">
        <v>219</v>
      </c>
      <c r="B95" s="63" t="s">
        <v>82</v>
      </c>
      <c r="C95" s="63" t="s">
        <v>83</v>
      </c>
      <c r="D95" s="63" t="s">
        <v>5</v>
      </c>
      <c r="E95" s="63" t="s">
        <v>161</v>
      </c>
      <c r="F95" s="66" t="s">
        <v>159</v>
      </c>
      <c r="G95" s="67">
        <v>48</v>
      </c>
      <c r="H95" s="67">
        <v>248</v>
      </c>
      <c r="I95" s="67">
        <v>244</v>
      </c>
      <c r="J95" s="68">
        <v>242</v>
      </c>
      <c r="K95" s="73">
        <v>5.08333333333333</v>
      </c>
      <c r="L95" s="68">
        <v>5.04166666666667</v>
      </c>
      <c r="M95" s="69">
        <v>28292</v>
      </c>
      <c r="N95" s="68">
        <v>2</v>
      </c>
      <c r="O95" s="67">
        <v>718</v>
      </c>
      <c r="P95" s="68">
        <v>1673.38000000001</v>
      </c>
    </row>
    <row r="96" spans="1:16">
      <c r="A96" s="63" t="s">
        <v>219</v>
      </c>
      <c r="B96" s="63" t="s">
        <v>82</v>
      </c>
      <c r="C96" s="63" t="s">
        <v>83</v>
      </c>
      <c r="D96" s="63" t="s">
        <v>4</v>
      </c>
      <c r="E96" s="63" t="s">
        <v>162</v>
      </c>
      <c r="F96" s="66" t="s">
        <v>159</v>
      </c>
      <c r="G96" s="67">
        <v>36</v>
      </c>
      <c r="H96" s="67">
        <v>89</v>
      </c>
      <c r="I96" s="67">
        <v>85</v>
      </c>
      <c r="J96" s="68">
        <v>85</v>
      </c>
      <c r="K96" s="73">
        <v>2.36111111111111</v>
      </c>
      <c r="L96" s="68">
        <v>2.36111111111111</v>
      </c>
      <c r="M96" s="69">
        <v>12934.1</v>
      </c>
      <c r="N96" s="68">
        <v>7</v>
      </c>
      <c r="O96" s="67">
        <v>208</v>
      </c>
      <c r="P96" s="68">
        <v>375.549999999997</v>
      </c>
    </row>
    <row r="97" spans="1:16">
      <c r="A97" s="63" t="s">
        <v>219</v>
      </c>
      <c r="B97" s="63" t="s">
        <v>82</v>
      </c>
      <c r="C97" s="63" t="s">
        <v>83</v>
      </c>
      <c r="D97" s="63" t="s">
        <v>7</v>
      </c>
      <c r="E97" s="63" t="s">
        <v>163</v>
      </c>
      <c r="F97" s="66" t="s">
        <v>159</v>
      </c>
      <c r="G97" s="67">
        <v>55</v>
      </c>
      <c r="H97" s="67">
        <v>235</v>
      </c>
      <c r="I97" s="67">
        <v>233</v>
      </c>
      <c r="J97" s="68">
        <v>230</v>
      </c>
      <c r="K97" s="73">
        <v>4.23636363636364</v>
      </c>
      <c r="L97" s="68">
        <v>4.18181818181818</v>
      </c>
      <c r="M97" s="69">
        <v>27347.05</v>
      </c>
      <c r="N97" s="68">
        <v>32</v>
      </c>
      <c r="O97" s="67">
        <v>478</v>
      </c>
      <c r="P97" s="68">
        <v>1401.73000000001</v>
      </c>
    </row>
    <row r="98" spans="1:16">
      <c r="A98" s="63" t="s">
        <v>219</v>
      </c>
      <c r="B98" s="63" t="s">
        <v>82</v>
      </c>
      <c r="C98" s="63" t="s">
        <v>83</v>
      </c>
      <c r="D98" s="63" t="s">
        <v>8</v>
      </c>
      <c r="E98" s="63" t="s">
        <v>164</v>
      </c>
      <c r="F98" s="66" t="s">
        <v>159</v>
      </c>
      <c r="G98" s="67">
        <v>56</v>
      </c>
      <c r="H98" s="67">
        <v>166</v>
      </c>
      <c r="I98" s="67">
        <v>164</v>
      </c>
      <c r="J98" s="68">
        <v>161</v>
      </c>
      <c r="K98" s="73">
        <v>2.92857142857143</v>
      </c>
      <c r="L98" s="68">
        <v>2.875</v>
      </c>
      <c r="M98" s="69">
        <v>19066.65</v>
      </c>
      <c r="N98" s="68">
        <v>0</v>
      </c>
      <c r="O98" s="67">
        <v>431</v>
      </c>
      <c r="P98" s="68">
        <v>1369.98999999999</v>
      </c>
    </row>
    <row r="99" spans="1:16">
      <c r="A99" s="63" t="s">
        <v>219</v>
      </c>
      <c r="B99" s="63" t="s">
        <v>82</v>
      </c>
      <c r="C99" s="63" t="s">
        <v>83</v>
      </c>
      <c r="D99" s="63" t="s">
        <v>6</v>
      </c>
      <c r="E99" s="63" t="s">
        <v>165</v>
      </c>
      <c r="F99" s="66" t="s">
        <v>159</v>
      </c>
      <c r="G99" s="67">
        <v>70</v>
      </c>
      <c r="H99" s="67">
        <v>236</v>
      </c>
      <c r="I99" s="67">
        <v>234</v>
      </c>
      <c r="J99" s="68">
        <v>227</v>
      </c>
      <c r="K99" s="73">
        <v>3.34285714285714</v>
      </c>
      <c r="L99" s="68">
        <v>3.24285714285714</v>
      </c>
      <c r="M99" s="69">
        <v>25460.05</v>
      </c>
      <c r="N99" s="68">
        <v>4</v>
      </c>
      <c r="O99" s="67">
        <v>573</v>
      </c>
      <c r="P99" s="68">
        <v>1928.69</v>
      </c>
    </row>
    <row r="100" spans="1:16">
      <c r="A100" s="63" t="s">
        <v>220</v>
      </c>
      <c r="B100" s="63" t="s">
        <v>82</v>
      </c>
      <c r="C100" s="63" t="s">
        <v>83</v>
      </c>
      <c r="D100" s="63" t="s">
        <v>3</v>
      </c>
      <c r="E100" s="63" t="s">
        <v>158</v>
      </c>
      <c r="F100" s="66" t="s">
        <v>148</v>
      </c>
      <c r="G100" s="67">
        <v>53</v>
      </c>
      <c r="H100" s="67">
        <v>298</v>
      </c>
      <c r="I100" s="67">
        <v>293</v>
      </c>
      <c r="J100" s="68">
        <v>290</v>
      </c>
      <c r="K100" s="73">
        <v>5.52830188679245</v>
      </c>
      <c r="L100" s="68">
        <v>5.47169811320755</v>
      </c>
      <c r="M100" s="69">
        <v>49192.85</v>
      </c>
      <c r="N100" s="68">
        <v>3</v>
      </c>
      <c r="O100" s="67">
        <v>905</v>
      </c>
      <c r="P100" s="68">
        <v>2486.04999999997</v>
      </c>
    </row>
    <row r="101" spans="1:16">
      <c r="A101" s="63" t="s">
        <v>220</v>
      </c>
      <c r="B101" s="63" t="s">
        <v>82</v>
      </c>
      <c r="C101" s="63" t="s">
        <v>83</v>
      </c>
      <c r="D101" s="63" t="s">
        <v>9</v>
      </c>
      <c r="E101" s="63" t="s">
        <v>160</v>
      </c>
      <c r="F101" s="66" t="s">
        <v>148</v>
      </c>
      <c r="G101" s="67">
        <v>57</v>
      </c>
      <c r="H101" s="67">
        <v>284</v>
      </c>
      <c r="I101" s="67">
        <v>280</v>
      </c>
      <c r="J101" s="68">
        <v>275</v>
      </c>
      <c r="K101" s="73">
        <v>4.91228070175439</v>
      </c>
      <c r="L101" s="68">
        <v>4.82456140350877</v>
      </c>
      <c r="M101" s="69">
        <v>51643.18</v>
      </c>
      <c r="N101" s="68">
        <v>0</v>
      </c>
      <c r="O101" s="67">
        <v>932</v>
      </c>
      <c r="P101" s="68">
        <v>3063.56999999999</v>
      </c>
    </row>
    <row r="102" spans="1:16">
      <c r="A102" s="63" t="s">
        <v>220</v>
      </c>
      <c r="B102" s="63" t="s">
        <v>82</v>
      </c>
      <c r="C102" s="63" t="s">
        <v>83</v>
      </c>
      <c r="D102" s="63" t="s">
        <v>5</v>
      </c>
      <c r="E102" s="63" t="s">
        <v>161</v>
      </c>
      <c r="F102" s="66" t="s">
        <v>148</v>
      </c>
      <c r="G102" s="67">
        <v>48</v>
      </c>
      <c r="H102" s="67">
        <v>342</v>
      </c>
      <c r="I102" s="67">
        <v>341</v>
      </c>
      <c r="J102" s="68">
        <v>337</v>
      </c>
      <c r="K102" s="73">
        <v>7.10416666666667</v>
      </c>
      <c r="L102" s="68">
        <v>7.02083333333333</v>
      </c>
      <c r="M102" s="69">
        <v>53675.75</v>
      </c>
      <c r="N102" s="68">
        <v>4</v>
      </c>
      <c r="O102" s="67">
        <v>1122</v>
      </c>
      <c r="P102" s="68">
        <v>2556.25999999995</v>
      </c>
    </row>
    <row r="103" spans="1:16">
      <c r="A103" s="63" t="s">
        <v>220</v>
      </c>
      <c r="B103" s="63" t="s">
        <v>82</v>
      </c>
      <c r="C103" s="63" t="s">
        <v>83</v>
      </c>
      <c r="D103" s="63" t="s">
        <v>4</v>
      </c>
      <c r="E103" s="63" t="s">
        <v>162</v>
      </c>
      <c r="F103" s="66" t="s">
        <v>148</v>
      </c>
      <c r="G103" s="67">
        <v>36</v>
      </c>
      <c r="H103" s="67">
        <v>169</v>
      </c>
      <c r="I103" s="67">
        <v>169</v>
      </c>
      <c r="J103" s="68">
        <v>166</v>
      </c>
      <c r="K103" s="73">
        <v>4.69444444444444</v>
      </c>
      <c r="L103" s="68">
        <v>4.61111111111111</v>
      </c>
      <c r="M103" s="69">
        <v>25872.05</v>
      </c>
      <c r="N103" s="68">
        <v>13</v>
      </c>
      <c r="O103" s="67">
        <v>460</v>
      </c>
      <c r="P103" s="68">
        <v>1294.81</v>
      </c>
    </row>
    <row r="104" spans="1:16">
      <c r="A104" s="63" t="s">
        <v>220</v>
      </c>
      <c r="B104" s="63" t="s">
        <v>82</v>
      </c>
      <c r="C104" s="63" t="s">
        <v>83</v>
      </c>
      <c r="D104" s="63" t="s">
        <v>7</v>
      </c>
      <c r="E104" s="63" t="s">
        <v>163</v>
      </c>
      <c r="F104" s="66" t="s">
        <v>148</v>
      </c>
      <c r="G104" s="67">
        <v>55</v>
      </c>
      <c r="H104" s="67">
        <v>325</v>
      </c>
      <c r="I104" s="67">
        <v>322</v>
      </c>
      <c r="J104" s="68">
        <v>319</v>
      </c>
      <c r="K104" s="73">
        <v>5.85454545454545</v>
      </c>
      <c r="L104" s="68">
        <v>5.8</v>
      </c>
      <c r="M104" s="69">
        <v>44898.35</v>
      </c>
      <c r="N104" s="68">
        <v>32</v>
      </c>
      <c r="O104" s="67">
        <v>772</v>
      </c>
      <c r="P104" s="68">
        <v>1590.49000000001</v>
      </c>
    </row>
    <row r="105" spans="1:16">
      <c r="A105" s="63" t="s">
        <v>220</v>
      </c>
      <c r="B105" s="63" t="s">
        <v>82</v>
      </c>
      <c r="C105" s="63" t="s">
        <v>83</v>
      </c>
      <c r="D105" s="63" t="s">
        <v>8</v>
      </c>
      <c r="E105" s="63" t="s">
        <v>164</v>
      </c>
      <c r="F105" s="66" t="s">
        <v>148</v>
      </c>
      <c r="G105" s="67">
        <v>56</v>
      </c>
      <c r="H105" s="67">
        <v>190</v>
      </c>
      <c r="I105" s="67">
        <v>184</v>
      </c>
      <c r="J105" s="68">
        <v>183</v>
      </c>
      <c r="K105" s="73">
        <v>3.28571428571429</v>
      </c>
      <c r="L105" s="68">
        <v>3.26785714285714</v>
      </c>
      <c r="M105" s="69">
        <v>28421.4</v>
      </c>
      <c r="N105" s="68">
        <v>0</v>
      </c>
      <c r="O105" s="67">
        <v>578</v>
      </c>
      <c r="P105" s="68">
        <v>1632.55</v>
      </c>
    </row>
    <row r="106" spans="1:16">
      <c r="A106" s="63" t="s">
        <v>220</v>
      </c>
      <c r="B106" s="63" t="s">
        <v>82</v>
      </c>
      <c r="C106" s="63" t="s">
        <v>83</v>
      </c>
      <c r="D106" s="63" t="s">
        <v>6</v>
      </c>
      <c r="E106" s="63" t="s">
        <v>165</v>
      </c>
      <c r="F106" s="66" t="s">
        <v>148</v>
      </c>
      <c r="G106" s="67">
        <v>70</v>
      </c>
      <c r="H106" s="67">
        <v>409</v>
      </c>
      <c r="I106" s="67">
        <v>403</v>
      </c>
      <c r="J106" s="68">
        <v>403</v>
      </c>
      <c r="K106" s="73">
        <v>5.75714285714286</v>
      </c>
      <c r="L106" s="68">
        <v>5.75714285714286</v>
      </c>
      <c r="M106" s="69">
        <v>64765.2</v>
      </c>
      <c r="N106" s="68">
        <v>12</v>
      </c>
      <c r="O106" s="67">
        <v>1229</v>
      </c>
      <c r="P106" s="68">
        <v>2721.80000000001</v>
      </c>
    </row>
    <row r="107" spans="1:16">
      <c r="A107" s="63" t="s">
        <v>221</v>
      </c>
      <c r="B107" s="63" t="s">
        <v>82</v>
      </c>
      <c r="C107" s="63" t="s">
        <v>83</v>
      </c>
      <c r="D107" s="63" t="s">
        <v>3</v>
      </c>
      <c r="E107" s="63" t="s">
        <v>158</v>
      </c>
      <c r="F107" s="66" t="s">
        <v>148</v>
      </c>
      <c r="G107" s="67">
        <v>53</v>
      </c>
      <c r="H107" s="67">
        <v>284</v>
      </c>
      <c r="I107" s="67">
        <v>282</v>
      </c>
      <c r="J107" s="68">
        <v>279</v>
      </c>
      <c r="K107" s="73">
        <v>5.32075471698113</v>
      </c>
      <c r="L107" s="68">
        <v>5.26415094339623</v>
      </c>
      <c r="M107" s="69">
        <v>48229.8</v>
      </c>
      <c r="N107" s="68">
        <v>8</v>
      </c>
      <c r="O107" s="67">
        <v>836</v>
      </c>
      <c r="P107" s="68">
        <v>2025.9</v>
      </c>
    </row>
    <row r="108" spans="1:16">
      <c r="A108" s="63" t="s">
        <v>221</v>
      </c>
      <c r="B108" s="63" t="s">
        <v>82</v>
      </c>
      <c r="C108" s="63" t="s">
        <v>83</v>
      </c>
      <c r="D108" s="63" t="s">
        <v>9</v>
      </c>
      <c r="E108" s="63" t="s">
        <v>160</v>
      </c>
      <c r="F108" s="66" t="s">
        <v>148</v>
      </c>
      <c r="G108" s="67">
        <v>57</v>
      </c>
      <c r="H108" s="67">
        <v>262</v>
      </c>
      <c r="I108" s="67">
        <v>260</v>
      </c>
      <c r="J108" s="68">
        <v>258</v>
      </c>
      <c r="K108" s="73">
        <v>4.56140350877193</v>
      </c>
      <c r="L108" s="68">
        <v>4.52631578947368</v>
      </c>
      <c r="M108" s="69">
        <v>47132.12</v>
      </c>
      <c r="N108" s="68">
        <v>0</v>
      </c>
      <c r="O108" s="67">
        <v>819</v>
      </c>
      <c r="P108" s="68">
        <v>1387.46000000001</v>
      </c>
    </row>
    <row r="109" spans="1:16">
      <c r="A109" s="63" t="s">
        <v>221</v>
      </c>
      <c r="B109" s="63" t="s">
        <v>82</v>
      </c>
      <c r="C109" s="63" t="s">
        <v>83</v>
      </c>
      <c r="D109" s="63" t="s">
        <v>5</v>
      </c>
      <c r="E109" s="63" t="s">
        <v>161</v>
      </c>
      <c r="F109" s="66" t="s">
        <v>148</v>
      </c>
      <c r="G109" s="67">
        <v>48</v>
      </c>
      <c r="H109" s="67">
        <v>307</v>
      </c>
      <c r="I109" s="67">
        <v>305</v>
      </c>
      <c r="J109" s="68">
        <v>306</v>
      </c>
      <c r="K109" s="73">
        <v>6.35416666666667</v>
      </c>
      <c r="L109" s="68">
        <v>6.375</v>
      </c>
      <c r="M109" s="69">
        <v>48408.55</v>
      </c>
      <c r="N109" s="68">
        <v>5</v>
      </c>
      <c r="O109" s="67">
        <v>985</v>
      </c>
      <c r="P109" s="68">
        <v>2383.83000000002</v>
      </c>
    </row>
    <row r="110" spans="1:16">
      <c r="A110" s="63" t="s">
        <v>221</v>
      </c>
      <c r="B110" s="63" t="s">
        <v>82</v>
      </c>
      <c r="C110" s="63" t="s">
        <v>83</v>
      </c>
      <c r="D110" s="63" t="s">
        <v>4</v>
      </c>
      <c r="E110" s="63" t="s">
        <v>162</v>
      </c>
      <c r="F110" s="66" t="s">
        <v>148</v>
      </c>
      <c r="G110" s="67">
        <v>36</v>
      </c>
      <c r="H110" s="67">
        <v>177</v>
      </c>
      <c r="I110" s="67">
        <v>167</v>
      </c>
      <c r="J110" s="68">
        <v>170</v>
      </c>
      <c r="K110" s="73">
        <v>4.63888888888889</v>
      </c>
      <c r="L110" s="68">
        <v>4.72222222222222</v>
      </c>
      <c r="M110" s="69">
        <v>27742</v>
      </c>
      <c r="N110" s="68">
        <v>10</v>
      </c>
      <c r="O110" s="67">
        <v>474</v>
      </c>
      <c r="P110" s="68">
        <v>1394.81</v>
      </c>
    </row>
    <row r="111" spans="1:16">
      <c r="A111" s="63" t="s">
        <v>221</v>
      </c>
      <c r="B111" s="63" t="s">
        <v>82</v>
      </c>
      <c r="C111" s="63" t="s">
        <v>83</v>
      </c>
      <c r="D111" s="63" t="s">
        <v>7</v>
      </c>
      <c r="E111" s="63" t="s">
        <v>163</v>
      </c>
      <c r="F111" s="66" t="s">
        <v>148</v>
      </c>
      <c r="G111" s="67">
        <v>55</v>
      </c>
      <c r="H111" s="67">
        <v>286</v>
      </c>
      <c r="I111" s="67">
        <v>282</v>
      </c>
      <c r="J111" s="68">
        <v>284</v>
      </c>
      <c r="K111" s="73">
        <v>5.12727272727273</v>
      </c>
      <c r="L111" s="68">
        <v>5.16363636363636</v>
      </c>
      <c r="M111" s="69">
        <v>39902.4</v>
      </c>
      <c r="N111" s="68">
        <v>25</v>
      </c>
      <c r="O111" s="67">
        <v>688</v>
      </c>
      <c r="P111" s="68">
        <v>1172.75999999997</v>
      </c>
    </row>
    <row r="112" spans="1:16">
      <c r="A112" s="63" t="s">
        <v>221</v>
      </c>
      <c r="B112" s="63" t="s">
        <v>82</v>
      </c>
      <c r="C112" s="63" t="s">
        <v>83</v>
      </c>
      <c r="D112" s="63" t="s">
        <v>8</v>
      </c>
      <c r="E112" s="63" t="s">
        <v>164</v>
      </c>
      <c r="F112" s="66" t="s">
        <v>148</v>
      </c>
      <c r="G112" s="67">
        <v>56</v>
      </c>
      <c r="H112" s="67">
        <v>197</v>
      </c>
      <c r="I112" s="67">
        <v>193</v>
      </c>
      <c r="J112" s="68">
        <v>192</v>
      </c>
      <c r="K112" s="73">
        <v>3.44642857142857</v>
      </c>
      <c r="L112" s="68">
        <v>3.42857142857143</v>
      </c>
      <c r="M112" s="69">
        <v>32561.05</v>
      </c>
      <c r="N112" s="68">
        <v>0</v>
      </c>
      <c r="O112" s="67">
        <v>627</v>
      </c>
      <c r="P112" s="68">
        <v>1972.81000000001</v>
      </c>
    </row>
    <row r="113" spans="1:16">
      <c r="A113" s="63" t="s">
        <v>221</v>
      </c>
      <c r="B113" s="63" t="s">
        <v>82</v>
      </c>
      <c r="C113" s="63" t="s">
        <v>83</v>
      </c>
      <c r="D113" s="63" t="s">
        <v>6</v>
      </c>
      <c r="E113" s="63" t="s">
        <v>165</v>
      </c>
      <c r="F113" s="66" t="s">
        <v>148</v>
      </c>
      <c r="G113" s="67">
        <v>70</v>
      </c>
      <c r="H113" s="67">
        <v>347</v>
      </c>
      <c r="I113" s="67">
        <v>344</v>
      </c>
      <c r="J113" s="68">
        <v>344</v>
      </c>
      <c r="K113" s="73">
        <v>4.91428571428571</v>
      </c>
      <c r="L113" s="68">
        <v>4.91428571428571</v>
      </c>
      <c r="M113" s="69">
        <v>53562.4</v>
      </c>
      <c r="N113" s="68">
        <v>4</v>
      </c>
      <c r="O113" s="67">
        <v>1011</v>
      </c>
      <c r="P113" s="68">
        <v>1998.93999999999</v>
      </c>
    </row>
    <row r="114" spans="1:16">
      <c r="A114" s="63" t="s">
        <v>222</v>
      </c>
      <c r="B114" s="63" t="s">
        <v>82</v>
      </c>
      <c r="C114" s="63" t="s">
        <v>83</v>
      </c>
      <c r="D114" s="63" t="s">
        <v>3</v>
      </c>
      <c r="E114" s="63" t="s">
        <v>158</v>
      </c>
      <c r="F114" s="66" t="s">
        <v>148</v>
      </c>
      <c r="G114" s="67">
        <v>53</v>
      </c>
      <c r="H114" s="67">
        <v>292</v>
      </c>
      <c r="I114" s="67">
        <v>286</v>
      </c>
      <c r="J114" s="68">
        <v>279</v>
      </c>
      <c r="K114" s="73">
        <v>5.39622641509434</v>
      </c>
      <c r="L114" s="68">
        <v>5.26415094339623</v>
      </c>
      <c r="M114" s="69">
        <v>44994.8</v>
      </c>
      <c r="N114" s="68">
        <v>0</v>
      </c>
      <c r="O114" s="67">
        <v>824</v>
      </c>
      <c r="P114" s="68">
        <v>3691.35</v>
      </c>
    </row>
    <row r="115" spans="1:16">
      <c r="A115" s="63" t="s">
        <v>222</v>
      </c>
      <c r="B115" s="63" t="s">
        <v>82</v>
      </c>
      <c r="C115" s="63" t="s">
        <v>83</v>
      </c>
      <c r="D115" s="63" t="s">
        <v>9</v>
      </c>
      <c r="E115" s="63" t="s">
        <v>160</v>
      </c>
      <c r="F115" s="66" t="s">
        <v>148</v>
      </c>
      <c r="G115" s="67">
        <v>57</v>
      </c>
      <c r="H115" s="67">
        <v>235</v>
      </c>
      <c r="I115" s="67">
        <v>234</v>
      </c>
      <c r="J115" s="68">
        <v>233</v>
      </c>
      <c r="K115" s="73">
        <v>4.10526315789474</v>
      </c>
      <c r="L115" s="68">
        <v>4.08771929824561</v>
      </c>
      <c r="M115" s="69">
        <v>38346.28</v>
      </c>
      <c r="N115" s="68">
        <v>0</v>
      </c>
      <c r="O115" s="67">
        <v>706</v>
      </c>
      <c r="P115" s="68">
        <v>2514.55</v>
      </c>
    </row>
    <row r="116" spans="1:16">
      <c r="A116" s="63" t="s">
        <v>222</v>
      </c>
      <c r="B116" s="63" t="s">
        <v>82</v>
      </c>
      <c r="C116" s="63" t="s">
        <v>83</v>
      </c>
      <c r="D116" s="63" t="s">
        <v>5</v>
      </c>
      <c r="E116" s="63" t="s">
        <v>161</v>
      </c>
      <c r="F116" s="66" t="s">
        <v>148</v>
      </c>
      <c r="G116" s="67">
        <v>48</v>
      </c>
      <c r="H116" s="67">
        <v>360</v>
      </c>
      <c r="I116" s="67">
        <v>358</v>
      </c>
      <c r="J116" s="68">
        <v>355</v>
      </c>
      <c r="K116" s="73">
        <v>7.45833333333333</v>
      </c>
      <c r="L116" s="68">
        <v>7.39583333333333</v>
      </c>
      <c r="M116" s="69">
        <v>40615.67</v>
      </c>
      <c r="N116" s="68">
        <v>3</v>
      </c>
      <c r="O116" s="67">
        <v>1042</v>
      </c>
      <c r="P116" s="68">
        <v>2740.95000000001</v>
      </c>
    </row>
    <row r="117" spans="1:16">
      <c r="A117" s="63" t="s">
        <v>222</v>
      </c>
      <c r="B117" s="63" t="s">
        <v>82</v>
      </c>
      <c r="C117" s="63" t="s">
        <v>83</v>
      </c>
      <c r="D117" s="63" t="s">
        <v>4</v>
      </c>
      <c r="E117" s="63" t="s">
        <v>162</v>
      </c>
      <c r="F117" s="66" t="s">
        <v>148</v>
      </c>
      <c r="G117" s="67">
        <v>36</v>
      </c>
      <c r="H117" s="67">
        <v>167</v>
      </c>
      <c r="I117" s="67">
        <v>165</v>
      </c>
      <c r="J117" s="68">
        <v>162</v>
      </c>
      <c r="K117" s="73">
        <v>4.58333333333333</v>
      </c>
      <c r="L117" s="68">
        <v>4.5</v>
      </c>
      <c r="M117" s="69">
        <v>24331</v>
      </c>
      <c r="N117" s="68">
        <v>12</v>
      </c>
      <c r="O117" s="67">
        <v>417</v>
      </c>
      <c r="P117" s="68">
        <v>1054.18000000001</v>
      </c>
    </row>
    <row r="118" spans="1:16">
      <c r="A118" s="63" t="s">
        <v>222</v>
      </c>
      <c r="B118" s="63" t="s">
        <v>82</v>
      </c>
      <c r="C118" s="63" t="s">
        <v>83</v>
      </c>
      <c r="D118" s="63" t="s">
        <v>7</v>
      </c>
      <c r="E118" s="63" t="s">
        <v>163</v>
      </c>
      <c r="F118" s="66" t="s">
        <v>148</v>
      </c>
      <c r="G118" s="67">
        <v>55</v>
      </c>
      <c r="H118" s="67">
        <v>365</v>
      </c>
      <c r="I118" s="67">
        <v>362</v>
      </c>
      <c r="J118" s="68">
        <v>353</v>
      </c>
      <c r="K118" s="73">
        <v>6.58181818181818</v>
      </c>
      <c r="L118" s="68">
        <v>6.41818181818182</v>
      </c>
      <c r="M118" s="69">
        <v>42973.67</v>
      </c>
      <c r="N118" s="68">
        <v>37</v>
      </c>
      <c r="O118" s="67">
        <v>851</v>
      </c>
      <c r="P118" s="68">
        <v>2697.99000000001</v>
      </c>
    </row>
    <row r="119" spans="1:16">
      <c r="A119" s="63" t="s">
        <v>222</v>
      </c>
      <c r="B119" s="63" t="s">
        <v>82</v>
      </c>
      <c r="C119" s="63" t="s">
        <v>83</v>
      </c>
      <c r="D119" s="63" t="s">
        <v>8</v>
      </c>
      <c r="E119" s="63" t="s">
        <v>164</v>
      </c>
      <c r="F119" s="66" t="s">
        <v>148</v>
      </c>
      <c r="G119" s="67">
        <v>56</v>
      </c>
      <c r="H119" s="67">
        <v>213</v>
      </c>
      <c r="I119" s="67">
        <v>206</v>
      </c>
      <c r="J119" s="68">
        <v>206</v>
      </c>
      <c r="K119" s="73">
        <v>3.67857142857143</v>
      </c>
      <c r="L119" s="68">
        <v>3.67857142857143</v>
      </c>
      <c r="M119" s="69">
        <v>28237.9</v>
      </c>
      <c r="N119" s="68">
        <v>0</v>
      </c>
      <c r="O119" s="67">
        <v>637</v>
      </c>
      <c r="P119" s="68">
        <v>1781.73</v>
      </c>
    </row>
    <row r="120" spans="1:16">
      <c r="A120" s="63" t="s">
        <v>222</v>
      </c>
      <c r="B120" s="63" t="s">
        <v>82</v>
      </c>
      <c r="C120" s="63" t="s">
        <v>83</v>
      </c>
      <c r="D120" s="63" t="s">
        <v>6</v>
      </c>
      <c r="E120" s="63" t="s">
        <v>165</v>
      </c>
      <c r="F120" s="66" t="s">
        <v>148</v>
      </c>
      <c r="G120" s="67">
        <v>70</v>
      </c>
      <c r="H120" s="67">
        <v>382</v>
      </c>
      <c r="I120" s="67">
        <v>380</v>
      </c>
      <c r="J120" s="68">
        <v>376</v>
      </c>
      <c r="K120" s="73">
        <v>5.42857142857143</v>
      </c>
      <c r="L120" s="68">
        <v>5.37142857142857</v>
      </c>
      <c r="M120" s="69">
        <v>49334.24</v>
      </c>
      <c r="N120" s="68">
        <v>8</v>
      </c>
      <c r="O120" s="67">
        <v>1080</v>
      </c>
      <c r="P120" s="68">
        <v>3086.89</v>
      </c>
    </row>
    <row r="121" spans="1:16">
      <c r="A121" s="63" t="s">
        <v>223</v>
      </c>
      <c r="B121" s="63" t="s">
        <v>82</v>
      </c>
      <c r="C121" s="63" t="s">
        <v>83</v>
      </c>
      <c r="D121" s="63" t="s">
        <v>3</v>
      </c>
      <c r="E121" s="63" t="s">
        <v>158</v>
      </c>
      <c r="F121" s="66" t="s">
        <v>159</v>
      </c>
      <c r="G121" s="67">
        <v>53</v>
      </c>
      <c r="H121" s="67">
        <v>230</v>
      </c>
      <c r="I121" s="67">
        <v>226</v>
      </c>
      <c r="J121" s="68">
        <v>222</v>
      </c>
      <c r="K121" s="73">
        <v>4.26415094339623</v>
      </c>
      <c r="L121" s="68">
        <v>4.18867924528302</v>
      </c>
      <c r="M121" s="69">
        <v>29894.85</v>
      </c>
      <c r="N121" s="68">
        <v>6</v>
      </c>
      <c r="O121" s="67">
        <v>628</v>
      </c>
      <c r="P121" s="68">
        <v>2237.15000000001</v>
      </c>
    </row>
    <row r="122" spans="1:16">
      <c r="A122" s="63" t="s">
        <v>223</v>
      </c>
      <c r="B122" s="63" t="s">
        <v>82</v>
      </c>
      <c r="C122" s="63" t="s">
        <v>83</v>
      </c>
      <c r="D122" s="63" t="s">
        <v>9</v>
      </c>
      <c r="E122" s="63" t="s">
        <v>160</v>
      </c>
      <c r="F122" s="66" t="s">
        <v>159</v>
      </c>
      <c r="G122" s="67">
        <v>57</v>
      </c>
      <c r="H122" s="67">
        <v>181</v>
      </c>
      <c r="I122" s="67">
        <v>178</v>
      </c>
      <c r="J122" s="68">
        <v>176</v>
      </c>
      <c r="K122" s="73">
        <v>3.12280701754386</v>
      </c>
      <c r="L122" s="68">
        <v>3.08771929824561</v>
      </c>
      <c r="M122" s="69">
        <v>27893.31</v>
      </c>
      <c r="N122" s="68">
        <v>0</v>
      </c>
      <c r="O122" s="67">
        <v>529</v>
      </c>
      <c r="P122" s="68">
        <v>2921.94</v>
      </c>
    </row>
    <row r="123" spans="1:16">
      <c r="A123" s="63" t="s">
        <v>223</v>
      </c>
      <c r="B123" s="63" t="s">
        <v>82</v>
      </c>
      <c r="C123" s="63" t="s">
        <v>83</v>
      </c>
      <c r="D123" s="63" t="s">
        <v>5</v>
      </c>
      <c r="E123" s="63" t="s">
        <v>161</v>
      </c>
      <c r="F123" s="66" t="s">
        <v>159</v>
      </c>
      <c r="G123" s="67">
        <v>48</v>
      </c>
      <c r="H123" s="67">
        <v>295</v>
      </c>
      <c r="I123" s="67">
        <v>294</v>
      </c>
      <c r="J123" s="68">
        <v>289</v>
      </c>
      <c r="K123" s="73">
        <v>6.125</v>
      </c>
      <c r="L123" s="68">
        <v>6.02083333333333</v>
      </c>
      <c r="M123" s="69">
        <v>34460.82</v>
      </c>
      <c r="N123" s="68">
        <v>1</v>
      </c>
      <c r="O123" s="67">
        <v>827</v>
      </c>
      <c r="P123" s="68">
        <v>1703.87000000002</v>
      </c>
    </row>
    <row r="124" spans="1:16">
      <c r="A124" s="63" t="s">
        <v>223</v>
      </c>
      <c r="B124" s="63" t="s">
        <v>82</v>
      </c>
      <c r="C124" s="63" t="s">
        <v>83</v>
      </c>
      <c r="D124" s="63" t="s">
        <v>4</v>
      </c>
      <c r="E124" s="63" t="s">
        <v>162</v>
      </c>
      <c r="F124" s="66" t="s">
        <v>159</v>
      </c>
      <c r="G124" s="67">
        <v>36</v>
      </c>
      <c r="H124" s="67">
        <v>114</v>
      </c>
      <c r="I124" s="67">
        <v>114</v>
      </c>
      <c r="J124" s="68">
        <v>113</v>
      </c>
      <c r="K124" s="73">
        <v>3.16666666666667</v>
      </c>
      <c r="L124" s="68">
        <v>3.13888888888889</v>
      </c>
      <c r="M124" s="69">
        <v>15181.2</v>
      </c>
      <c r="N124" s="68">
        <v>11</v>
      </c>
      <c r="O124" s="67">
        <v>281</v>
      </c>
      <c r="P124" s="68">
        <v>675.81</v>
      </c>
    </row>
    <row r="125" spans="1:16">
      <c r="A125" s="63" t="s">
        <v>223</v>
      </c>
      <c r="B125" s="63" t="s">
        <v>82</v>
      </c>
      <c r="C125" s="63" t="s">
        <v>83</v>
      </c>
      <c r="D125" s="63" t="s">
        <v>7</v>
      </c>
      <c r="E125" s="63" t="s">
        <v>163</v>
      </c>
      <c r="F125" s="66" t="s">
        <v>159</v>
      </c>
      <c r="G125" s="67">
        <v>55</v>
      </c>
      <c r="H125" s="67">
        <v>280</v>
      </c>
      <c r="I125" s="67">
        <v>277</v>
      </c>
      <c r="J125" s="68">
        <v>273</v>
      </c>
      <c r="K125" s="73">
        <v>5.03636363636364</v>
      </c>
      <c r="L125" s="68">
        <v>4.96363636363636</v>
      </c>
      <c r="M125" s="69">
        <v>33526.45</v>
      </c>
      <c r="N125" s="68">
        <v>28</v>
      </c>
      <c r="O125" s="67">
        <v>663</v>
      </c>
      <c r="P125" s="68">
        <v>1869.44</v>
      </c>
    </row>
    <row r="126" spans="1:16">
      <c r="A126" s="63" t="s">
        <v>223</v>
      </c>
      <c r="B126" s="63" t="s">
        <v>82</v>
      </c>
      <c r="C126" s="63" t="s">
        <v>83</v>
      </c>
      <c r="D126" s="63" t="s">
        <v>8</v>
      </c>
      <c r="E126" s="63" t="s">
        <v>164</v>
      </c>
      <c r="F126" s="66" t="s">
        <v>159</v>
      </c>
      <c r="G126" s="67">
        <v>56</v>
      </c>
      <c r="H126" s="67">
        <v>147</v>
      </c>
      <c r="I126" s="67">
        <v>146</v>
      </c>
      <c r="J126" s="68">
        <v>146</v>
      </c>
      <c r="K126" s="73">
        <v>2.60714285714286</v>
      </c>
      <c r="L126" s="68">
        <v>2.60714285714286</v>
      </c>
      <c r="M126" s="69">
        <v>17047.8</v>
      </c>
      <c r="N126" s="68">
        <v>0</v>
      </c>
      <c r="O126" s="67">
        <v>394</v>
      </c>
      <c r="P126" s="68">
        <v>1170.69000000001</v>
      </c>
    </row>
    <row r="127" spans="1:16">
      <c r="A127" s="63" t="s">
        <v>223</v>
      </c>
      <c r="B127" s="63" t="s">
        <v>82</v>
      </c>
      <c r="C127" s="63" t="s">
        <v>83</v>
      </c>
      <c r="D127" s="63" t="s">
        <v>6</v>
      </c>
      <c r="E127" s="63" t="s">
        <v>165</v>
      </c>
      <c r="F127" s="66" t="s">
        <v>159</v>
      </c>
      <c r="G127" s="67">
        <v>70</v>
      </c>
      <c r="H127" s="67">
        <v>278</v>
      </c>
      <c r="I127" s="67">
        <v>273</v>
      </c>
      <c r="J127" s="68">
        <v>268</v>
      </c>
      <c r="K127" s="73">
        <v>3.9</v>
      </c>
      <c r="L127" s="68">
        <v>3.82857142857143</v>
      </c>
      <c r="M127" s="69">
        <v>33076.43</v>
      </c>
      <c r="N127" s="68">
        <v>7</v>
      </c>
      <c r="O127" s="67">
        <v>745</v>
      </c>
      <c r="P127" s="68">
        <v>2453.66000000001</v>
      </c>
    </row>
    <row r="128" spans="1:16">
      <c r="A128" s="63" t="s">
        <v>224</v>
      </c>
      <c r="B128" s="63" t="s">
        <v>82</v>
      </c>
      <c r="C128" s="63" t="s">
        <v>83</v>
      </c>
      <c r="D128" s="63" t="s">
        <v>3</v>
      </c>
      <c r="E128" s="63" t="s">
        <v>158</v>
      </c>
      <c r="F128" s="66" t="s">
        <v>159</v>
      </c>
      <c r="G128" s="67">
        <v>53</v>
      </c>
      <c r="H128" s="67">
        <v>209</v>
      </c>
      <c r="I128" s="67">
        <v>205</v>
      </c>
      <c r="J128" s="68">
        <v>203</v>
      </c>
      <c r="K128" s="73">
        <v>3.86792452830189</v>
      </c>
      <c r="L128" s="68">
        <v>3.83018867924528</v>
      </c>
      <c r="M128" s="69">
        <v>26471.45</v>
      </c>
      <c r="N128" s="68">
        <v>3</v>
      </c>
      <c r="O128" s="67">
        <v>587</v>
      </c>
      <c r="P128" s="68">
        <v>2030.83</v>
      </c>
    </row>
    <row r="129" spans="1:16">
      <c r="A129" s="63" t="s">
        <v>224</v>
      </c>
      <c r="B129" s="63" t="s">
        <v>82</v>
      </c>
      <c r="C129" s="63" t="s">
        <v>83</v>
      </c>
      <c r="D129" s="63" t="s">
        <v>9</v>
      </c>
      <c r="E129" s="63" t="s">
        <v>160</v>
      </c>
      <c r="F129" s="66" t="s">
        <v>159</v>
      </c>
      <c r="G129" s="67">
        <v>57</v>
      </c>
      <c r="H129" s="67">
        <v>185</v>
      </c>
      <c r="I129" s="67">
        <v>183</v>
      </c>
      <c r="J129" s="68">
        <v>179</v>
      </c>
      <c r="K129" s="73">
        <v>3.21052631578947</v>
      </c>
      <c r="L129" s="68">
        <v>3.14035087719298</v>
      </c>
      <c r="M129" s="69">
        <v>29261.93</v>
      </c>
      <c r="N129" s="68">
        <v>0</v>
      </c>
      <c r="O129" s="67">
        <v>545</v>
      </c>
      <c r="P129" s="68">
        <v>3015.08999999999</v>
      </c>
    </row>
    <row r="130" spans="1:16">
      <c r="A130" s="63" t="s">
        <v>224</v>
      </c>
      <c r="B130" s="63" t="s">
        <v>82</v>
      </c>
      <c r="C130" s="63" t="s">
        <v>83</v>
      </c>
      <c r="D130" s="63" t="s">
        <v>5</v>
      </c>
      <c r="E130" s="63" t="s">
        <v>161</v>
      </c>
      <c r="F130" s="66" t="s">
        <v>159</v>
      </c>
      <c r="G130" s="67">
        <v>48</v>
      </c>
      <c r="H130" s="67">
        <v>273</v>
      </c>
      <c r="I130" s="67">
        <v>269</v>
      </c>
      <c r="J130" s="68">
        <v>264</v>
      </c>
      <c r="K130" s="73">
        <v>5.60416666666667</v>
      </c>
      <c r="L130" s="68">
        <v>5.5</v>
      </c>
      <c r="M130" s="69">
        <v>31542</v>
      </c>
      <c r="N130" s="68">
        <v>1</v>
      </c>
      <c r="O130" s="67">
        <v>752</v>
      </c>
      <c r="P130" s="68">
        <v>2062.38999999999</v>
      </c>
    </row>
    <row r="131" spans="1:16">
      <c r="A131" s="63" t="s">
        <v>224</v>
      </c>
      <c r="B131" s="63" t="s">
        <v>82</v>
      </c>
      <c r="C131" s="63" t="s">
        <v>83</v>
      </c>
      <c r="D131" s="63" t="s">
        <v>4</v>
      </c>
      <c r="E131" s="63" t="s">
        <v>162</v>
      </c>
      <c r="F131" s="66" t="s">
        <v>159</v>
      </c>
      <c r="G131" s="67">
        <v>36</v>
      </c>
      <c r="H131" s="67">
        <v>121</v>
      </c>
      <c r="I131" s="67">
        <v>118</v>
      </c>
      <c r="J131" s="68">
        <v>116</v>
      </c>
      <c r="K131" s="73">
        <v>3.27777777777778</v>
      </c>
      <c r="L131" s="68">
        <v>3.22222222222222</v>
      </c>
      <c r="M131" s="69">
        <v>15615.65</v>
      </c>
      <c r="N131" s="68">
        <v>15</v>
      </c>
      <c r="O131" s="67">
        <v>289</v>
      </c>
      <c r="P131" s="68">
        <v>786.450000000003</v>
      </c>
    </row>
    <row r="132" spans="1:16">
      <c r="A132" s="63" t="s">
        <v>224</v>
      </c>
      <c r="B132" s="63" t="s">
        <v>82</v>
      </c>
      <c r="C132" s="63" t="s">
        <v>83</v>
      </c>
      <c r="D132" s="63" t="s">
        <v>7</v>
      </c>
      <c r="E132" s="63" t="s">
        <v>163</v>
      </c>
      <c r="F132" s="66" t="s">
        <v>159</v>
      </c>
      <c r="G132" s="67">
        <v>55</v>
      </c>
      <c r="H132" s="67">
        <v>301</v>
      </c>
      <c r="I132" s="67">
        <v>301</v>
      </c>
      <c r="J132" s="68">
        <v>293</v>
      </c>
      <c r="K132" s="73">
        <v>5.47272727272727</v>
      </c>
      <c r="L132" s="68">
        <v>5.32727272727273</v>
      </c>
      <c r="M132" s="69">
        <v>34155.89</v>
      </c>
      <c r="N132" s="68">
        <v>38</v>
      </c>
      <c r="O132" s="67">
        <v>648</v>
      </c>
      <c r="P132" s="68">
        <v>2014.81000000002</v>
      </c>
    </row>
    <row r="133" spans="1:16">
      <c r="A133" s="63" t="s">
        <v>224</v>
      </c>
      <c r="B133" s="63" t="s">
        <v>82</v>
      </c>
      <c r="C133" s="63" t="s">
        <v>83</v>
      </c>
      <c r="D133" s="63" t="s">
        <v>8</v>
      </c>
      <c r="E133" s="63" t="s">
        <v>164</v>
      </c>
      <c r="F133" s="66" t="s">
        <v>159</v>
      </c>
      <c r="G133" s="67">
        <v>56</v>
      </c>
      <c r="H133" s="67">
        <v>139</v>
      </c>
      <c r="I133" s="67">
        <v>134</v>
      </c>
      <c r="J133" s="68">
        <v>133</v>
      </c>
      <c r="K133" s="73">
        <v>2.39285714285714</v>
      </c>
      <c r="L133" s="68">
        <v>2.375</v>
      </c>
      <c r="M133" s="69">
        <v>15139.9</v>
      </c>
      <c r="N133" s="68">
        <v>1</v>
      </c>
      <c r="O133" s="67">
        <v>343</v>
      </c>
      <c r="P133" s="68">
        <v>1209.2</v>
      </c>
    </row>
    <row r="134" spans="1:16">
      <c r="A134" s="63" t="s">
        <v>224</v>
      </c>
      <c r="B134" s="63" t="s">
        <v>82</v>
      </c>
      <c r="C134" s="63" t="s">
        <v>83</v>
      </c>
      <c r="D134" s="63" t="s">
        <v>6</v>
      </c>
      <c r="E134" s="63" t="s">
        <v>165</v>
      </c>
      <c r="F134" s="66" t="s">
        <v>159</v>
      </c>
      <c r="G134" s="67">
        <v>70</v>
      </c>
      <c r="H134" s="67">
        <v>267</v>
      </c>
      <c r="I134" s="67">
        <v>261</v>
      </c>
      <c r="J134" s="68">
        <v>260</v>
      </c>
      <c r="K134" s="73">
        <v>3.72857142857143</v>
      </c>
      <c r="L134" s="68">
        <v>3.71428571428571</v>
      </c>
      <c r="M134" s="69">
        <v>29624.92</v>
      </c>
      <c r="N134" s="68">
        <v>7</v>
      </c>
      <c r="O134" s="67">
        <v>661</v>
      </c>
      <c r="P134" s="68">
        <v>1861.73000000001</v>
      </c>
    </row>
    <row r="135" spans="1:16">
      <c r="A135" s="63" t="s">
        <v>225</v>
      </c>
      <c r="B135" s="63" t="s">
        <v>82</v>
      </c>
      <c r="C135" s="63" t="s">
        <v>83</v>
      </c>
      <c r="D135" s="63" t="s">
        <v>3</v>
      </c>
      <c r="E135" s="63" t="s">
        <v>158</v>
      </c>
      <c r="F135" s="66" t="s">
        <v>159</v>
      </c>
      <c r="G135" s="67">
        <v>53</v>
      </c>
      <c r="H135" s="67">
        <v>208</v>
      </c>
      <c r="I135" s="67">
        <v>201</v>
      </c>
      <c r="J135" s="68">
        <v>199</v>
      </c>
      <c r="K135" s="73">
        <v>3.79245283018868</v>
      </c>
      <c r="L135" s="68">
        <v>3.75471698113208</v>
      </c>
      <c r="M135" s="69">
        <v>26524.75</v>
      </c>
      <c r="N135" s="68">
        <v>5</v>
      </c>
      <c r="O135" s="67">
        <v>543</v>
      </c>
      <c r="P135" s="68">
        <v>1580.17999999999</v>
      </c>
    </row>
    <row r="136" spans="1:16">
      <c r="A136" s="63" t="s">
        <v>225</v>
      </c>
      <c r="B136" s="63" t="s">
        <v>82</v>
      </c>
      <c r="C136" s="63" t="s">
        <v>83</v>
      </c>
      <c r="D136" s="63" t="s">
        <v>9</v>
      </c>
      <c r="E136" s="63" t="s">
        <v>160</v>
      </c>
      <c r="F136" s="66" t="s">
        <v>159</v>
      </c>
      <c r="G136" s="67">
        <v>57</v>
      </c>
      <c r="H136" s="67">
        <v>162</v>
      </c>
      <c r="I136" s="67">
        <v>159</v>
      </c>
      <c r="J136" s="68">
        <v>157</v>
      </c>
      <c r="K136" s="73">
        <v>2.78947368421053</v>
      </c>
      <c r="L136" s="68">
        <v>2.75438596491228</v>
      </c>
      <c r="M136" s="69">
        <v>26818.71</v>
      </c>
      <c r="N136" s="68">
        <v>0</v>
      </c>
      <c r="O136" s="67">
        <v>488</v>
      </c>
      <c r="P136" s="68">
        <v>2004.93</v>
      </c>
    </row>
    <row r="137" spans="1:16">
      <c r="A137" s="63" t="s">
        <v>225</v>
      </c>
      <c r="B137" s="63" t="s">
        <v>82</v>
      </c>
      <c r="C137" s="63" t="s">
        <v>83</v>
      </c>
      <c r="D137" s="63" t="s">
        <v>5</v>
      </c>
      <c r="E137" s="63" t="s">
        <v>161</v>
      </c>
      <c r="F137" s="66" t="s">
        <v>159</v>
      </c>
      <c r="G137" s="67">
        <v>48</v>
      </c>
      <c r="H137" s="67">
        <v>265</v>
      </c>
      <c r="I137" s="67">
        <v>264</v>
      </c>
      <c r="J137" s="68">
        <v>260</v>
      </c>
      <c r="K137" s="73">
        <v>5.5</v>
      </c>
      <c r="L137" s="68">
        <v>5.41666666666667</v>
      </c>
      <c r="M137" s="69">
        <v>30954.73</v>
      </c>
      <c r="N137" s="68">
        <v>0</v>
      </c>
      <c r="O137" s="67">
        <v>774</v>
      </c>
      <c r="P137" s="68">
        <v>1960.87999999999</v>
      </c>
    </row>
    <row r="138" spans="1:16">
      <c r="A138" s="63" t="s">
        <v>225</v>
      </c>
      <c r="B138" s="63" t="s">
        <v>82</v>
      </c>
      <c r="C138" s="63" t="s">
        <v>83</v>
      </c>
      <c r="D138" s="63" t="s">
        <v>4</v>
      </c>
      <c r="E138" s="63" t="s">
        <v>162</v>
      </c>
      <c r="F138" s="66" t="s">
        <v>159</v>
      </c>
      <c r="G138" s="67">
        <v>36</v>
      </c>
      <c r="H138" s="67">
        <v>103</v>
      </c>
      <c r="I138" s="67">
        <v>99</v>
      </c>
      <c r="J138" s="68">
        <v>95</v>
      </c>
      <c r="K138" s="73">
        <v>2.75</v>
      </c>
      <c r="L138" s="68">
        <v>2.63888888888889</v>
      </c>
      <c r="M138" s="69">
        <v>13016.2</v>
      </c>
      <c r="N138" s="68">
        <v>14</v>
      </c>
      <c r="O138" s="67">
        <v>243</v>
      </c>
      <c r="P138" s="68">
        <v>639.969999999999</v>
      </c>
    </row>
    <row r="139" spans="1:16">
      <c r="A139" s="63" t="s">
        <v>225</v>
      </c>
      <c r="B139" s="63" t="s">
        <v>82</v>
      </c>
      <c r="C139" s="63" t="s">
        <v>83</v>
      </c>
      <c r="D139" s="63" t="s">
        <v>7</v>
      </c>
      <c r="E139" s="63" t="s">
        <v>163</v>
      </c>
      <c r="F139" s="66" t="s">
        <v>159</v>
      </c>
      <c r="G139" s="67">
        <v>55</v>
      </c>
      <c r="H139" s="67">
        <v>293</v>
      </c>
      <c r="I139" s="67">
        <v>291</v>
      </c>
      <c r="J139" s="68">
        <v>287</v>
      </c>
      <c r="K139" s="73">
        <v>5.29090909090909</v>
      </c>
      <c r="L139" s="68">
        <v>5.21818181818182</v>
      </c>
      <c r="M139" s="69">
        <v>31531.88</v>
      </c>
      <c r="N139" s="68">
        <v>48</v>
      </c>
      <c r="O139" s="67">
        <v>593</v>
      </c>
      <c r="P139" s="68">
        <v>2006.81</v>
      </c>
    </row>
    <row r="140" spans="1:16">
      <c r="A140" s="63" t="s">
        <v>225</v>
      </c>
      <c r="B140" s="63" t="s">
        <v>82</v>
      </c>
      <c r="C140" s="63" t="s">
        <v>83</v>
      </c>
      <c r="D140" s="63" t="s">
        <v>8</v>
      </c>
      <c r="E140" s="63" t="s">
        <v>164</v>
      </c>
      <c r="F140" s="66" t="s">
        <v>159</v>
      </c>
      <c r="G140" s="67">
        <v>56</v>
      </c>
      <c r="H140" s="67">
        <v>128</v>
      </c>
      <c r="I140" s="67">
        <v>124</v>
      </c>
      <c r="J140" s="68">
        <v>124</v>
      </c>
      <c r="K140" s="73">
        <v>2.21428571428571</v>
      </c>
      <c r="L140" s="68">
        <v>2.21428571428571</v>
      </c>
      <c r="M140" s="69">
        <v>16968.3</v>
      </c>
      <c r="N140" s="68">
        <v>0</v>
      </c>
      <c r="O140" s="67">
        <v>349</v>
      </c>
      <c r="P140" s="68">
        <v>1304.82</v>
      </c>
    </row>
    <row r="141" spans="1:16">
      <c r="A141" s="63" t="s">
        <v>225</v>
      </c>
      <c r="B141" s="63" t="s">
        <v>82</v>
      </c>
      <c r="C141" s="63" t="s">
        <v>83</v>
      </c>
      <c r="D141" s="63" t="s">
        <v>6</v>
      </c>
      <c r="E141" s="63" t="s">
        <v>165</v>
      </c>
      <c r="F141" s="66" t="s">
        <v>159</v>
      </c>
      <c r="G141" s="67">
        <v>70</v>
      </c>
      <c r="H141" s="67">
        <v>297</v>
      </c>
      <c r="I141" s="67">
        <v>295</v>
      </c>
      <c r="J141" s="68">
        <v>293</v>
      </c>
      <c r="K141" s="73">
        <v>4.21428571428571</v>
      </c>
      <c r="L141" s="68">
        <v>4.18571428571429</v>
      </c>
      <c r="M141" s="69">
        <v>34449.77</v>
      </c>
      <c r="N141" s="68">
        <v>8</v>
      </c>
      <c r="O141" s="67">
        <v>759</v>
      </c>
      <c r="P141" s="68">
        <v>2284.37</v>
      </c>
    </row>
    <row r="142" spans="1:16">
      <c r="A142" s="63" t="s">
        <v>194</v>
      </c>
      <c r="B142" s="63" t="s">
        <v>82</v>
      </c>
      <c r="C142" s="63" t="s">
        <v>83</v>
      </c>
      <c r="D142" s="63" t="s">
        <v>3</v>
      </c>
      <c r="E142" s="63" t="s">
        <v>158</v>
      </c>
      <c r="F142" s="66" t="s">
        <v>159</v>
      </c>
      <c r="G142" s="67">
        <v>53</v>
      </c>
      <c r="H142" s="67">
        <v>225</v>
      </c>
      <c r="I142" s="67">
        <v>219</v>
      </c>
      <c r="J142" s="68">
        <v>214</v>
      </c>
      <c r="K142" s="73">
        <v>4.13207547169811</v>
      </c>
      <c r="L142" s="68">
        <v>4.0377358490566</v>
      </c>
      <c r="M142" s="69">
        <v>29077.85</v>
      </c>
      <c r="N142" s="68">
        <v>3</v>
      </c>
      <c r="O142" s="67">
        <v>604</v>
      </c>
      <c r="P142" s="68">
        <v>1660.89000000001</v>
      </c>
    </row>
    <row r="143" spans="1:16">
      <c r="A143" s="63" t="s">
        <v>194</v>
      </c>
      <c r="B143" s="63" t="s">
        <v>82</v>
      </c>
      <c r="C143" s="63" t="s">
        <v>83</v>
      </c>
      <c r="D143" s="63" t="s">
        <v>9</v>
      </c>
      <c r="E143" s="63" t="s">
        <v>160</v>
      </c>
      <c r="F143" s="66" t="s">
        <v>159</v>
      </c>
      <c r="G143" s="67">
        <v>57</v>
      </c>
      <c r="H143" s="67">
        <v>174</v>
      </c>
      <c r="I143" s="67">
        <v>172</v>
      </c>
      <c r="J143" s="68">
        <v>173</v>
      </c>
      <c r="K143" s="73">
        <v>3.01754385964912</v>
      </c>
      <c r="L143" s="68">
        <v>3.03508771929825</v>
      </c>
      <c r="M143" s="69">
        <v>25071.06</v>
      </c>
      <c r="N143" s="68">
        <v>0</v>
      </c>
      <c r="O143" s="67">
        <v>465</v>
      </c>
      <c r="P143" s="68">
        <v>2335.43999999999</v>
      </c>
    </row>
    <row r="144" spans="1:16">
      <c r="A144" s="63" t="s">
        <v>194</v>
      </c>
      <c r="B144" s="63" t="s">
        <v>82</v>
      </c>
      <c r="C144" s="63" t="s">
        <v>83</v>
      </c>
      <c r="D144" s="63" t="s">
        <v>5</v>
      </c>
      <c r="E144" s="63" t="s">
        <v>161</v>
      </c>
      <c r="F144" s="66" t="s">
        <v>159</v>
      </c>
      <c r="G144" s="67">
        <v>48</v>
      </c>
      <c r="H144" s="67">
        <v>273</v>
      </c>
      <c r="I144" s="67">
        <v>271</v>
      </c>
      <c r="J144" s="68">
        <v>266</v>
      </c>
      <c r="K144" s="73">
        <v>5.64583333333333</v>
      </c>
      <c r="L144" s="68">
        <v>5.54166666666667</v>
      </c>
      <c r="M144" s="69">
        <v>29282.81</v>
      </c>
      <c r="N144" s="68">
        <v>4</v>
      </c>
      <c r="O144" s="67">
        <v>748</v>
      </c>
      <c r="P144" s="68">
        <v>1817.60999999999</v>
      </c>
    </row>
    <row r="145" spans="1:16">
      <c r="A145" s="63" t="s">
        <v>194</v>
      </c>
      <c r="B145" s="63" t="s">
        <v>82</v>
      </c>
      <c r="C145" s="63" t="s">
        <v>83</v>
      </c>
      <c r="D145" s="63" t="s">
        <v>4</v>
      </c>
      <c r="E145" s="63" t="s">
        <v>162</v>
      </c>
      <c r="F145" s="66" t="s">
        <v>159</v>
      </c>
      <c r="G145" s="67">
        <v>36</v>
      </c>
      <c r="H145" s="67">
        <v>93</v>
      </c>
      <c r="I145" s="67">
        <v>90</v>
      </c>
      <c r="J145" s="68">
        <v>87</v>
      </c>
      <c r="K145" s="73">
        <v>2.5</v>
      </c>
      <c r="L145" s="68">
        <v>2.41666666666667</v>
      </c>
      <c r="M145" s="69">
        <v>11159.8</v>
      </c>
      <c r="N145" s="68">
        <v>9</v>
      </c>
      <c r="O145" s="67">
        <v>226</v>
      </c>
      <c r="P145" s="68">
        <v>988.069999999998</v>
      </c>
    </row>
    <row r="146" spans="1:16">
      <c r="A146" s="63" t="s">
        <v>194</v>
      </c>
      <c r="B146" s="63" t="s">
        <v>82</v>
      </c>
      <c r="C146" s="63" t="s">
        <v>83</v>
      </c>
      <c r="D146" s="63" t="s">
        <v>7</v>
      </c>
      <c r="E146" s="63" t="s">
        <v>163</v>
      </c>
      <c r="F146" s="66" t="s">
        <v>159</v>
      </c>
      <c r="G146" s="67">
        <v>55</v>
      </c>
      <c r="H146" s="67">
        <v>296</v>
      </c>
      <c r="I146" s="67">
        <v>293</v>
      </c>
      <c r="J146" s="68">
        <v>290</v>
      </c>
      <c r="K146" s="73">
        <v>5.32727272727273</v>
      </c>
      <c r="L146" s="68">
        <v>5.27272727272727</v>
      </c>
      <c r="M146" s="69">
        <v>32847.19</v>
      </c>
      <c r="N146" s="68">
        <v>41</v>
      </c>
      <c r="O146" s="67">
        <v>617</v>
      </c>
      <c r="P146" s="68">
        <v>1765.38000000001</v>
      </c>
    </row>
    <row r="147" spans="1:16">
      <c r="A147" s="63" t="s">
        <v>194</v>
      </c>
      <c r="B147" s="63" t="s">
        <v>82</v>
      </c>
      <c r="C147" s="63" t="s">
        <v>83</v>
      </c>
      <c r="D147" s="63" t="s">
        <v>8</v>
      </c>
      <c r="E147" s="63" t="s">
        <v>164</v>
      </c>
      <c r="F147" s="66" t="s">
        <v>159</v>
      </c>
      <c r="G147" s="67">
        <v>56</v>
      </c>
      <c r="H147" s="67">
        <v>144</v>
      </c>
      <c r="I147" s="67">
        <v>139</v>
      </c>
      <c r="J147" s="68">
        <v>137</v>
      </c>
      <c r="K147" s="73">
        <v>2.48214285714286</v>
      </c>
      <c r="L147" s="68">
        <v>2.44642857142857</v>
      </c>
      <c r="M147" s="69">
        <v>17637.45</v>
      </c>
      <c r="N147" s="68">
        <v>0</v>
      </c>
      <c r="O147" s="67">
        <v>399</v>
      </c>
      <c r="P147" s="68">
        <v>1641.32</v>
      </c>
    </row>
    <row r="148" spans="1:16">
      <c r="A148" s="63" t="s">
        <v>194</v>
      </c>
      <c r="B148" s="63" t="s">
        <v>82</v>
      </c>
      <c r="C148" s="63" t="s">
        <v>83</v>
      </c>
      <c r="D148" s="63" t="s">
        <v>6</v>
      </c>
      <c r="E148" s="63" t="s">
        <v>165</v>
      </c>
      <c r="F148" s="66" t="s">
        <v>159</v>
      </c>
      <c r="G148" s="67">
        <v>70</v>
      </c>
      <c r="H148" s="67">
        <v>285</v>
      </c>
      <c r="I148" s="67">
        <v>279</v>
      </c>
      <c r="J148" s="68">
        <v>280</v>
      </c>
      <c r="K148" s="73">
        <v>3.98571428571429</v>
      </c>
      <c r="L148" s="68">
        <v>4</v>
      </c>
      <c r="M148" s="69">
        <v>32281.25</v>
      </c>
      <c r="N148" s="68">
        <v>4</v>
      </c>
      <c r="O148" s="67">
        <v>764</v>
      </c>
      <c r="P148" s="68">
        <v>1912.48</v>
      </c>
    </row>
    <row r="149" spans="1:16">
      <c r="A149" s="63" t="s">
        <v>193</v>
      </c>
      <c r="B149" s="63" t="s">
        <v>82</v>
      </c>
      <c r="C149" s="63" t="s">
        <v>83</v>
      </c>
      <c r="D149" s="63" t="s">
        <v>3</v>
      </c>
      <c r="E149" s="63" t="s">
        <v>158</v>
      </c>
      <c r="F149" s="66" t="s">
        <v>148</v>
      </c>
      <c r="G149" s="67">
        <v>53</v>
      </c>
      <c r="H149" s="67">
        <v>272</v>
      </c>
      <c r="I149" s="67">
        <v>268</v>
      </c>
      <c r="J149" s="68">
        <v>268</v>
      </c>
      <c r="K149" s="73">
        <v>5.05660377358491</v>
      </c>
      <c r="L149" s="68">
        <v>5.05660377358491</v>
      </c>
      <c r="M149" s="69">
        <v>45328.6</v>
      </c>
      <c r="N149" s="68">
        <v>1</v>
      </c>
      <c r="O149" s="67">
        <v>812</v>
      </c>
      <c r="P149" s="68">
        <v>2262.27000000003</v>
      </c>
    </row>
    <row r="150" spans="1:16">
      <c r="A150" s="63" t="s">
        <v>193</v>
      </c>
      <c r="B150" s="63" t="s">
        <v>82</v>
      </c>
      <c r="C150" s="63" t="s">
        <v>83</v>
      </c>
      <c r="D150" s="63" t="s">
        <v>9</v>
      </c>
      <c r="E150" s="63" t="s">
        <v>160</v>
      </c>
      <c r="F150" s="66" t="s">
        <v>148</v>
      </c>
      <c r="G150" s="67">
        <v>57</v>
      </c>
      <c r="H150" s="67">
        <v>234</v>
      </c>
      <c r="I150" s="67">
        <v>232</v>
      </c>
      <c r="J150" s="68">
        <v>233</v>
      </c>
      <c r="K150" s="73">
        <v>4.07017543859649</v>
      </c>
      <c r="L150" s="68">
        <v>4.08771929824561</v>
      </c>
      <c r="M150" s="69">
        <v>40942.69</v>
      </c>
      <c r="N150" s="68">
        <v>0</v>
      </c>
      <c r="O150" s="67">
        <v>749</v>
      </c>
      <c r="P150" s="68">
        <v>1947.82999999999</v>
      </c>
    </row>
    <row r="151" spans="1:16">
      <c r="A151" s="63" t="s">
        <v>193</v>
      </c>
      <c r="B151" s="63" t="s">
        <v>82</v>
      </c>
      <c r="C151" s="63" t="s">
        <v>83</v>
      </c>
      <c r="D151" s="63" t="s">
        <v>5</v>
      </c>
      <c r="E151" s="63" t="s">
        <v>161</v>
      </c>
      <c r="F151" s="66" t="s">
        <v>148</v>
      </c>
      <c r="G151" s="67">
        <v>48</v>
      </c>
      <c r="H151" s="67">
        <v>304</v>
      </c>
      <c r="I151" s="67">
        <v>302</v>
      </c>
      <c r="J151" s="68">
        <v>299</v>
      </c>
      <c r="K151" s="73">
        <v>6.29166666666667</v>
      </c>
      <c r="L151" s="68">
        <v>6.22916666666667</v>
      </c>
      <c r="M151" s="69">
        <v>46899.45</v>
      </c>
      <c r="N151" s="68">
        <v>4</v>
      </c>
      <c r="O151" s="67">
        <v>964</v>
      </c>
      <c r="P151" s="68">
        <v>2146.07000000003</v>
      </c>
    </row>
    <row r="152" spans="1:16">
      <c r="A152" s="63" t="s">
        <v>193</v>
      </c>
      <c r="B152" s="63" t="s">
        <v>82</v>
      </c>
      <c r="C152" s="63" t="s">
        <v>83</v>
      </c>
      <c r="D152" s="63" t="s">
        <v>4</v>
      </c>
      <c r="E152" s="63" t="s">
        <v>162</v>
      </c>
      <c r="F152" s="66" t="s">
        <v>148</v>
      </c>
      <c r="G152" s="67">
        <v>36</v>
      </c>
      <c r="H152" s="67">
        <v>135</v>
      </c>
      <c r="I152" s="67">
        <v>132</v>
      </c>
      <c r="J152" s="68">
        <v>129</v>
      </c>
      <c r="K152" s="73">
        <v>3.66666666666667</v>
      </c>
      <c r="L152" s="68">
        <v>3.58333333333333</v>
      </c>
      <c r="M152" s="69">
        <v>21096.55</v>
      </c>
      <c r="N152" s="68">
        <v>9</v>
      </c>
      <c r="O152" s="67">
        <v>355</v>
      </c>
      <c r="P152" s="68">
        <v>1143.83000000001</v>
      </c>
    </row>
    <row r="153" spans="1:16">
      <c r="A153" s="63" t="s">
        <v>193</v>
      </c>
      <c r="B153" s="63" t="s">
        <v>82</v>
      </c>
      <c r="C153" s="63" t="s">
        <v>83</v>
      </c>
      <c r="D153" s="63" t="s">
        <v>7</v>
      </c>
      <c r="E153" s="63" t="s">
        <v>163</v>
      </c>
      <c r="F153" s="66" t="s">
        <v>148</v>
      </c>
      <c r="G153" s="67">
        <v>55</v>
      </c>
      <c r="H153" s="67">
        <v>313</v>
      </c>
      <c r="I153" s="67">
        <v>311</v>
      </c>
      <c r="J153" s="68">
        <v>306</v>
      </c>
      <c r="K153" s="73">
        <v>5.65454545454545</v>
      </c>
      <c r="L153" s="68">
        <v>5.56363636363636</v>
      </c>
      <c r="M153" s="69">
        <v>39069.55</v>
      </c>
      <c r="N153" s="68">
        <v>32</v>
      </c>
      <c r="O153" s="67">
        <v>701</v>
      </c>
      <c r="P153" s="68">
        <v>1258.76999999999</v>
      </c>
    </row>
    <row r="154" spans="1:16">
      <c r="A154" s="63" t="s">
        <v>193</v>
      </c>
      <c r="B154" s="63" t="s">
        <v>82</v>
      </c>
      <c r="C154" s="63" t="s">
        <v>83</v>
      </c>
      <c r="D154" s="63" t="s">
        <v>8</v>
      </c>
      <c r="E154" s="63" t="s">
        <v>164</v>
      </c>
      <c r="F154" s="66" t="s">
        <v>148</v>
      </c>
      <c r="G154" s="67">
        <v>56</v>
      </c>
      <c r="H154" s="67">
        <v>196</v>
      </c>
      <c r="I154" s="67">
        <v>188</v>
      </c>
      <c r="J154" s="68">
        <v>188</v>
      </c>
      <c r="K154" s="73">
        <v>3.35714285714286</v>
      </c>
      <c r="L154" s="68">
        <v>3.35714285714286</v>
      </c>
      <c r="M154" s="69">
        <v>27412.3</v>
      </c>
      <c r="N154" s="68">
        <v>0</v>
      </c>
      <c r="O154" s="67">
        <v>570</v>
      </c>
      <c r="P154" s="68">
        <v>1838.60000000002</v>
      </c>
    </row>
    <row r="155" spans="1:16">
      <c r="A155" s="63" t="s">
        <v>193</v>
      </c>
      <c r="B155" s="63" t="s">
        <v>82</v>
      </c>
      <c r="C155" s="63" t="s">
        <v>83</v>
      </c>
      <c r="D155" s="63" t="s">
        <v>6</v>
      </c>
      <c r="E155" s="63" t="s">
        <v>165</v>
      </c>
      <c r="F155" s="66" t="s">
        <v>148</v>
      </c>
      <c r="G155" s="67">
        <v>70</v>
      </c>
      <c r="H155" s="67">
        <v>351</v>
      </c>
      <c r="I155" s="67">
        <v>350</v>
      </c>
      <c r="J155" s="68">
        <v>348</v>
      </c>
      <c r="K155" s="73">
        <v>5</v>
      </c>
      <c r="L155" s="68">
        <v>4.97142857142857</v>
      </c>
      <c r="M155" s="69">
        <v>51941.6</v>
      </c>
      <c r="N155" s="68">
        <v>4</v>
      </c>
      <c r="O155" s="67">
        <v>1039</v>
      </c>
      <c r="P155" s="68">
        <v>2154.84000000002</v>
      </c>
    </row>
    <row r="156" spans="1:16">
      <c r="A156" s="63" t="s">
        <v>192</v>
      </c>
      <c r="B156" s="63" t="s">
        <v>82</v>
      </c>
      <c r="C156" s="63" t="s">
        <v>83</v>
      </c>
      <c r="D156" s="63" t="s">
        <v>3</v>
      </c>
      <c r="E156" s="63" t="s">
        <v>158</v>
      </c>
      <c r="F156" s="66" t="s">
        <v>148</v>
      </c>
      <c r="G156" s="67">
        <v>53</v>
      </c>
      <c r="H156" s="67">
        <v>268</v>
      </c>
      <c r="I156" s="67">
        <v>260</v>
      </c>
      <c r="J156" s="68">
        <v>259</v>
      </c>
      <c r="K156" s="73">
        <v>4.90566037735849</v>
      </c>
      <c r="L156" s="68">
        <v>4.88679245283019</v>
      </c>
      <c r="M156" s="69">
        <v>43519.55</v>
      </c>
      <c r="N156" s="68">
        <v>5</v>
      </c>
      <c r="O156" s="67">
        <v>755</v>
      </c>
      <c r="P156" s="68">
        <v>2182.42000000001</v>
      </c>
    </row>
    <row r="157" spans="1:16">
      <c r="A157" s="71" t="s">
        <v>192</v>
      </c>
      <c r="B157" s="71" t="s">
        <v>82</v>
      </c>
      <c r="C157" s="71" t="s">
        <v>83</v>
      </c>
      <c r="D157" s="71" t="s">
        <v>9</v>
      </c>
      <c r="E157" s="71" t="s">
        <v>160</v>
      </c>
      <c r="F157" s="71" t="s">
        <v>148</v>
      </c>
      <c r="G157" s="71">
        <v>57</v>
      </c>
      <c r="H157" s="71">
        <v>238</v>
      </c>
      <c r="I157" s="71">
        <v>236</v>
      </c>
      <c r="J157" s="71">
        <v>233</v>
      </c>
      <c r="K157" s="71">
        <v>4.14035087719298</v>
      </c>
      <c r="L157" s="71">
        <v>4.08771929824561</v>
      </c>
      <c r="M157" s="71">
        <v>41265.82</v>
      </c>
      <c r="N157" s="71">
        <v>0</v>
      </c>
      <c r="O157" s="71">
        <v>738</v>
      </c>
      <c r="P157" s="71">
        <v>1798.24999999999</v>
      </c>
    </row>
    <row r="158" spans="1:16">
      <c r="A158" s="71" t="s">
        <v>192</v>
      </c>
      <c r="B158" s="71" t="s">
        <v>82</v>
      </c>
      <c r="C158" s="71" t="s">
        <v>83</v>
      </c>
      <c r="D158" s="71" t="s">
        <v>5</v>
      </c>
      <c r="E158" s="71" t="s">
        <v>161</v>
      </c>
      <c r="F158" s="71" t="s">
        <v>148</v>
      </c>
      <c r="G158" s="71">
        <v>48</v>
      </c>
      <c r="H158" s="71">
        <v>312</v>
      </c>
      <c r="I158" s="71">
        <v>309</v>
      </c>
      <c r="J158" s="71">
        <v>305</v>
      </c>
      <c r="K158" s="71">
        <v>6.4375</v>
      </c>
      <c r="L158" s="71">
        <v>6.35416666666667</v>
      </c>
      <c r="M158" s="71">
        <v>49334.39</v>
      </c>
      <c r="N158" s="71">
        <v>4</v>
      </c>
      <c r="O158" s="71">
        <v>972</v>
      </c>
      <c r="P158" s="71">
        <v>2619.60999999999</v>
      </c>
    </row>
    <row r="159" spans="1:16">
      <c r="A159" s="71" t="s">
        <v>192</v>
      </c>
      <c r="B159" s="71" t="s">
        <v>82</v>
      </c>
      <c r="C159" s="71" t="s">
        <v>83</v>
      </c>
      <c r="D159" s="71" t="s">
        <v>4</v>
      </c>
      <c r="E159" s="71" t="s">
        <v>162</v>
      </c>
      <c r="F159" s="71" t="s">
        <v>148</v>
      </c>
      <c r="G159" s="71">
        <v>36</v>
      </c>
      <c r="H159" s="71">
        <v>139</v>
      </c>
      <c r="I159" s="71">
        <v>135</v>
      </c>
      <c r="J159" s="71">
        <v>135</v>
      </c>
      <c r="K159" s="71">
        <v>3.75</v>
      </c>
      <c r="L159" s="71">
        <v>3.75</v>
      </c>
      <c r="M159" s="71">
        <v>21779.5</v>
      </c>
      <c r="N159" s="71">
        <v>12</v>
      </c>
      <c r="O159" s="71">
        <v>345</v>
      </c>
      <c r="P159" s="71">
        <v>723.290000000013</v>
      </c>
    </row>
    <row r="160" spans="1:16">
      <c r="A160" s="71" t="s">
        <v>192</v>
      </c>
      <c r="B160" s="71" t="s">
        <v>82</v>
      </c>
      <c r="C160" s="71" t="s">
        <v>83</v>
      </c>
      <c r="D160" s="71" t="s">
        <v>7</v>
      </c>
      <c r="E160" s="71" t="s">
        <v>163</v>
      </c>
      <c r="F160" s="71" t="s">
        <v>148</v>
      </c>
      <c r="G160" s="71">
        <v>55</v>
      </c>
      <c r="H160" s="71">
        <v>313</v>
      </c>
      <c r="I160" s="71">
        <v>311</v>
      </c>
      <c r="J160" s="71">
        <v>306</v>
      </c>
      <c r="K160" s="71">
        <v>5.65454545454545</v>
      </c>
      <c r="L160" s="71">
        <v>5.56363636363636</v>
      </c>
      <c r="M160" s="71">
        <v>44063.35</v>
      </c>
      <c r="N160" s="71">
        <v>17</v>
      </c>
      <c r="O160" s="71">
        <v>755</v>
      </c>
      <c r="P160" s="71">
        <v>1541.46999999996</v>
      </c>
    </row>
    <row r="161" spans="1:16">
      <c r="A161" s="71" t="s">
        <v>192</v>
      </c>
      <c r="B161" s="71" t="s">
        <v>82</v>
      </c>
      <c r="C161" s="71" t="s">
        <v>83</v>
      </c>
      <c r="D161" s="71" t="s">
        <v>8</v>
      </c>
      <c r="E161" s="71" t="s">
        <v>164</v>
      </c>
      <c r="F161" s="71" t="s">
        <v>148</v>
      </c>
      <c r="G161" s="71">
        <v>56</v>
      </c>
      <c r="H161" s="71">
        <v>199</v>
      </c>
      <c r="I161" s="71">
        <v>197</v>
      </c>
      <c r="J161" s="71">
        <v>196</v>
      </c>
      <c r="K161" s="71">
        <v>3.51785714285714</v>
      </c>
      <c r="L161" s="71">
        <v>3.5</v>
      </c>
      <c r="M161" s="71">
        <v>29913</v>
      </c>
      <c r="N161" s="71">
        <v>0</v>
      </c>
      <c r="O161" s="71">
        <v>591</v>
      </c>
      <c r="P161" s="71">
        <v>1769.5</v>
      </c>
    </row>
    <row r="162" spans="1:16">
      <c r="A162" s="71" t="s">
        <v>192</v>
      </c>
      <c r="B162" s="71" t="s">
        <v>82</v>
      </c>
      <c r="C162" s="71" t="s">
        <v>83</v>
      </c>
      <c r="D162" s="71" t="s">
        <v>6</v>
      </c>
      <c r="E162" s="71" t="s">
        <v>165</v>
      </c>
      <c r="F162" s="71" t="s">
        <v>148</v>
      </c>
      <c r="G162" s="71">
        <v>70</v>
      </c>
      <c r="H162" s="71">
        <v>326</v>
      </c>
      <c r="I162" s="71">
        <v>324</v>
      </c>
      <c r="J162" s="71">
        <v>322</v>
      </c>
      <c r="K162" s="71">
        <v>4.62857142857143</v>
      </c>
      <c r="L162" s="71">
        <v>4.6</v>
      </c>
      <c r="M162" s="71">
        <v>52428.85</v>
      </c>
      <c r="N162" s="71">
        <v>6</v>
      </c>
      <c r="O162" s="71">
        <v>929</v>
      </c>
      <c r="P162" s="71">
        <v>2241.71999999996</v>
      </c>
    </row>
    <row r="163" spans="1:16">
      <c r="A163" s="71" t="s">
        <v>191</v>
      </c>
      <c r="B163" s="71" t="s">
        <v>82</v>
      </c>
      <c r="C163" s="71" t="s">
        <v>83</v>
      </c>
      <c r="D163" s="71" t="s">
        <v>3</v>
      </c>
      <c r="E163" s="71" t="s">
        <v>158</v>
      </c>
      <c r="F163" s="71" t="s">
        <v>148</v>
      </c>
      <c r="G163" s="71">
        <v>53</v>
      </c>
      <c r="H163" s="71">
        <v>242</v>
      </c>
      <c r="I163" s="71">
        <v>238</v>
      </c>
      <c r="J163" s="71">
        <v>232</v>
      </c>
      <c r="K163" s="71">
        <v>4.49056603773585</v>
      </c>
      <c r="L163" s="71">
        <v>4.37735849056604</v>
      </c>
      <c r="M163" s="71">
        <v>36456.7</v>
      </c>
      <c r="N163" s="71">
        <v>0</v>
      </c>
      <c r="O163" s="71">
        <v>691</v>
      </c>
      <c r="P163" s="71">
        <v>2519.03999999999</v>
      </c>
    </row>
    <row r="164" spans="1:16">
      <c r="A164" s="71" t="s">
        <v>191</v>
      </c>
      <c r="B164" s="71" t="s">
        <v>82</v>
      </c>
      <c r="C164" s="71" t="s">
        <v>83</v>
      </c>
      <c r="D164" s="71" t="s">
        <v>9</v>
      </c>
      <c r="E164" s="71" t="s">
        <v>160</v>
      </c>
      <c r="F164" s="71" t="s">
        <v>148</v>
      </c>
      <c r="G164" s="71">
        <v>57</v>
      </c>
      <c r="H164" s="71">
        <v>215</v>
      </c>
      <c r="I164" s="71">
        <v>213</v>
      </c>
      <c r="J164" s="71">
        <v>211</v>
      </c>
      <c r="K164" s="71">
        <v>3.73684210526316</v>
      </c>
      <c r="L164" s="71">
        <v>3.70175438596491</v>
      </c>
      <c r="M164" s="71">
        <v>35672.78</v>
      </c>
      <c r="N164" s="71">
        <v>0</v>
      </c>
      <c r="O164" s="71">
        <v>632</v>
      </c>
      <c r="P164" s="71">
        <v>2108.34999999999</v>
      </c>
    </row>
    <row r="165" spans="1:16">
      <c r="A165" s="71" t="s">
        <v>191</v>
      </c>
      <c r="B165" s="71" t="s">
        <v>82</v>
      </c>
      <c r="C165" s="71" t="s">
        <v>83</v>
      </c>
      <c r="D165" s="71" t="s">
        <v>5</v>
      </c>
      <c r="E165" s="71" t="s">
        <v>161</v>
      </c>
      <c r="F165" s="71" t="s">
        <v>148</v>
      </c>
      <c r="G165" s="71">
        <v>48</v>
      </c>
      <c r="H165" s="71">
        <v>388</v>
      </c>
      <c r="I165" s="71">
        <v>386</v>
      </c>
      <c r="J165" s="71">
        <v>382</v>
      </c>
      <c r="K165" s="71">
        <v>8.04166666666667</v>
      </c>
      <c r="L165" s="71">
        <v>7.95833333333333</v>
      </c>
      <c r="M165" s="71">
        <v>45277.67</v>
      </c>
      <c r="N165" s="71">
        <v>8</v>
      </c>
      <c r="O165" s="71">
        <v>1218</v>
      </c>
      <c r="P165" s="71">
        <v>3356.11000000003</v>
      </c>
    </row>
    <row r="166" spans="1:16">
      <c r="A166" s="71" t="s">
        <v>191</v>
      </c>
      <c r="B166" s="71" t="s">
        <v>82</v>
      </c>
      <c r="C166" s="71" t="s">
        <v>83</v>
      </c>
      <c r="D166" s="71" t="s">
        <v>4</v>
      </c>
      <c r="E166" s="71" t="s">
        <v>162</v>
      </c>
      <c r="F166" s="71" t="s">
        <v>148</v>
      </c>
      <c r="G166" s="71">
        <v>36</v>
      </c>
      <c r="H166" s="71">
        <v>161</v>
      </c>
      <c r="I166" s="71">
        <v>158</v>
      </c>
      <c r="J166" s="71">
        <v>156</v>
      </c>
      <c r="K166" s="71">
        <v>4.38888888888889</v>
      </c>
      <c r="L166" s="71">
        <v>4.33333333333333</v>
      </c>
      <c r="M166" s="71">
        <v>22347.55</v>
      </c>
      <c r="N166" s="71">
        <v>8</v>
      </c>
      <c r="O166" s="71">
        <v>416</v>
      </c>
      <c r="P166" s="71">
        <v>974.660000000008</v>
      </c>
    </row>
    <row r="167" spans="1:16">
      <c r="A167" s="71" t="s">
        <v>191</v>
      </c>
      <c r="B167" s="71" t="s">
        <v>82</v>
      </c>
      <c r="C167" s="71" t="s">
        <v>83</v>
      </c>
      <c r="D167" s="71" t="s">
        <v>7</v>
      </c>
      <c r="E167" s="71" t="s">
        <v>163</v>
      </c>
      <c r="F167" s="71" t="s">
        <v>148</v>
      </c>
      <c r="G167" s="71">
        <v>55</v>
      </c>
      <c r="H167" s="71">
        <v>324</v>
      </c>
      <c r="I167" s="71">
        <v>321</v>
      </c>
      <c r="J167" s="71">
        <v>318</v>
      </c>
      <c r="K167" s="71">
        <v>5.83636363636364</v>
      </c>
      <c r="L167" s="71">
        <v>5.78181818181818</v>
      </c>
      <c r="M167" s="71">
        <v>38198.28</v>
      </c>
      <c r="N167" s="71">
        <v>18</v>
      </c>
      <c r="O167" s="71">
        <v>765</v>
      </c>
      <c r="P167" s="71">
        <v>2567.63</v>
      </c>
    </row>
    <row r="168" spans="1:16">
      <c r="A168" s="71" t="s">
        <v>191</v>
      </c>
      <c r="B168" s="71" t="s">
        <v>82</v>
      </c>
      <c r="C168" s="71" t="s">
        <v>83</v>
      </c>
      <c r="D168" s="71" t="s">
        <v>8</v>
      </c>
      <c r="E168" s="71" t="s">
        <v>164</v>
      </c>
      <c r="F168" s="71" t="s">
        <v>148</v>
      </c>
      <c r="G168" s="71">
        <v>56</v>
      </c>
      <c r="H168" s="71">
        <v>172</v>
      </c>
      <c r="I168" s="71">
        <v>168</v>
      </c>
      <c r="J168" s="71">
        <v>167</v>
      </c>
      <c r="K168" s="71">
        <v>3</v>
      </c>
      <c r="L168" s="71">
        <v>2.98214285714286</v>
      </c>
      <c r="M168" s="71">
        <v>22699.2</v>
      </c>
      <c r="N168" s="71">
        <v>0</v>
      </c>
      <c r="O168" s="71">
        <v>465</v>
      </c>
      <c r="P168" s="71">
        <v>1526.2</v>
      </c>
    </row>
    <row r="169" spans="1:16">
      <c r="A169" s="71" t="s">
        <v>191</v>
      </c>
      <c r="B169" s="71" t="s">
        <v>82</v>
      </c>
      <c r="C169" s="71" t="s">
        <v>83</v>
      </c>
      <c r="D169" s="71" t="s">
        <v>6</v>
      </c>
      <c r="E169" s="71" t="s">
        <v>165</v>
      </c>
      <c r="F169" s="71" t="s">
        <v>148</v>
      </c>
      <c r="G169" s="71">
        <v>70</v>
      </c>
      <c r="H169" s="71">
        <v>486</v>
      </c>
      <c r="I169" s="71">
        <v>483</v>
      </c>
      <c r="J169" s="71">
        <v>482</v>
      </c>
      <c r="K169" s="71">
        <v>6.9</v>
      </c>
      <c r="L169" s="71">
        <v>6.88571428571429</v>
      </c>
      <c r="M169" s="71">
        <v>55546.02</v>
      </c>
      <c r="N169" s="71">
        <v>3</v>
      </c>
      <c r="O169" s="71">
        <v>1312</v>
      </c>
      <c r="P169" s="71">
        <v>3289.83999999999</v>
      </c>
    </row>
    <row r="170" spans="1:16">
      <c r="A170" s="71" t="s">
        <v>190</v>
      </c>
      <c r="B170" s="71" t="s">
        <v>82</v>
      </c>
      <c r="C170" s="71" t="s">
        <v>83</v>
      </c>
      <c r="D170" s="71" t="s">
        <v>3</v>
      </c>
      <c r="E170" s="71" t="s">
        <v>158</v>
      </c>
      <c r="F170" s="71" t="s">
        <v>159</v>
      </c>
      <c r="G170" s="71">
        <v>53</v>
      </c>
      <c r="H170" s="71">
        <v>244</v>
      </c>
      <c r="I170" s="71">
        <v>238</v>
      </c>
      <c r="J170" s="71">
        <v>232</v>
      </c>
      <c r="K170" s="71">
        <v>4.49056603773585</v>
      </c>
      <c r="L170" s="71">
        <v>4.37735849056604</v>
      </c>
      <c r="M170" s="71">
        <v>32713.55</v>
      </c>
      <c r="N170" s="71">
        <v>1</v>
      </c>
      <c r="O170" s="71">
        <v>695</v>
      </c>
      <c r="P170" s="71">
        <v>1699.33</v>
      </c>
    </row>
    <row r="171" spans="1:16">
      <c r="A171" s="71" t="s">
        <v>190</v>
      </c>
      <c r="B171" s="71" t="s">
        <v>82</v>
      </c>
      <c r="C171" s="71" t="s">
        <v>83</v>
      </c>
      <c r="D171" s="71" t="s">
        <v>9</v>
      </c>
      <c r="E171" s="71" t="s">
        <v>160</v>
      </c>
      <c r="F171" s="71" t="s">
        <v>159</v>
      </c>
      <c r="G171" s="71">
        <v>57</v>
      </c>
      <c r="H171" s="71">
        <v>183</v>
      </c>
      <c r="I171" s="71">
        <v>179</v>
      </c>
      <c r="J171" s="71">
        <v>178</v>
      </c>
      <c r="K171" s="71">
        <v>3.14035087719298</v>
      </c>
      <c r="L171" s="71">
        <v>3.12280701754386</v>
      </c>
      <c r="M171" s="71">
        <v>30585.08</v>
      </c>
      <c r="N171" s="71">
        <v>0</v>
      </c>
      <c r="O171" s="71">
        <v>563</v>
      </c>
      <c r="P171" s="71">
        <v>2585.7</v>
      </c>
    </row>
    <row r="172" spans="1:16">
      <c r="A172" s="71" t="s">
        <v>190</v>
      </c>
      <c r="B172" s="71" t="s">
        <v>82</v>
      </c>
      <c r="C172" s="71" t="s">
        <v>83</v>
      </c>
      <c r="D172" s="71" t="s">
        <v>5</v>
      </c>
      <c r="E172" s="71" t="s">
        <v>161</v>
      </c>
      <c r="F172" s="71" t="s">
        <v>159</v>
      </c>
      <c r="G172" s="71">
        <v>48</v>
      </c>
      <c r="H172" s="71">
        <v>278</v>
      </c>
      <c r="I172" s="71">
        <v>277</v>
      </c>
      <c r="J172" s="71">
        <v>273</v>
      </c>
      <c r="K172" s="71">
        <v>5.77083333333333</v>
      </c>
      <c r="L172" s="71">
        <v>5.6875</v>
      </c>
      <c r="M172" s="71">
        <v>33152.89</v>
      </c>
      <c r="N172" s="71">
        <v>5</v>
      </c>
      <c r="O172" s="71">
        <v>786</v>
      </c>
      <c r="P172" s="71">
        <v>2573.34</v>
      </c>
    </row>
    <row r="173" spans="1:16">
      <c r="A173" s="71" t="s">
        <v>190</v>
      </c>
      <c r="B173" s="71" t="s">
        <v>82</v>
      </c>
      <c r="C173" s="71" t="s">
        <v>83</v>
      </c>
      <c r="D173" s="71" t="s">
        <v>4</v>
      </c>
      <c r="E173" s="71" t="s">
        <v>162</v>
      </c>
      <c r="F173" s="71" t="s">
        <v>159</v>
      </c>
      <c r="G173" s="71">
        <v>36</v>
      </c>
      <c r="H173" s="71">
        <v>116</v>
      </c>
      <c r="I173" s="71">
        <v>110</v>
      </c>
      <c r="J173" s="71">
        <v>108</v>
      </c>
      <c r="K173" s="71">
        <v>3.05555555555556</v>
      </c>
      <c r="L173" s="71">
        <v>3</v>
      </c>
      <c r="M173" s="71">
        <v>12901.9</v>
      </c>
      <c r="N173" s="71">
        <v>16</v>
      </c>
      <c r="O173" s="71">
        <v>260</v>
      </c>
      <c r="P173" s="71">
        <v>1320.91</v>
      </c>
    </row>
    <row r="174" spans="1:16">
      <c r="A174" s="71" t="s">
        <v>190</v>
      </c>
      <c r="B174" s="71" t="s">
        <v>82</v>
      </c>
      <c r="C174" s="71" t="s">
        <v>83</v>
      </c>
      <c r="D174" s="71" t="s">
        <v>7</v>
      </c>
      <c r="E174" s="71" t="s">
        <v>163</v>
      </c>
      <c r="F174" s="71" t="s">
        <v>159</v>
      </c>
      <c r="G174" s="71">
        <v>55</v>
      </c>
      <c r="H174" s="71">
        <v>305</v>
      </c>
      <c r="I174" s="71">
        <v>301</v>
      </c>
      <c r="J174" s="71">
        <v>294</v>
      </c>
      <c r="K174" s="71">
        <v>5.47272727272727</v>
      </c>
      <c r="L174" s="71">
        <v>5.34545454545455</v>
      </c>
      <c r="M174" s="71">
        <v>36192.71</v>
      </c>
      <c r="N174" s="71">
        <v>11</v>
      </c>
      <c r="O174" s="71">
        <v>696</v>
      </c>
      <c r="P174" s="71">
        <v>2119.24</v>
      </c>
    </row>
    <row r="175" spans="1:16">
      <c r="A175" s="71" t="s">
        <v>190</v>
      </c>
      <c r="B175" s="71" t="s">
        <v>82</v>
      </c>
      <c r="C175" s="71" t="s">
        <v>83</v>
      </c>
      <c r="D175" s="71" t="s">
        <v>8</v>
      </c>
      <c r="E175" s="71" t="s">
        <v>164</v>
      </c>
      <c r="F175" s="71" t="s">
        <v>159</v>
      </c>
      <c r="G175" s="71">
        <v>56</v>
      </c>
      <c r="H175" s="71">
        <v>123</v>
      </c>
      <c r="I175" s="71">
        <v>116</v>
      </c>
      <c r="J175" s="71">
        <v>115</v>
      </c>
      <c r="K175" s="71">
        <v>2.07142857142857</v>
      </c>
      <c r="L175" s="71">
        <v>2.05357142857143</v>
      </c>
      <c r="M175" s="71">
        <v>16429.3</v>
      </c>
      <c r="N175" s="71">
        <v>0</v>
      </c>
      <c r="O175" s="71">
        <v>332</v>
      </c>
      <c r="P175" s="71">
        <v>1074.75</v>
      </c>
    </row>
    <row r="176" spans="1:16">
      <c r="A176" s="71" t="s">
        <v>190</v>
      </c>
      <c r="B176" s="71" t="s">
        <v>82</v>
      </c>
      <c r="C176" s="71" t="s">
        <v>83</v>
      </c>
      <c r="D176" s="71" t="s">
        <v>6</v>
      </c>
      <c r="E176" s="71" t="s">
        <v>165</v>
      </c>
      <c r="F176" s="71" t="s">
        <v>159</v>
      </c>
      <c r="G176" s="71">
        <v>70</v>
      </c>
      <c r="H176" s="71">
        <v>273</v>
      </c>
      <c r="I176" s="71">
        <v>267</v>
      </c>
      <c r="J176" s="71">
        <v>269</v>
      </c>
      <c r="K176" s="71">
        <v>3.81428571428571</v>
      </c>
      <c r="L176" s="71">
        <v>3.84285714285714</v>
      </c>
      <c r="M176" s="71">
        <v>29930.93</v>
      </c>
      <c r="N176" s="71">
        <v>6</v>
      </c>
      <c r="O176" s="71">
        <v>684</v>
      </c>
      <c r="P176" s="71">
        <v>1830.15</v>
      </c>
    </row>
    <row r="177" spans="1:16">
      <c r="A177" s="71" t="s">
        <v>189</v>
      </c>
      <c r="B177" s="71" t="s">
        <v>82</v>
      </c>
      <c r="C177" s="71" t="s">
        <v>83</v>
      </c>
      <c r="D177" s="71" t="s">
        <v>3</v>
      </c>
      <c r="E177" s="71" t="s">
        <v>158</v>
      </c>
      <c r="F177" s="71" t="s">
        <v>159</v>
      </c>
      <c r="G177" s="71">
        <v>53</v>
      </c>
      <c r="H177" s="71">
        <v>223</v>
      </c>
      <c r="I177" s="71">
        <v>216</v>
      </c>
      <c r="J177" s="71">
        <v>216</v>
      </c>
      <c r="K177" s="71">
        <v>4.07547169811321</v>
      </c>
      <c r="L177" s="71">
        <v>4.07547169811321</v>
      </c>
      <c r="M177" s="71">
        <v>28589.05</v>
      </c>
      <c r="N177" s="71">
        <v>3</v>
      </c>
      <c r="O177" s="71">
        <v>592</v>
      </c>
      <c r="P177" s="71">
        <v>1481.29</v>
      </c>
    </row>
    <row r="178" spans="1:16">
      <c r="A178" s="71" t="s">
        <v>189</v>
      </c>
      <c r="B178" s="71" t="s">
        <v>82</v>
      </c>
      <c r="C178" s="71" t="s">
        <v>83</v>
      </c>
      <c r="D178" s="71" t="s">
        <v>9</v>
      </c>
      <c r="E178" s="71" t="s">
        <v>160</v>
      </c>
      <c r="F178" s="71" t="s">
        <v>159</v>
      </c>
      <c r="G178" s="71">
        <v>57</v>
      </c>
      <c r="H178" s="71">
        <v>147</v>
      </c>
      <c r="I178" s="71">
        <v>144</v>
      </c>
      <c r="J178" s="71">
        <v>144</v>
      </c>
      <c r="K178" s="71">
        <v>2.52631578947368</v>
      </c>
      <c r="L178" s="71">
        <v>2.52631578947368</v>
      </c>
      <c r="M178" s="71">
        <v>22890.58</v>
      </c>
      <c r="N178" s="71">
        <v>0</v>
      </c>
      <c r="O178" s="71">
        <v>407</v>
      </c>
      <c r="P178" s="71">
        <v>1744.95</v>
      </c>
    </row>
    <row r="179" spans="1:16">
      <c r="A179" s="71" t="s">
        <v>189</v>
      </c>
      <c r="B179" s="71" t="s">
        <v>82</v>
      </c>
      <c r="C179" s="71" t="s">
        <v>83</v>
      </c>
      <c r="D179" s="71" t="s">
        <v>5</v>
      </c>
      <c r="E179" s="71" t="s">
        <v>161</v>
      </c>
      <c r="F179" s="71" t="s">
        <v>159</v>
      </c>
      <c r="G179" s="71">
        <v>48</v>
      </c>
      <c r="H179" s="71">
        <v>245</v>
      </c>
      <c r="I179" s="71">
        <v>245</v>
      </c>
      <c r="J179" s="71">
        <v>244</v>
      </c>
      <c r="K179" s="71">
        <v>5.10416666666667</v>
      </c>
      <c r="L179" s="71">
        <v>5.08333333333333</v>
      </c>
      <c r="M179" s="71">
        <v>28442.03</v>
      </c>
      <c r="N179" s="71">
        <v>0</v>
      </c>
      <c r="O179" s="71">
        <v>699</v>
      </c>
      <c r="P179" s="71">
        <v>1463.40999999998</v>
      </c>
    </row>
    <row r="180" spans="1:16">
      <c r="A180" s="71" t="s">
        <v>189</v>
      </c>
      <c r="B180" s="71" t="s">
        <v>82</v>
      </c>
      <c r="C180" s="71" t="s">
        <v>83</v>
      </c>
      <c r="D180" s="71" t="s">
        <v>4</v>
      </c>
      <c r="E180" s="71" t="s">
        <v>162</v>
      </c>
      <c r="F180" s="71" t="s">
        <v>159</v>
      </c>
      <c r="G180" s="71">
        <v>36</v>
      </c>
      <c r="H180" s="71">
        <v>97</v>
      </c>
      <c r="I180" s="71">
        <v>95</v>
      </c>
      <c r="J180" s="71">
        <v>94</v>
      </c>
      <c r="K180" s="71">
        <v>2.63888888888889</v>
      </c>
      <c r="L180" s="71">
        <v>2.61111111111111</v>
      </c>
      <c r="M180" s="71">
        <v>12481.95</v>
      </c>
      <c r="N180" s="71">
        <v>12</v>
      </c>
      <c r="O180" s="71">
        <v>228</v>
      </c>
      <c r="P180" s="71">
        <v>402.069999999999</v>
      </c>
    </row>
    <row r="181" spans="1:16">
      <c r="A181" s="71" t="s">
        <v>189</v>
      </c>
      <c r="B181" s="71" t="s">
        <v>82</v>
      </c>
      <c r="C181" s="71" t="s">
        <v>83</v>
      </c>
      <c r="D181" s="71" t="s">
        <v>7</v>
      </c>
      <c r="E181" s="71" t="s">
        <v>163</v>
      </c>
      <c r="F181" s="71" t="s">
        <v>159</v>
      </c>
      <c r="G181" s="71">
        <v>55</v>
      </c>
      <c r="H181" s="71">
        <v>266</v>
      </c>
      <c r="I181" s="71">
        <v>264</v>
      </c>
      <c r="J181" s="71">
        <v>259</v>
      </c>
      <c r="K181" s="71">
        <v>4.8</v>
      </c>
      <c r="L181" s="71">
        <v>4.70909090909091</v>
      </c>
      <c r="M181" s="71">
        <v>31943.6</v>
      </c>
      <c r="N181" s="71">
        <v>22</v>
      </c>
      <c r="O181" s="71">
        <v>598</v>
      </c>
      <c r="P181" s="71">
        <v>1543.98000000003</v>
      </c>
    </row>
    <row r="182" spans="1:16">
      <c r="A182" s="71" t="s">
        <v>189</v>
      </c>
      <c r="B182" s="71" t="s">
        <v>82</v>
      </c>
      <c r="C182" s="71" t="s">
        <v>83</v>
      </c>
      <c r="D182" s="71" t="s">
        <v>8</v>
      </c>
      <c r="E182" s="71" t="s">
        <v>164</v>
      </c>
      <c r="F182" s="71" t="s">
        <v>159</v>
      </c>
      <c r="G182" s="71">
        <v>56</v>
      </c>
      <c r="H182" s="71">
        <v>109</v>
      </c>
      <c r="I182" s="71">
        <v>107</v>
      </c>
      <c r="J182" s="71">
        <v>107</v>
      </c>
      <c r="K182" s="71">
        <v>1.91071428571429</v>
      </c>
      <c r="L182" s="71">
        <v>1.91071428571429</v>
      </c>
      <c r="M182" s="71">
        <v>14275.6</v>
      </c>
      <c r="N182" s="71">
        <v>0</v>
      </c>
      <c r="O182" s="71">
        <v>308</v>
      </c>
      <c r="P182" s="71">
        <v>1136.59</v>
      </c>
    </row>
    <row r="183" spans="1:16">
      <c r="A183" s="71" t="s">
        <v>189</v>
      </c>
      <c r="B183" s="71" t="s">
        <v>82</v>
      </c>
      <c r="C183" s="71" t="s">
        <v>83</v>
      </c>
      <c r="D183" s="71" t="s">
        <v>6</v>
      </c>
      <c r="E183" s="71" t="s">
        <v>165</v>
      </c>
      <c r="F183" s="71" t="s">
        <v>159</v>
      </c>
      <c r="G183" s="71">
        <v>70</v>
      </c>
      <c r="H183" s="71">
        <v>243</v>
      </c>
      <c r="I183" s="71">
        <v>240</v>
      </c>
      <c r="J183" s="71">
        <v>238</v>
      </c>
      <c r="K183" s="71">
        <v>3.42857142857143</v>
      </c>
      <c r="L183" s="71">
        <v>3.4</v>
      </c>
      <c r="M183" s="71">
        <v>28299.37</v>
      </c>
      <c r="N183" s="71">
        <v>2</v>
      </c>
      <c r="O183" s="71">
        <v>645</v>
      </c>
      <c r="P183" s="71">
        <v>1736.95000000001</v>
      </c>
    </row>
    <row r="184" spans="1:16">
      <c r="A184" s="71" t="s">
        <v>188</v>
      </c>
      <c r="B184" s="71" t="s">
        <v>82</v>
      </c>
      <c r="C184" s="71" t="s">
        <v>83</v>
      </c>
      <c r="D184" s="71" t="s">
        <v>3</v>
      </c>
      <c r="E184" s="71" t="s">
        <v>158</v>
      </c>
      <c r="F184" s="71" t="s">
        <v>159</v>
      </c>
      <c r="G184" s="71">
        <v>53</v>
      </c>
      <c r="H184" s="71">
        <v>191</v>
      </c>
      <c r="I184" s="71">
        <v>187</v>
      </c>
      <c r="J184" s="71">
        <v>180</v>
      </c>
      <c r="K184" s="71">
        <v>3.52830188679245</v>
      </c>
      <c r="L184" s="71">
        <v>3.39622641509434</v>
      </c>
      <c r="M184" s="71">
        <v>25406.7</v>
      </c>
      <c r="N184" s="71">
        <v>1</v>
      </c>
      <c r="O184" s="71">
        <v>514</v>
      </c>
      <c r="P184" s="71">
        <v>1628.44</v>
      </c>
    </row>
    <row r="185" spans="1:16">
      <c r="A185" s="71" t="s">
        <v>188</v>
      </c>
      <c r="B185" s="71" t="s">
        <v>82</v>
      </c>
      <c r="C185" s="71" t="s">
        <v>83</v>
      </c>
      <c r="D185" s="71" t="s">
        <v>9</v>
      </c>
      <c r="E185" s="71" t="s">
        <v>160</v>
      </c>
      <c r="F185" s="71" t="s">
        <v>159</v>
      </c>
      <c r="G185" s="71">
        <v>57</v>
      </c>
      <c r="H185" s="71">
        <v>156</v>
      </c>
      <c r="I185" s="71">
        <v>156</v>
      </c>
      <c r="J185" s="71">
        <v>153</v>
      </c>
      <c r="K185" s="71">
        <v>2.73684210526316</v>
      </c>
      <c r="L185" s="71">
        <v>2.68421052631579</v>
      </c>
      <c r="M185" s="71">
        <v>24014.23</v>
      </c>
      <c r="N185" s="71">
        <v>0</v>
      </c>
      <c r="O185" s="71">
        <v>428</v>
      </c>
      <c r="P185" s="71">
        <v>1820.11</v>
      </c>
    </row>
    <row r="186" spans="1:16">
      <c r="A186" s="71" t="s">
        <v>188</v>
      </c>
      <c r="B186" s="71" t="s">
        <v>82</v>
      </c>
      <c r="C186" s="71" t="s">
        <v>83</v>
      </c>
      <c r="D186" s="71" t="s">
        <v>5</v>
      </c>
      <c r="E186" s="71" t="s">
        <v>161</v>
      </c>
      <c r="F186" s="71" t="s">
        <v>159</v>
      </c>
      <c r="G186" s="71">
        <v>48</v>
      </c>
      <c r="H186" s="71">
        <v>230</v>
      </c>
      <c r="I186" s="71">
        <v>229</v>
      </c>
      <c r="J186" s="71">
        <v>227</v>
      </c>
      <c r="K186" s="71">
        <v>4.77083333333333</v>
      </c>
      <c r="L186" s="71">
        <v>4.72916666666667</v>
      </c>
      <c r="M186" s="71">
        <v>25334.13</v>
      </c>
      <c r="N186" s="71">
        <v>4</v>
      </c>
      <c r="O186" s="71">
        <v>629</v>
      </c>
      <c r="P186" s="71">
        <v>1403.79</v>
      </c>
    </row>
    <row r="187" spans="1:16">
      <c r="A187" s="71" t="s">
        <v>188</v>
      </c>
      <c r="B187" s="71" t="s">
        <v>82</v>
      </c>
      <c r="C187" s="71" t="s">
        <v>83</v>
      </c>
      <c r="D187" s="71" t="s">
        <v>4</v>
      </c>
      <c r="E187" s="71" t="s">
        <v>162</v>
      </c>
      <c r="F187" s="71" t="s">
        <v>159</v>
      </c>
      <c r="G187" s="71">
        <v>36</v>
      </c>
      <c r="H187" s="71">
        <v>88</v>
      </c>
      <c r="I187" s="71">
        <v>86</v>
      </c>
      <c r="J187" s="71">
        <v>80</v>
      </c>
      <c r="K187" s="71">
        <v>2.38888888888889</v>
      </c>
      <c r="L187" s="71">
        <v>2.22222222222222</v>
      </c>
      <c r="M187" s="71">
        <v>11380.45</v>
      </c>
      <c r="N187" s="71">
        <v>12</v>
      </c>
      <c r="O187" s="71">
        <v>203</v>
      </c>
      <c r="P187" s="71">
        <v>629.769999999998</v>
      </c>
    </row>
    <row r="188" spans="1:16">
      <c r="A188" s="71" t="s">
        <v>188</v>
      </c>
      <c r="B188" s="71" t="s">
        <v>82</v>
      </c>
      <c r="C188" s="71" t="s">
        <v>83</v>
      </c>
      <c r="D188" s="71" t="s">
        <v>7</v>
      </c>
      <c r="E188" s="71" t="s">
        <v>163</v>
      </c>
      <c r="F188" s="71" t="s">
        <v>159</v>
      </c>
      <c r="G188" s="71">
        <v>55</v>
      </c>
      <c r="H188" s="71">
        <v>228</v>
      </c>
      <c r="I188" s="71">
        <v>228</v>
      </c>
      <c r="J188" s="71">
        <v>222</v>
      </c>
      <c r="K188" s="71">
        <v>4.14545454545455</v>
      </c>
      <c r="L188" s="71">
        <v>4.03636363636364</v>
      </c>
      <c r="M188" s="71">
        <v>31766.94</v>
      </c>
      <c r="N188" s="71">
        <v>0</v>
      </c>
      <c r="O188" s="71">
        <v>594</v>
      </c>
      <c r="P188" s="71">
        <v>2036.82</v>
      </c>
    </row>
    <row r="189" spans="1:16">
      <c r="A189" s="71" t="s">
        <v>188</v>
      </c>
      <c r="B189" s="71" t="s">
        <v>82</v>
      </c>
      <c r="C189" s="71" t="s">
        <v>83</v>
      </c>
      <c r="D189" s="71" t="s">
        <v>8</v>
      </c>
      <c r="E189" s="71" t="s">
        <v>164</v>
      </c>
      <c r="F189" s="71" t="s">
        <v>159</v>
      </c>
      <c r="G189" s="71">
        <v>37</v>
      </c>
      <c r="H189" s="71">
        <v>107</v>
      </c>
      <c r="I189" s="71">
        <v>105</v>
      </c>
      <c r="J189" s="71">
        <v>104</v>
      </c>
      <c r="K189" s="71">
        <v>2.83783783783784</v>
      </c>
      <c r="L189" s="71">
        <v>2.81081081081081</v>
      </c>
      <c r="M189" s="71">
        <v>13795.25</v>
      </c>
      <c r="N189" s="71">
        <v>1</v>
      </c>
      <c r="O189" s="71">
        <v>283</v>
      </c>
      <c r="P189" s="71">
        <v>1068.39</v>
      </c>
    </row>
    <row r="190" spans="1:16">
      <c r="A190" s="71" t="s">
        <v>188</v>
      </c>
      <c r="B190" s="71" t="s">
        <v>82</v>
      </c>
      <c r="C190" s="71" t="s">
        <v>83</v>
      </c>
      <c r="D190" s="71" t="s">
        <v>6</v>
      </c>
      <c r="E190" s="71" t="s">
        <v>165</v>
      </c>
      <c r="F190" s="71" t="s">
        <v>159</v>
      </c>
      <c r="G190" s="71">
        <v>70</v>
      </c>
      <c r="H190" s="71">
        <v>258</v>
      </c>
      <c r="I190" s="71">
        <v>250</v>
      </c>
      <c r="J190" s="71">
        <v>250</v>
      </c>
      <c r="K190" s="71">
        <v>3.57142857142857</v>
      </c>
      <c r="L190" s="71">
        <v>3.57142857142857</v>
      </c>
      <c r="M190" s="71">
        <v>27146.12</v>
      </c>
      <c r="N190" s="71">
        <v>3</v>
      </c>
      <c r="O190" s="71">
        <v>652</v>
      </c>
      <c r="P190" s="71">
        <v>2076.6</v>
      </c>
    </row>
    <row r="191" spans="1:16">
      <c r="A191" s="71" t="s">
        <v>187</v>
      </c>
      <c r="B191" s="71" t="s">
        <v>82</v>
      </c>
      <c r="C191" s="71" t="s">
        <v>83</v>
      </c>
      <c r="D191" s="71" t="s">
        <v>3</v>
      </c>
      <c r="E191" s="71" t="s">
        <v>158</v>
      </c>
      <c r="F191" s="71" t="s">
        <v>159</v>
      </c>
      <c r="G191" s="71">
        <v>53</v>
      </c>
      <c r="H191" s="71">
        <v>204</v>
      </c>
      <c r="I191" s="71">
        <v>201</v>
      </c>
      <c r="J191" s="71">
        <v>199</v>
      </c>
      <c r="K191" s="71">
        <v>3.79245283018868</v>
      </c>
      <c r="L191" s="71">
        <v>3.75471698113208</v>
      </c>
      <c r="M191" s="71">
        <v>27535.6</v>
      </c>
      <c r="N191" s="71">
        <v>5</v>
      </c>
      <c r="O191" s="71">
        <v>585</v>
      </c>
      <c r="P191" s="71">
        <v>1109.98000000001</v>
      </c>
    </row>
    <row r="192" spans="1:16">
      <c r="A192" s="71" t="s">
        <v>187</v>
      </c>
      <c r="B192" s="71" t="s">
        <v>82</v>
      </c>
      <c r="C192" s="71" t="s">
        <v>83</v>
      </c>
      <c r="D192" s="71" t="s">
        <v>9</v>
      </c>
      <c r="E192" s="71" t="s">
        <v>160</v>
      </c>
      <c r="F192" s="71" t="s">
        <v>159</v>
      </c>
      <c r="G192" s="71">
        <v>57</v>
      </c>
      <c r="H192" s="71">
        <v>160</v>
      </c>
      <c r="I192" s="71">
        <v>157</v>
      </c>
      <c r="J192" s="71">
        <v>155</v>
      </c>
      <c r="K192" s="71">
        <v>2.75438596491228</v>
      </c>
      <c r="L192" s="71">
        <v>2.71929824561403</v>
      </c>
      <c r="M192" s="71">
        <v>23839.93</v>
      </c>
      <c r="N192" s="71">
        <v>0</v>
      </c>
      <c r="O192" s="71">
        <v>393</v>
      </c>
      <c r="P192" s="71">
        <v>1808.53</v>
      </c>
    </row>
    <row r="193" spans="1:16">
      <c r="A193" s="71" t="s">
        <v>187</v>
      </c>
      <c r="B193" s="71" t="s">
        <v>82</v>
      </c>
      <c r="C193" s="71" t="s">
        <v>83</v>
      </c>
      <c r="D193" s="71" t="s">
        <v>5</v>
      </c>
      <c r="E193" s="71" t="s">
        <v>161</v>
      </c>
      <c r="F193" s="71" t="s">
        <v>159</v>
      </c>
      <c r="G193" s="71">
        <v>48</v>
      </c>
      <c r="H193" s="71">
        <v>248</v>
      </c>
      <c r="I193" s="71">
        <v>244</v>
      </c>
      <c r="J193" s="71">
        <v>244</v>
      </c>
      <c r="K193" s="71">
        <v>5.08333333333333</v>
      </c>
      <c r="L193" s="71">
        <v>5.08333333333333</v>
      </c>
      <c r="M193" s="71">
        <v>28390.31</v>
      </c>
      <c r="N193" s="71">
        <v>2</v>
      </c>
      <c r="O193" s="71">
        <v>720</v>
      </c>
      <c r="P193" s="71">
        <v>1407.65999999999</v>
      </c>
    </row>
    <row r="194" spans="1:16">
      <c r="A194" s="71" t="s">
        <v>187</v>
      </c>
      <c r="B194" s="71" t="s">
        <v>82</v>
      </c>
      <c r="C194" s="71" t="s">
        <v>83</v>
      </c>
      <c r="D194" s="71" t="s">
        <v>4</v>
      </c>
      <c r="E194" s="71" t="s">
        <v>162</v>
      </c>
      <c r="F194" s="71" t="s">
        <v>159</v>
      </c>
      <c r="G194" s="71">
        <v>36</v>
      </c>
      <c r="H194" s="71">
        <v>112</v>
      </c>
      <c r="I194" s="71">
        <v>108</v>
      </c>
      <c r="J194" s="71">
        <v>107</v>
      </c>
      <c r="K194" s="71">
        <v>3</v>
      </c>
      <c r="L194" s="71">
        <v>2.97222222222222</v>
      </c>
      <c r="M194" s="71">
        <v>14192.4</v>
      </c>
      <c r="N194" s="71">
        <v>16</v>
      </c>
      <c r="O194" s="71">
        <v>249</v>
      </c>
      <c r="P194" s="71">
        <v>736.619999999995</v>
      </c>
    </row>
    <row r="195" spans="1:16">
      <c r="A195" s="71" t="s">
        <v>187</v>
      </c>
      <c r="B195" s="71" t="s">
        <v>82</v>
      </c>
      <c r="C195" s="71" t="s">
        <v>83</v>
      </c>
      <c r="D195" s="71" t="s">
        <v>7</v>
      </c>
      <c r="E195" s="71" t="s">
        <v>163</v>
      </c>
      <c r="F195" s="71" t="s">
        <v>159</v>
      </c>
      <c r="G195" s="71">
        <v>55</v>
      </c>
      <c r="H195" s="71">
        <v>219</v>
      </c>
      <c r="I195" s="71">
        <v>217</v>
      </c>
      <c r="J195" s="71">
        <v>211</v>
      </c>
      <c r="K195" s="71">
        <v>3.94545454545455</v>
      </c>
      <c r="L195" s="71">
        <v>3.83636363636364</v>
      </c>
      <c r="M195" s="71">
        <v>27688.31</v>
      </c>
      <c r="N195" s="71">
        <v>13</v>
      </c>
      <c r="O195" s="71">
        <v>518</v>
      </c>
      <c r="P195" s="71">
        <v>1606.72</v>
      </c>
    </row>
    <row r="196" spans="1:16">
      <c r="A196" s="71" t="s">
        <v>187</v>
      </c>
      <c r="B196" s="71" t="s">
        <v>82</v>
      </c>
      <c r="C196" s="71" t="s">
        <v>83</v>
      </c>
      <c r="D196" s="71" t="s">
        <v>8</v>
      </c>
      <c r="E196" s="71" t="s">
        <v>164</v>
      </c>
      <c r="F196" s="71" t="s">
        <v>159</v>
      </c>
      <c r="G196" s="71">
        <v>37</v>
      </c>
      <c r="H196" s="71">
        <v>120</v>
      </c>
      <c r="I196" s="71">
        <v>112</v>
      </c>
      <c r="J196" s="71">
        <v>115</v>
      </c>
      <c r="K196" s="71">
        <v>3.02702702702703</v>
      </c>
      <c r="L196" s="71">
        <v>3.10810810810811</v>
      </c>
      <c r="M196" s="71">
        <v>17030.6</v>
      </c>
      <c r="N196" s="71">
        <v>0</v>
      </c>
      <c r="O196" s="71">
        <v>364</v>
      </c>
      <c r="P196" s="71">
        <v>1041.14</v>
      </c>
    </row>
    <row r="197" spans="1:16">
      <c r="A197" s="71" t="s">
        <v>187</v>
      </c>
      <c r="B197" s="71" t="s">
        <v>82</v>
      </c>
      <c r="C197" s="71" t="s">
        <v>83</v>
      </c>
      <c r="D197" s="71" t="s">
        <v>6</v>
      </c>
      <c r="E197" s="71" t="s">
        <v>165</v>
      </c>
      <c r="F197" s="71" t="s">
        <v>159</v>
      </c>
      <c r="G197" s="71">
        <v>70</v>
      </c>
      <c r="H197" s="71">
        <v>210</v>
      </c>
      <c r="I197" s="71">
        <v>210</v>
      </c>
      <c r="J197" s="71">
        <v>207</v>
      </c>
      <c r="K197" s="71">
        <v>3</v>
      </c>
      <c r="L197" s="71">
        <v>2.95714285714286</v>
      </c>
      <c r="M197" s="71">
        <v>24517.38</v>
      </c>
      <c r="N197" s="71">
        <v>4</v>
      </c>
      <c r="O197" s="71">
        <v>547</v>
      </c>
      <c r="P197" s="71">
        <v>1120.51000000001</v>
      </c>
    </row>
    <row r="198" spans="1:16">
      <c r="A198" s="71" t="s">
        <v>186</v>
      </c>
      <c r="B198" s="71" t="s">
        <v>82</v>
      </c>
      <c r="C198" s="71" t="s">
        <v>83</v>
      </c>
      <c r="D198" s="71" t="s">
        <v>3</v>
      </c>
      <c r="E198" s="71" t="s">
        <v>158</v>
      </c>
      <c r="F198" s="71" t="s">
        <v>148</v>
      </c>
      <c r="G198" s="71">
        <v>53</v>
      </c>
      <c r="H198" s="71">
        <v>286</v>
      </c>
      <c r="I198" s="71">
        <v>280</v>
      </c>
      <c r="J198" s="71">
        <v>279</v>
      </c>
      <c r="K198" s="71">
        <v>5.28301886792453</v>
      </c>
      <c r="L198" s="71">
        <v>5.26415094339623</v>
      </c>
      <c r="M198" s="71">
        <v>47106.75</v>
      </c>
      <c r="N198" s="71">
        <v>6</v>
      </c>
      <c r="O198" s="71">
        <v>860</v>
      </c>
      <c r="P198" s="71">
        <v>2304.15999999999</v>
      </c>
    </row>
    <row r="199" spans="1:16">
      <c r="A199" s="71" t="s">
        <v>186</v>
      </c>
      <c r="B199" s="71" t="s">
        <v>82</v>
      </c>
      <c r="C199" s="71" t="s">
        <v>83</v>
      </c>
      <c r="D199" s="71" t="s">
        <v>9</v>
      </c>
      <c r="E199" s="71" t="s">
        <v>160</v>
      </c>
      <c r="F199" s="71" t="s">
        <v>148</v>
      </c>
      <c r="G199" s="71">
        <v>57</v>
      </c>
      <c r="H199" s="71">
        <v>242</v>
      </c>
      <c r="I199" s="71">
        <v>239</v>
      </c>
      <c r="J199" s="71">
        <v>240</v>
      </c>
      <c r="K199" s="71">
        <v>4.19298245614035</v>
      </c>
      <c r="L199" s="71">
        <v>4.21052631578947</v>
      </c>
      <c r="M199" s="71">
        <v>42293.05</v>
      </c>
      <c r="N199" s="71">
        <v>0</v>
      </c>
      <c r="O199" s="71">
        <v>748</v>
      </c>
      <c r="P199" s="71">
        <v>1152.85</v>
      </c>
    </row>
    <row r="200" spans="1:16">
      <c r="A200" s="71" t="s">
        <v>186</v>
      </c>
      <c r="B200" s="71" t="s">
        <v>82</v>
      </c>
      <c r="C200" s="71" t="s">
        <v>83</v>
      </c>
      <c r="D200" s="71" t="s">
        <v>5</v>
      </c>
      <c r="E200" s="71" t="s">
        <v>161</v>
      </c>
      <c r="F200" s="71" t="s">
        <v>148</v>
      </c>
      <c r="G200" s="71">
        <v>48</v>
      </c>
      <c r="H200" s="71">
        <v>307</v>
      </c>
      <c r="I200" s="71">
        <v>304</v>
      </c>
      <c r="J200" s="71">
        <v>305</v>
      </c>
      <c r="K200" s="71">
        <v>6.33333333333333</v>
      </c>
      <c r="L200" s="71">
        <v>6.35416666666667</v>
      </c>
      <c r="M200" s="71">
        <v>46521.45</v>
      </c>
      <c r="N200" s="71">
        <v>9</v>
      </c>
      <c r="O200" s="71">
        <v>955</v>
      </c>
      <c r="P200" s="71">
        <v>2107.63999999997</v>
      </c>
    </row>
    <row r="201" spans="1:16">
      <c r="A201" s="71" t="s">
        <v>186</v>
      </c>
      <c r="B201" s="71" t="s">
        <v>82</v>
      </c>
      <c r="C201" s="71" t="s">
        <v>83</v>
      </c>
      <c r="D201" s="71" t="s">
        <v>4</v>
      </c>
      <c r="E201" s="71" t="s">
        <v>162</v>
      </c>
      <c r="F201" s="71" t="s">
        <v>148</v>
      </c>
      <c r="G201" s="71">
        <v>36</v>
      </c>
      <c r="H201" s="71">
        <v>163</v>
      </c>
      <c r="I201" s="71">
        <v>159</v>
      </c>
      <c r="J201" s="71">
        <v>157</v>
      </c>
      <c r="K201" s="71">
        <v>4.41666666666667</v>
      </c>
      <c r="L201" s="71">
        <v>4.36111111111111</v>
      </c>
      <c r="M201" s="71">
        <v>25565.15</v>
      </c>
      <c r="N201" s="71">
        <v>18</v>
      </c>
      <c r="O201" s="71">
        <v>417</v>
      </c>
      <c r="P201" s="71">
        <v>1453.92000000001</v>
      </c>
    </row>
    <row r="202" spans="1:16">
      <c r="A202" s="71" t="s">
        <v>186</v>
      </c>
      <c r="B202" s="71" t="s">
        <v>82</v>
      </c>
      <c r="C202" s="71" t="s">
        <v>83</v>
      </c>
      <c r="D202" s="71" t="s">
        <v>7</v>
      </c>
      <c r="E202" s="71" t="s">
        <v>163</v>
      </c>
      <c r="F202" s="71" t="s">
        <v>148</v>
      </c>
      <c r="G202" s="71">
        <v>55</v>
      </c>
      <c r="H202" s="71">
        <v>293</v>
      </c>
      <c r="I202" s="71">
        <v>289</v>
      </c>
      <c r="J202" s="71">
        <v>282</v>
      </c>
      <c r="K202" s="71">
        <v>5.25454545454545</v>
      </c>
      <c r="L202" s="71">
        <v>5.12727272727273</v>
      </c>
      <c r="M202" s="71">
        <v>36903.2</v>
      </c>
      <c r="N202" s="71">
        <v>14</v>
      </c>
      <c r="O202" s="71">
        <v>666</v>
      </c>
      <c r="P202" s="71">
        <v>1594.67999999999</v>
      </c>
    </row>
    <row r="203" spans="1:16">
      <c r="A203" s="71" t="s">
        <v>186</v>
      </c>
      <c r="B203" s="71" t="s">
        <v>82</v>
      </c>
      <c r="C203" s="71" t="s">
        <v>83</v>
      </c>
      <c r="D203" s="71" t="s">
        <v>8</v>
      </c>
      <c r="E203" s="71" t="s">
        <v>164</v>
      </c>
      <c r="F203" s="71" t="s">
        <v>148</v>
      </c>
      <c r="G203" s="71">
        <v>37</v>
      </c>
      <c r="H203" s="71">
        <v>170</v>
      </c>
      <c r="I203" s="71">
        <v>168</v>
      </c>
      <c r="J203" s="71">
        <v>167</v>
      </c>
      <c r="K203" s="71">
        <v>4.54054054054054</v>
      </c>
      <c r="L203" s="71">
        <v>4.51351351351351</v>
      </c>
      <c r="M203" s="71">
        <v>24357.9</v>
      </c>
      <c r="N203" s="71">
        <v>1</v>
      </c>
      <c r="O203" s="71">
        <v>513</v>
      </c>
      <c r="P203" s="71">
        <v>1496.06</v>
      </c>
    </row>
    <row r="204" spans="1:16">
      <c r="A204" s="71" t="s">
        <v>186</v>
      </c>
      <c r="B204" s="71" t="s">
        <v>82</v>
      </c>
      <c r="C204" s="71" t="s">
        <v>83</v>
      </c>
      <c r="D204" s="71" t="s">
        <v>6</v>
      </c>
      <c r="E204" s="71" t="s">
        <v>165</v>
      </c>
      <c r="F204" s="71" t="s">
        <v>148</v>
      </c>
      <c r="G204" s="71">
        <v>70</v>
      </c>
      <c r="H204" s="71">
        <v>345</v>
      </c>
      <c r="I204" s="71">
        <v>338</v>
      </c>
      <c r="J204" s="71">
        <v>338</v>
      </c>
      <c r="K204" s="71">
        <v>4.82857142857143</v>
      </c>
      <c r="L204" s="71">
        <v>4.82857142857143</v>
      </c>
      <c r="M204" s="71">
        <v>50368.04</v>
      </c>
      <c r="N204" s="71">
        <v>11</v>
      </c>
      <c r="O204" s="71">
        <v>943</v>
      </c>
      <c r="P204" s="71">
        <v>2189.03000000002</v>
      </c>
    </row>
    <row r="205" spans="1:16">
      <c r="A205" s="71" t="s">
        <v>185</v>
      </c>
      <c r="B205" s="71" t="s">
        <v>82</v>
      </c>
      <c r="C205" s="71" t="s">
        <v>83</v>
      </c>
      <c r="D205" s="71" t="s">
        <v>3</v>
      </c>
      <c r="E205" s="71" t="s">
        <v>158</v>
      </c>
      <c r="F205" s="71" t="s">
        <v>148</v>
      </c>
      <c r="G205" s="71">
        <v>53</v>
      </c>
      <c r="H205" s="71">
        <v>316</v>
      </c>
      <c r="I205" s="71">
        <v>311</v>
      </c>
      <c r="J205" s="71">
        <v>303</v>
      </c>
      <c r="K205" s="71">
        <v>5.86792452830189</v>
      </c>
      <c r="L205" s="71">
        <v>5.71698113207547</v>
      </c>
      <c r="M205" s="71">
        <v>50041.3</v>
      </c>
      <c r="N205" s="71">
        <v>6</v>
      </c>
      <c r="O205" s="71">
        <v>902</v>
      </c>
      <c r="P205" s="71">
        <v>2651.49000000002</v>
      </c>
    </row>
    <row r="206" spans="1:16">
      <c r="A206" s="71" t="s">
        <v>185</v>
      </c>
      <c r="B206" s="71" t="s">
        <v>82</v>
      </c>
      <c r="C206" s="71" t="s">
        <v>83</v>
      </c>
      <c r="D206" s="71" t="s">
        <v>9</v>
      </c>
      <c r="E206" s="71" t="s">
        <v>160</v>
      </c>
      <c r="F206" s="71" t="s">
        <v>148</v>
      </c>
      <c r="G206" s="71">
        <v>57</v>
      </c>
      <c r="H206" s="71">
        <v>244</v>
      </c>
      <c r="I206" s="71">
        <v>243</v>
      </c>
      <c r="J206" s="71">
        <v>242</v>
      </c>
      <c r="K206" s="71">
        <v>4.26315789473684</v>
      </c>
      <c r="L206" s="71">
        <v>4.24561403508772</v>
      </c>
      <c r="M206" s="71">
        <v>43588.68</v>
      </c>
      <c r="N206" s="71">
        <v>0</v>
      </c>
      <c r="O206" s="71">
        <v>731</v>
      </c>
      <c r="P206" s="71">
        <v>1221.71000000001</v>
      </c>
    </row>
    <row r="207" spans="1:16">
      <c r="A207" s="71" t="s">
        <v>185</v>
      </c>
      <c r="B207" s="71" t="s">
        <v>82</v>
      </c>
      <c r="C207" s="71" t="s">
        <v>83</v>
      </c>
      <c r="D207" s="71" t="s">
        <v>5</v>
      </c>
      <c r="E207" s="71" t="s">
        <v>161</v>
      </c>
      <c r="F207" s="71" t="s">
        <v>148</v>
      </c>
      <c r="G207" s="71">
        <v>48</v>
      </c>
      <c r="H207" s="71">
        <v>318</v>
      </c>
      <c r="I207" s="71">
        <v>314</v>
      </c>
      <c r="J207" s="71">
        <v>311</v>
      </c>
      <c r="K207" s="71">
        <v>6.54166666666667</v>
      </c>
      <c r="L207" s="71">
        <v>6.47916666666667</v>
      </c>
      <c r="M207" s="71">
        <v>51319.64</v>
      </c>
      <c r="N207" s="71">
        <v>4</v>
      </c>
      <c r="O207" s="71">
        <v>1051</v>
      </c>
      <c r="P207" s="71">
        <v>2360.52</v>
      </c>
    </row>
    <row r="208" spans="1:16">
      <c r="A208" s="71" t="s">
        <v>185</v>
      </c>
      <c r="B208" s="71" t="s">
        <v>82</v>
      </c>
      <c r="C208" s="71" t="s">
        <v>83</v>
      </c>
      <c r="D208" s="71" t="s">
        <v>4</v>
      </c>
      <c r="E208" s="71" t="s">
        <v>162</v>
      </c>
      <c r="F208" s="71" t="s">
        <v>148</v>
      </c>
      <c r="G208" s="71">
        <v>36</v>
      </c>
      <c r="H208" s="71">
        <v>172</v>
      </c>
      <c r="I208" s="71">
        <v>172</v>
      </c>
      <c r="J208" s="71">
        <v>171</v>
      </c>
      <c r="K208" s="71">
        <v>4.77777777777778</v>
      </c>
      <c r="L208" s="71">
        <v>4.75</v>
      </c>
      <c r="M208" s="71">
        <v>25872</v>
      </c>
      <c r="N208" s="71">
        <v>12</v>
      </c>
      <c r="O208" s="71">
        <v>455</v>
      </c>
      <c r="P208" s="71">
        <v>1276.87</v>
      </c>
    </row>
    <row r="209" spans="1:16">
      <c r="A209" s="71" t="s">
        <v>185</v>
      </c>
      <c r="B209" s="71" t="s">
        <v>82</v>
      </c>
      <c r="C209" s="71" t="s">
        <v>83</v>
      </c>
      <c r="D209" s="71" t="s">
        <v>7</v>
      </c>
      <c r="E209" s="71" t="s">
        <v>163</v>
      </c>
      <c r="F209" s="71" t="s">
        <v>148</v>
      </c>
      <c r="G209" s="71">
        <v>55</v>
      </c>
      <c r="H209" s="71">
        <v>329</v>
      </c>
      <c r="I209" s="71">
        <v>327</v>
      </c>
      <c r="J209" s="71">
        <v>325</v>
      </c>
      <c r="K209" s="71">
        <v>5.94545454545455</v>
      </c>
      <c r="L209" s="71">
        <v>5.90909090909091</v>
      </c>
      <c r="M209" s="71">
        <v>48799.96</v>
      </c>
      <c r="N209" s="71">
        <v>10</v>
      </c>
      <c r="O209" s="71">
        <v>821</v>
      </c>
      <c r="P209" s="71">
        <v>1546.98999999999</v>
      </c>
    </row>
    <row r="210" spans="1:16">
      <c r="A210" s="71" t="s">
        <v>185</v>
      </c>
      <c r="B210" s="71" t="s">
        <v>82</v>
      </c>
      <c r="C210" s="71" t="s">
        <v>83</v>
      </c>
      <c r="D210" s="71" t="s">
        <v>8</v>
      </c>
      <c r="E210" s="71" t="s">
        <v>164</v>
      </c>
      <c r="F210" s="71" t="s">
        <v>148</v>
      </c>
      <c r="G210" s="71">
        <v>37</v>
      </c>
      <c r="H210" s="71">
        <v>189</v>
      </c>
      <c r="I210" s="71">
        <v>187</v>
      </c>
      <c r="J210" s="71">
        <v>186</v>
      </c>
      <c r="K210" s="71">
        <v>5.05405405405405</v>
      </c>
      <c r="L210" s="71">
        <v>5.02702702702703</v>
      </c>
      <c r="M210" s="71">
        <v>29668.1</v>
      </c>
      <c r="N210" s="71">
        <v>0</v>
      </c>
      <c r="O210" s="71">
        <v>573</v>
      </c>
      <c r="P210" s="71">
        <v>1561.60999999999</v>
      </c>
    </row>
    <row r="211" spans="1:16">
      <c r="A211" s="71" t="s">
        <v>185</v>
      </c>
      <c r="B211" s="71" t="s">
        <v>82</v>
      </c>
      <c r="C211" s="71" t="s">
        <v>83</v>
      </c>
      <c r="D211" s="71" t="s">
        <v>6</v>
      </c>
      <c r="E211" s="71" t="s">
        <v>165</v>
      </c>
      <c r="F211" s="71" t="s">
        <v>148</v>
      </c>
      <c r="G211" s="71">
        <v>70</v>
      </c>
      <c r="H211" s="71">
        <v>381</v>
      </c>
      <c r="I211" s="71">
        <v>374</v>
      </c>
      <c r="J211" s="71">
        <v>377</v>
      </c>
      <c r="K211" s="71">
        <v>5.34285714285714</v>
      </c>
      <c r="L211" s="71">
        <v>5.38571428571429</v>
      </c>
      <c r="M211" s="71">
        <v>59782</v>
      </c>
      <c r="N211" s="71">
        <v>9</v>
      </c>
      <c r="O211" s="71">
        <v>1097</v>
      </c>
      <c r="P211" s="71">
        <v>2838.53000000002</v>
      </c>
    </row>
  </sheetData>
  <autoFilter xmlns:etc="http://www.wps.cn/officeDocument/2017/etCustomData" ref="A1:N211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T16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R34" sqref="R34"/>
    </sheetView>
  </sheetViews>
  <sheetFormatPr defaultColWidth="9" defaultRowHeight="16.8"/>
  <cols>
    <col min="1" max="1" width="9.4140625" customWidth="1"/>
    <col min="2" max="3" width="7.25" customWidth="1"/>
    <col min="4" max="5" width="11" customWidth="1"/>
    <col min="6" max="6" width="11.5859375" customWidth="1"/>
    <col min="7" max="7" width="9.1640625" customWidth="1"/>
    <col min="8" max="8" width="13" customWidth="1"/>
    <col min="9" max="9" width="9.1640625" customWidth="1"/>
    <col min="10" max="10" width="16.25" customWidth="1"/>
    <col min="11" max="11" width="14.25" customWidth="1"/>
    <col min="12" max="12" width="16.25" customWidth="1"/>
    <col min="13" max="13" width="22" customWidth="1"/>
    <col min="14" max="14" width="11" customWidth="1"/>
    <col min="15" max="15" width="18.4140625" customWidth="1"/>
    <col min="17" max="17" width="10.4140625" customWidth="1"/>
    <col min="18" max="18" width="19.9140625" customWidth="1"/>
    <col min="19" max="19" width="16.75" customWidth="1"/>
    <col min="20" max="20" width="14.3359375" customWidth="1"/>
  </cols>
  <sheetData>
    <row r="1" s="56" customFormat="1" spans="1:19">
      <c r="A1" s="62" t="s">
        <v>128</v>
      </c>
      <c r="B1" s="62" t="s">
        <v>226</v>
      </c>
      <c r="C1" s="62" t="s">
        <v>61</v>
      </c>
      <c r="D1" s="62" t="s">
        <v>146</v>
      </c>
      <c r="E1" s="62" t="s">
        <v>108</v>
      </c>
      <c r="F1" s="62" t="s">
        <v>195</v>
      </c>
      <c r="G1" s="64" t="s">
        <v>148</v>
      </c>
      <c r="H1" s="65" t="s">
        <v>227</v>
      </c>
      <c r="I1" s="65" t="s">
        <v>150</v>
      </c>
      <c r="J1" s="65" t="s">
        <v>151</v>
      </c>
      <c r="K1" s="65" t="s">
        <v>152</v>
      </c>
      <c r="L1" s="65" t="s">
        <v>198</v>
      </c>
      <c r="M1" s="65" t="s">
        <v>154</v>
      </c>
      <c r="N1" s="65" t="s">
        <v>155</v>
      </c>
      <c r="O1" s="65" t="s">
        <v>199</v>
      </c>
      <c r="Q1" t="s">
        <v>128</v>
      </c>
      <c r="R1" t="s">
        <v>129</v>
      </c>
      <c r="S1"/>
    </row>
    <row r="2" spans="1:15">
      <c r="A2" t="s">
        <v>228</v>
      </c>
      <c r="B2" t="s">
        <v>229</v>
      </c>
      <c r="C2" s="63" t="s">
        <v>82</v>
      </c>
      <c r="D2" s="63" t="s">
        <v>83</v>
      </c>
      <c r="E2" s="63" t="s">
        <v>3</v>
      </c>
      <c r="F2" s="63" t="s">
        <v>158</v>
      </c>
      <c r="G2" s="66" t="s">
        <v>159</v>
      </c>
      <c r="H2" s="67">
        <v>53</v>
      </c>
      <c r="I2" s="67">
        <v>197</v>
      </c>
      <c r="J2" s="68">
        <v>183.3</v>
      </c>
      <c r="K2" s="68">
        <v>3.45849056603774</v>
      </c>
      <c r="L2" s="69">
        <v>26102.77</v>
      </c>
      <c r="M2" s="68">
        <v>1.7</v>
      </c>
      <c r="N2" s="67">
        <v>542</v>
      </c>
      <c r="O2" s="68">
        <v>1682.31999999999</v>
      </c>
    </row>
    <row r="3" spans="1:20">
      <c r="A3" t="s">
        <v>228</v>
      </c>
      <c r="B3" t="s">
        <v>229</v>
      </c>
      <c r="C3" s="63" t="s">
        <v>82</v>
      </c>
      <c r="D3" s="63" t="s">
        <v>83</v>
      </c>
      <c r="E3" s="63" t="s">
        <v>9</v>
      </c>
      <c r="F3" s="63" t="s">
        <v>160</v>
      </c>
      <c r="G3" s="66" t="s">
        <v>159</v>
      </c>
      <c r="H3" s="67">
        <v>57</v>
      </c>
      <c r="I3" s="67">
        <v>172</v>
      </c>
      <c r="J3" s="68">
        <v>163.7</v>
      </c>
      <c r="K3" s="68">
        <v>2.8719298245614</v>
      </c>
      <c r="L3" s="69">
        <v>24034.67</v>
      </c>
      <c r="M3" s="68">
        <v>0</v>
      </c>
      <c r="N3" s="67">
        <v>514</v>
      </c>
      <c r="O3" s="68">
        <v>1504.10999999999</v>
      </c>
      <c r="Q3" t="s">
        <v>137</v>
      </c>
      <c r="R3" t="s">
        <v>138</v>
      </c>
      <c r="S3" t="s">
        <v>230</v>
      </c>
      <c r="T3" s="70" t="s">
        <v>231</v>
      </c>
    </row>
    <row r="4" spans="1:20">
      <c r="A4" t="s">
        <v>228</v>
      </c>
      <c r="B4" t="s">
        <v>229</v>
      </c>
      <c r="C4" s="63" t="s">
        <v>82</v>
      </c>
      <c r="D4" s="63" t="s">
        <v>83</v>
      </c>
      <c r="E4" s="63" t="s">
        <v>5</v>
      </c>
      <c r="F4" s="63" t="s">
        <v>161</v>
      </c>
      <c r="G4" s="66" t="s">
        <v>159</v>
      </c>
      <c r="H4" s="67">
        <v>48</v>
      </c>
      <c r="I4" s="67">
        <v>208</v>
      </c>
      <c r="J4" s="68">
        <v>193.4</v>
      </c>
      <c r="K4" s="68">
        <v>4.02916666666667</v>
      </c>
      <c r="L4" s="69">
        <v>22841.66</v>
      </c>
      <c r="M4" s="68">
        <v>0.7</v>
      </c>
      <c r="N4" s="67">
        <v>589</v>
      </c>
      <c r="O4" s="68">
        <v>1862.01</v>
      </c>
      <c r="Q4" s="56" t="s">
        <v>3</v>
      </c>
      <c r="R4">
        <v>4310.5</v>
      </c>
      <c r="S4">
        <v>1113</v>
      </c>
      <c r="T4" s="60">
        <f>R4/S4</f>
        <v>3.87286612758311</v>
      </c>
    </row>
    <row r="5" spans="1:20">
      <c r="A5" t="s">
        <v>228</v>
      </c>
      <c r="B5" t="s">
        <v>229</v>
      </c>
      <c r="C5" s="63" t="s">
        <v>82</v>
      </c>
      <c r="D5" s="63" t="s">
        <v>83</v>
      </c>
      <c r="E5" s="63" t="s">
        <v>4</v>
      </c>
      <c r="F5" s="63" t="s">
        <v>162</v>
      </c>
      <c r="G5" s="66" t="s">
        <v>159</v>
      </c>
      <c r="H5" s="67">
        <v>36</v>
      </c>
      <c r="I5" s="67">
        <v>91</v>
      </c>
      <c r="J5" s="68">
        <v>87.6</v>
      </c>
      <c r="K5" s="68">
        <v>2.43333333333333</v>
      </c>
      <c r="L5" s="69">
        <v>11109.3</v>
      </c>
      <c r="M5" s="68">
        <v>17</v>
      </c>
      <c r="N5" s="67">
        <v>213</v>
      </c>
      <c r="O5" s="68">
        <v>912.970000000004</v>
      </c>
      <c r="Q5" s="56" t="s">
        <v>4</v>
      </c>
      <c r="R5">
        <v>2439.3</v>
      </c>
      <c r="S5">
        <v>756</v>
      </c>
      <c r="T5" s="60">
        <f t="shared" ref="T5:T11" si="0">R5/S5</f>
        <v>3.2265873015873</v>
      </c>
    </row>
    <row r="6" spans="1:20">
      <c r="A6" t="s">
        <v>228</v>
      </c>
      <c r="B6" t="s">
        <v>229</v>
      </c>
      <c r="C6" s="63" t="s">
        <v>82</v>
      </c>
      <c r="D6" s="63" t="s">
        <v>83</v>
      </c>
      <c r="E6" s="63" t="s">
        <v>7</v>
      </c>
      <c r="F6" s="63" t="s">
        <v>163</v>
      </c>
      <c r="G6" s="66" t="s">
        <v>159</v>
      </c>
      <c r="H6" s="67">
        <v>55</v>
      </c>
      <c r="I6" s="67">
        <v>221</v>
      </c>
      <c r="J6" s="68">
        <v>215.3</v>
      </c>
      <c r="K6" s="68">
        <v>3.91454545454545</v>
      </c>
      <c r="L6" s="69">
        <v>30031.64</v>
      </c>
      <c r="M6" s="68">
        <v>2</v>
      </c>
      <c r="N6" s="67">
        <v>571</v>
      </c>
      <c r="O6" s="68">
        <v>1044.08000000002</v>
      </c>
      <c r="Q6" s="56" t="s">
        <v>5</v>
      </c>
      <c r="R6">
        <v>4825</v>
      </c>
      <c r="S6">
        <v>1008</v>
      </c>
      <c r="T6" s="60">
        <f t="shared" si="0"/>
        <v>4.78670634920635</v>
      </c>
    </row>
    <row r="7" spans="1:20">
      <c r="A7" t="s">
        <v>228</v>
      </c>
      <c r="B7" t="s">
        <v>229</v>
      </c>
      <c r="C7" s="63" t="s">
        <v>82</v>
      </c>
      <c r="D7" s="63" t="s">
        <v>83</v>
      </c>
      <c r="E7" s="63" t="s">
        <v>8</v>
      </c>
      <c r="F7" s="63" t="s">
        <v>164</v>
      </c>
      <c r="G7" s="66" t="s">
        <v>159</v>
      </c>
      <c r="H7" s="67">
        <v>56</v>
      </c>
      <c r="I7" s="67">
        <v>130</v>
      </c>
      <c r="J7" s="68">
        <v>120.7</v>
      </c>
      <c r="K7" s="68">
        <v>2.15535714285714</v>
      </c>
      <c r="L7" s="69">
        <v>15243.3</v>
      </c>
      <c r="M7" s="68">
        <v>0</v>
      </c>
      <c r="N7" s="67">
        <v>319</v>
      </c>
      <c r="O7" s="68">
        <v>1073.22</v>
      </c>
      <c r="Q7" s="56" t="s">
        <v>6</v>
      </c>
      <c r="R7">
        <v>5033.5</v>
      </c>
      <c r="S7">
        <v>1470</v>
      </c>
      <c r="T7" s="60">
        <f t="shared" si="0"/>
        <v>3.42414965986395</v>
      </c>
    </row>
    <row r="8" spans="1:20">
      <c r="A8" t="s">
        <v>228</v>
      </c>
      <c r="B8" t="s">
        <v>229</v>
      </c>
      <c r="C8" s="63" t="s">
        <v>82</v>
      </c>
      <c r="D8" s="63" t="s">
        <v>83</v>
      </c>
      <c r="E8" s="63" t="s">
        <v>6</v>
      </c>
      <c r="F8" s="63" t="s">
        <v>165</v>
      </c>
      <c r="G8" s="66" t="s">
        <v>159</v>
      </c>
      <c r="H8" s="67">
        <v>70</v>
      </c>
      <c r="I8" s="67">
        <v>181</v>
      </c>
      <c r="J8" s="68">
        <v>174.9</v>
      </c>
      <c r="K8" s="68">
        <v>2.49857142857143</v>
      </c>
      <c r="L8" s="69">
        <v>24267.67</v>
      </c>
      <c r="M8" s="68">
        <v>0</v>
      </c>
      <c r="N8" s="67">
        <v>499</v>
      </c>
      <c r="O8" s="68">
        <v>1183.39</v>
      </c>
      <c r="Q8" s="56" t="s">
        <v>7</v>
      </c>
      <c r="R8">
        <v>5315.4</v>
      </c>
      <c r="S8">
        <v>1155</v>
      </c>
      <c r="T8" s="60">
        <f t="shared" si="0"/>
        <v>4.60207792207792</v>
      </c>
    </row>
    <row r="9" spans="1:20">
      <c r="A9" t="s">
        <v>232</v>
      </c>
      <c r="B9" t="s">
        <v>229</v>
      </c>
      <c r="C9" s="63" t="s">
        <v>82</v>
      </c>
      <c r="D9" s="63" t="s">
        <v>83</v>
      </c>
      <c r="E9" s="63" t="s">
        <v>3</v>
      </c>
      <c r="F9" s="63" t="s">
        <v>158</v>
      </c>
      <c r="G9" s="66" t="s">
        <v>159</v>
      </c>
      <c r="H9" s="67">
        <v>53</v>
      </c>
      <c r="I9" s="67">
        <v>171</v>
      </c>
      <c r="J9" s="68">
        <v>163.4</v>
      </c>
      <c r="K9" s="68">
        <v>3.08301886792453</v>
      </c>
      <c r="L9" s="69">
        <v>22560.54</v>
      </c>
      <c r="M9" s="68">
        <v>2.4</v>
      </c>
      <c r="N9" s="67">
        <v>473</v>
      </c>
      <c r="O9" s="68">
        <v>1927.01</v>
      </c>
      <c r="Q9" s="56" t="s">
        <v>8</v>
      </c>
      <c r="R9">
        <v>3765.9</v>
      </c>
      <c r="S9">
        <v>1176</v>
      </c>
      <c r="T9" s="60">
        <f t="shared" si="0"/>
        <v>3.20229591836735</v>
      </c>
    </row>
    <row r="10" spans="1:20">
      <c r="A10" t="s">
        <v>232</v>
      </c>
      <c r="B10" t="s">
        <v>229</v>
      </c>
      <c r="C10" s="63" t="s">
        <v>82</v>
      </c>
      <c r="D10" s="63" t="s">
        <v>83</v>
      </c>
      <c r="E10" s="63" t="s">
        <v>9</v>
      </c>
      <c r="F10" s="63" t="s">
        <v>160</v>
      </c>
      <c r="G10" s="66" t="s">
        <v>159</v>
      </c>
      <c r="H10" s="67">
        <v>57</v>
      </c>
      <c r="I10" s="67">
        <v>181</v>
      </c>
      <c r="J10" s="68">
        <v>173.2</v>
      </c>
      <c r="K10" s="68">
        <v>3.03859649122807</v>
      </c>
      <c r="L10" s="69">
        <v>24019.98</v>
      </c>
      <c r="M10" s="68">
        <v>1</v>
      </c>
      <c r="N10" s="67">
        <v>526</v>
      </c>
      <c r="O10" s="68">
        <v>1800.28</v>
      </c>
      <c r="Q10" s="56" t="s">
        <v>9</v>
      </c>
      <c r="R10">
        <v>4195.4</v>
      </c>
      <c r="S10">
        <v>1197</v>
      </c>
      <c r="T10" s="60">
        <f t="shared" si="0"/>
        <v>3.50492898913952</v>
      </c>
    </row>
    <row r="11" spans="1:20">
      <c r="A11" t="s">
        <v>232</v>
      </c>
      <c r="B11" t="s">
        <v>229</v>
      </c>
      <c r="C11" s="63" t="s">
        <v>82</v>
      </c>
      <c r="D11" s="63" t="s">
        <v>83</v>
      </c>
      <c r="E11" s="63" t="s">
        <v>5</v>
      </c>
      <c r="F11" s="63" t="s">
        <v>161</v>
      </c>
      <c r="G11" s="66" t="s">
        <v>159</v>
      </c>
      <c r="H11" s="67">
        <v>48</v>
      </c>
      <c r="I11" s="67">
        <v>202</v>
      </c>
      <c r="J11" s="68">
        <v>193.6</v>
      </c>
      <c r="K11" s="68">
        <v>4.03333333333333</v>
      </c>
      <c r="L11" s="69">
        <v>23315.01</v>
      </c>
      <c r="M11" s="68">
        <v>3.1</v>
      </c>
      <c r="N11" s="67">
        <v>590</v>
      </c>
      <c r="O11" s="68">
        <v>1722.79999999999</v>
      </c>
      <c r="Q11" s="56" t="s">
        <v>143</v>
      </c>
      <c r="R11">
        <v>29885</v>
      </c>
      <c r="S11">
        <v>7875</v>
      </c>
      <c r="T11" s="59">
        <f t="shared" si="0"/>
        <v>3.79492063492063</v>
      </c>
    </row>
    <row r="12" spans="1:15">
      <c r="A12" t="s">
        <v>232</v>
      </c>
      <c r="B12" t="s">
        <v>229</v>
      </c>
      <c r="C12" s="63" t="s">
        <v>82</v>
      </c>
      <c r="D12" s="63" t="s">
        <v>83</v>
      </c>
      <c r="E12" s="63" t="s">
        <v>4</v>
      </c>
      <c r="F12" s="63" t="s">
        <v>162</v>
      </c>
      <c r="G12" s="66" t="s">
        <v>159</v>
      </c>
      <c r="H12" s="67">
        <v>36</v>
      </c>
      <c r="I12" s="67">
        <v>129</v>
      </c>
      <c r="J12" s="68">
        <v>124.2</v>
      </c>
      <c r="K12" s="68">
        <v>3.45</v>
      </c>
      <c r="L12" s="69">
        <v>22899.56</v>
      </c>
      <c r="M12" s="68">
        <v>18</v>
      </c>
      <c r="N12" s="67">
        <v>320</v>
      </c>
      <c r="O12" s="68">
        <v>1229.36</v>
      </c>
    </row>
    <row r="13" spans="1:15">
      <c r="A13" t="s">
        <v>232</v>
      </c>
      <c r="B13" t="s">
        <v>229</v>
      </c>
      <c r="C13" s="63" t="s">
        <v>82</v>
      </c>
      <c r="D13" s="63" t="s">
        <v>83</v>
      </c>
      <c r="E13" s="63" t="s">
        <v>7</v>
      </c>
      <c r="F13" s="63" t="s">
        <v>163</v>
      </c>
      <c r="G13" s="66" t="s">
        <v>159</v>
      </c>
      <c r="H13" s="67">
        <v>55</v>
      </c>
      <c r="I13" s="67">
        <v>226</v>
      </c>
      <c r="J13" s="68">
        <v>221.9</v>
      </c>
      <c r="K13" s="68">
        <v>4.03454545454545</v>
      </c>
      <c r="L13" s="69">
        <v>31176.25</v>
      </c>
      <c r="M13" s="68">
        <v>0</v>
      </c>
      <c r="N13" s="67">
        <v>590</v>
      </c>
      <c r="O13" s="68">
        <v>713.709999999996</v>
      </c>
    </row>
    <row r="14" spans="1:15">
      <c r="A14" t="s">
        <v>232</v>
      </c>
      <c r="B14" t="s">
        <v>229</v>
      </c>
      <c r="C14" s="63" t="s">
        <v>82</v>
      </c>
      <c r="D14" s="63" t="s">
        <v>83</v>
      </c>
      <c r="E14" s="63" t="s">
        <v>8</v>
      </c>
      <c r="F14" s="63" t="s">
        <v>164</v>
      </c>
      <c r="G14" s="66" t="s">
        <v>159</v>
      </c>
      <c r="H14" s="67">
        <v>56</v>
      </c>
      <c r="I14" s="67">
        <v>169</v>
      </c>
      <c r="J14" s="68">
        <v>161.8</v>
      </c>
      <c r="K14" s="68">
        <v>2.88928571428571</v>
      </c>
      <c r="L14" s="69">
        <v>20822.97</v>
      </c>
      <c r="M14" s="68">
        <v>0</v>
      </c>
      <c r="N14" s="67">
        <v>433</v>
      </c>
      <c r="O14" s="68">
        <v>1031.62</v>
      </c>
    </row>
    <row r="15" spans="1:15">
      <c r="A15" t="s">
        <v>232</v>
      </c>
      <c r="B15" t="s">
        <v>229</v>
      </c>
      <c r="C15" s="63" t="s">
        <v>82</v>
      </c>
      <c r="D15" s="63" t="s">
        <v>83</v>
      </c>
      <c r="E15" s="63" t="s">
        <v>6</v>
      </c>
      <c r="F15" s="63" t="s">
        <v>165</v>
      </c>
      <c r="G15" s="66" t="s">
        <v>159</v>
      </c>
      <c r="H15" s="67">
        <v>70</v>
      </c>
      <c r="I15" s="67">
        <v>215</v>
      </c>
      <c r="J15" s="68">
        <v>206.3</v>
      </c>
      <c r="K15" s="68">
        <v>2.94714285714286</v>
      </c>
      <c r="L15" s="69">
        <v>26370.11</v>
      </c>
      <c r="M15" s="68">
        <v>0</v>
      </c>
      <c r="N15" s="67">
        <v>570</v>
      </c>
      <c r="O15" s="68">
        <v>1273.99</v>
      </c>
    </row>
    <row r="16" spans="1:15">
      <c r="A16" t="s">
        <v>233</v>
      </c>
      <c r="B16" t="s">
        <v>229</v>
      </c>
      <c r="C16" s="63" t="s">
        <v>82</v>
      </c>
      <c r="D16" s="63" t="s">
        <v>83</v>
      </c>
      <c r="E16" s="63" t="s">
        <v>3</v>
      </c>
      <c r="F16" s="63" t="s">
        <v>158</v>
      </c>
      <c r="G16" s="66" t="s">
        <v>148</v>
      </c>
      <c r="H16" s="67">
        <v>53</v>
      </c>
      <c r="I16" s="67">
        <v>226</v>
      </c>
      <c r="J16" s="68">
        <v>219</v>
      </c>
      <c r="K16" s="68">
        <v>4.13207547169811</v>
      </c>
      <c r="L16" s="69">
        <v>31041.86</v>
      </c>
      <c r="M16" s="68">
        <v>1.7</v>
      </c>
      <c r="N16" s="67">
        <v>638</v>
      </c>
      <c r="O16" s="68">
        <v>2200.79000000001</v>
      </c>
    </row>
    <row r="17" spans="1:15">
      <c r="A17" t="s">
        <v>233</v>
      </c>
      <c r="B17" t="s">
        <v>229</v>
      </c>
      <c r="C17" s="63" t="s">
        <v>82</v>
      </c>
      <c r="D17" s="63" t="s">
        <v>83</v>
      </c>
      <c r="E17" s="63" t="s">
        <v>9</v>
      </c>
      <c r="F17" s="63" t="s">
        <v>160</v>
      </c>
      <c r="G17" s="66" t="s">
        <v>148</v>
      </c>
      <c r="H17" s="67">
        <v>57</v>
      </c>
      <c r="I17" s="67">
        <v>282</v>
      </c>
      <c r="J17" s="68">
        <v>271.5</v>
      </c>
      <c r="K17" s="68">
        <v>4.76315789473684</v>
      </c>
      <c r="L17" s="69">
        <v>37461.54</v>
      </c>
      <c r="M17" s="68">
        <v>0</v>
      </c>
      <c r="N17" s="67">
        <v>841</v>
      </c>
      <c r="O17" s="68">
        <v>3196.22</v>
      </c>
    </row>
    <row r="18" spans="1:15">
      <c r="A18" t="s">
        <v>233</v>
      </c>
      <c r="B18" t="s">
        <v>229</v>
      </c>
      <c r="C18" s="63" t="s">
        <v>82</v>
      </c>
      <c r="D18" s="63" t="s">
        <v>83</v>
      </c>
      <c r="E18" s="63" t="s">
        <v>5</v>
      </c>
      <c r="F18" s="63" t="s">
        <v>161</v>
      </c>
      <c r="G18" s="66" t="s">
        <v>148</v>
      </c>
      <c r="H18" s="67">
        <v>48</v>
      </c>
      <c r="I18" s="67">
        <v>307</v>
      </c>
      <c r="J18" s="68">
        <v>298.1</v>
      </c>
      <c r="K18" s="68">
        <v>6.21041666666667</v>
      </c>
      <c r="L18" s="69">
        <v>35751.12</v>
      </c>
      <c r="M18" s="68">
        <v>5.5</v>
      </c>
      <c r="N18" s="67">
        <v>939</v>
      </c>
      <c r="O18" s="68">
        <v>2171.74000000004</v>
      </c>
    </row>
    <row r="19" spans="1:15">
      <c r="A19" t="s">
        <v>233</v>
      </c>
      <c r="B19" t="s">
        <v>229</v>
      </c>
      <c r="C19" s="63" t="s">
        <v>82</v>
      </c>
      <c r="D19" s="63" t="s">
        <v>83</v>
      </c>
      <c r="E19" s="63" t="s">
        <v>4</v>
      </c>
      <c r="F19" s="63" t="s">
        <v>162</v>
      </c>
      <c r="G19" s="66" t="s">
        <v>148</v>
      </c>
      <c r="H19" s="67">
        <v>36</v>
      </c>
      <c r="I19" s="67">
        <v>151</v>
      </c>
      <c r="J19" s="68">
        <v>144</v>
      </c>
      <c r="K19" s="68">
        <v>4</v>
      </c>
      <c r="L19" s="69">
        <v>21739.68</v>
      </c>
      <c r="M19" s="68">
        <v>2</v>
      </c>
      <c r="N19" s="67">
        <v>461</v>
      </c>
      <c r="O19" s="68">
        <v>1531.7</v>
      </c>
    </row>
    <row r="20" spans="1:15">
      <c r="A20" t="s">
        <v>233</v>
      </c>
      <c r="B20" t="s">
        <v>229</v>
      </c>
      <c r="C20" s="63" t="s">
        <v>82</v>
      </c>
      <c r="D20" s="63" t="s">
        <v>83</v>
      </c>
      <c r="E20" s="63" t="s">
        <v>7</v>
      </c>
      <c r="F20" s="63" t="s">
        <v>163</v>
      </c>
      <c r="G20" s="66" t="s">
        <v>148</v>
      </c>
      <c r="H20" s="67">
        <v>55</v>
      </c>
      <c r="I20" s="67">
        <v>304</v>
      </c>
      <c r="J20" s="68">
        <v>298.8</v>
      </c>
      <c r="K20" s="68">
        <v>5.43272727272727</v>
      </c>
      <c r="L20" s="69">
        <v>40825.44</v>
      </c>
      <c r="M20" s="68">
        <v>3</v>
      </c>
      <c r="N20" s="67">
        <v>841</v>
      </c>
      <c r="O20" s="68">
        <v>1522.00999999996</v>
      </c>
    </row>
    <row r="21" spans="1:15">
      <c r="A21" t="s">
        <v>233</v>
      </c>
      <c r="B21" t="s">
        <v>229</v>
      </c>
      <c r="C21" s="63" t="s">
        <v>82</v>
      </c>
      <c r="D21" s="63" t="s">
        <v>83</v>
      </c>
      <c r="E21" s="63" t="s">
        <v>8</v>
      </c>
      <c r="F21" s="63" t="s">
        <v>164</v>
      </c>
      <c r="G21" s="66" t="s">
        <v>148</v>
      </c>
      <c r="H21" s="67">
        <v>56</v>
      </c>
      <c r="I21" s="67">
        <v>238</v>
      </c>
      <c r="J21" s="68">
        <v>229.7</v>
      </c>
      <c r="K21" s="68">
        <v>4.10178571428571</v>
      </c>
      <c r="L21" s="69">
        <v>30234.85</v>
      </c>
      <c r="M21" s="68">
        <v>0</v>
      </c>
      <c r="N21" s="67">
        <v>708</v>
      </c>
      <c r="O21" s="68">
        <v>1985.43999999999</v>
      </c>
    </row>
    <row r="22" spans="1:15">
      <c r="A22" t="s">
        <v>233</v>
      </c>
      <c r="B22" t="s">
        <v>229</v>
      </c>
      <c r="C22" s="63" t="s">
        <v>82</v>
      </c>
      <c r="D22" s="63" t="s">
        <v>83</v>
      </c>
      <c r="E22" s="63" t="s">
        <v>6</v>
      </c>
      <c r="F22" s="63" t="s">
        <v>165</v>
      </c>
      <c r="G22" s="66" t="s">
        <v>148</v>
      </c>
      <c r="H22" s="67">
        <v>70</v>
      </c>
      <c r="I22" s="67">
        <v>333</v>
      </c>
      <c r="J22" s="68">
        <v>320.2</v>
      </c>
      <c r="K22" s="68">
        <v>4.57428571428571</v>
      </c>
      <c r="L22" s="69">
        <v>42877.7</v>
      </c>
      <c r="M22" s="68">
        <v>3</v>
      </c>
      <c r="N22" s="67">
        <v>950</v>
      </c>
      <c r="O22" s="68">
        <v>2543.52</v>
      </c>
    </row>
    <row r="23" spans="1:15">
      <c r="A23" t="s">
        <v>234</v>
      </c>
      <c r="B23" t="s">
        <v>229</v>
      </c>
      <c r="C23" s="63" t="s">
        <v>82</v>
      </c>
      <c r="D23" s="63" t="s">
        <v>83</v>
      </c>
      <c r="E23" s="63" t="s">
        <v>3</v>
      </c>
      <c r="F23" s="63" t="s">
        <v>158</v>
      </c>
      <c r="G23" s="66" t="s">
        <v>148</v>
      </c>
      <c r="H23" s="67">
        <v>53</v>
      </c>
      <c r="I23" s="67">
        <v>264</v>
      </c>
      <c r="J23" s="68">
        <v>255.1</v>
      </c>
      <c r="K23" s="68">
        <v>4.81320754716981</v>
      </c>
      <c r="L23" s="69">
        <v>40932.14</v>
      </c>
      <c r="M23" s="68">
        <v>3</v>
      </c>
      <c r="N23" s="67">
        <v>831</v>
      </c>
      <c r="O23" s="68">
        <v>2865.78</v>
      </c>
    </row>
    <row r="24" spans="1:15">
      <c r="A24" t="s">
        <v>234</v>
      </c>
      <c r="B24" t="s">
        <v>229</v>
      </c>
      <c r="C24" s="63" t="s">
        <v>82</v>
      </c>
      <c r="D24" s="63" t="s">
        <v>83</v>
      </c>
      <c r="E24" s="63" t="s">
        <v>9</v>
      </c>
      <c r="F24" s="63" t="s">
        <v>160</v>
      </c>
      <c r="G24" s="66" t="s">
        <v>148</v>
      </c>
      <c r="H24" s="67">
        <v>57</v>
      </c>
      <c r="I24" s="67">
        <v>256</v>
      </c>
      <c r="J24" s="68">
        <v>251.3</v>
      </c>
      <c r="K24" s="68">
        <v>4.40877192982456</v>
      </c>
      <c r="L24" s="69">
        <v>39595.4</v>
      </c>
      <c r="M24" s="68">
        <v>0</v>
      </c>
      <c r="N24" s="67">
        <v>834</v>
      </c>
      <c r="O24" s="68">
        <v>2603.00999999999</v>
      </c>
    </row>
    <row r="25" spans="1:15">
      <c r="A25" t="s">
        <v>234</v>
      </c>
      <c r="B25" t="s">
        <v>229</v>
      </c>
      <c r="C25" s="63" t="s">
        <v>82</v>
      </c>
      <c r="D25" s="63" t="s">
        <v>83</v>
      </c>
      <c r="E25" s="63" t="s">
        <v>5</v>
      </c>
      <c r="F25" s="63" t="s">
        <v>161</v>
      </c>
      <c r="G25" s="66" t="s">
        <v>148</v>
      </c>
      <c r="H25" s="67">
        <v>48</v>
      </c>
      <c r="I25" s="67">
        <v>263</v>
      </c>
      <c r="J25" s="68">
        <v>256</v>
      </c>
      <c r="K25" s="68">
        <v>5.33333333333333</v>
      </c>
      <c r="L25" s="69">
        <v>37875.67</v>
      </c>
      <c r="M25" s="68">
        <v>3.4</v>
      </c>
      <c r="N25" s="67">
        <v>920</v>
      </c>
      <c r="O25" s="68">
        <v>2569.42999999998</v>
      </c>
    </row>
    <row r="26" spans="1:15">
      <c r="A26" t="s">
        <v>234</v>
      </c>
      <c r="B26" t="s">
        <v>229</v>
      </c>
      <c r="C26" s="63" t="s">
        <v>82</v>
      </c>
      <c r="D26" s="63" t="s">
        <v>83</v>
      </c>
      <c r="E26" s="63" t="s">
        <v>4</v>
      </c>
      <c r="F26" s="63" t="s">
        <v>162</v>
      </c>
      <c r="G26" s="66" t="s">
        <v>148</v>
      </c>
      <c r="H26" s="67">
        <v>36</v>
      </c>
      <c r="I26" s="67">
        <v>153</v>
      </c>
      <c r="J26" s="68">
        <v>147</v>
      </c>
      <c r="K26" s="68">
        <v>4.08333333333333</v>
      </c>
      <c r="L26" s="69">
        <v>23467.97</v>
      </c>
      <c r="M26" s="68">
        <v>12.5</v>
      </c>
      <c r="N26" s="67">
        <v>467</v>
      </c>
      <c r="O26" s="68">
        <v>1717.27000000001</v>
      </c>
    </row>
    <row r="27" spans="1:15">
      <c r="A27" t="s">
        <v>234</v>
      </c>
      <c r="B27" t="s">
        <v>229</v>
      </c>
      <c r="C27" s="63" t="s">
        <v>82</v>
      </c>
      <c r="D27" s="63" t="s">
        <v>83</v>
      </c>
      <c r="E27" s="63" t="s">
        <v>7</v>
      </c>
      <c r="F27" s="63" t="s">
        <v>163</v>
      </c>
      <c r="G27" s="66" t="s">
        <v>148</v>
      </c>
      <c r="H27" s="67">
        <v>55</v>
      </c>
      <c r="I27" s="67">
        <v>330</v>
      </c>
      <c r="J27" s="68">
        <v>323.5</v>
      </c>
      <c r="K27" s="68">
        <v>5.88181818181818</v>
      </c>
      <c r="L27" s="69">
        <v>45395.38</v>
      </c>
      <c r="M27" s="68">
        <v>2</v>
      </c>
      <c r="N27" s="67">
        <v>921</v>
      </c>
      <c r="O27" s="68">
        <v>1921.75000000001</v>
      </c>
    </row>
    <row r="28" spans="1:15">
      <c r="A28" t="s">
        <v>234</v>
      </c>
      <c r="B28" t="s">
        <v>229</v>
      </c>
      <c r="C28" s="63" t="s">
        <v>82</v>
      </c>
      <c r="D28" s="63" t="s">
        <v>83</v>
      </c>
      <c r="E28" s="63" t="s">
        <v>8</v>
      </c>
      <c r="F28" s="63" t="s">
        <v>164</v>
      </c>
      <c r="G28" s="66" t="s">
        <v>148</v>
      </c>
      <c r="H28" s="67">
        <v>56</v>
      </c>
      <c r="I28" s="67">
        <v>311</v>
      </c>
      <c r="J28" s="68">
        <v>303.8</v>
      </c>
      <c r="K28" s="68">
        <v>5.425</v>
      </c>
      <c r="L28" s="69">
        <v>41311.76</v>
      </c>
      <c r="M28" s="68">
        <v>1</v>
      </c>
      <c r="N28" s="67">
        <v>963</v>
      </c>
      <c r="O28" s="68">
        <v>2775.33</v>
      </c>
    </row>
    <row r="29" spans="1:15">
      <c r="A29" t="s">
        <v>234</v>
      </c>
      <c r="B29" t="s">
        <v>229</v>
      </c>
      <c r="C29" s="63" t="s">
        <v>82</v>
      </c>
      <c r="D29" s="63" t="s">
        <v>83</v>
      </c>
      <c r="E29" s="63" t="s">
        <v>6</v>
      </c>
      <c r="F29" s="63" t="s">
        <v>165</v>
      </c>
      <c r="G29" s="66" t="s">
        <v>148</v>
      </c>
      <c r="H29" s="67">
        <v>70</v>
      </c>
      <c r="I29" s="67">
        <v>334</v>
      </c>
      <c r="J29" s="68">
        <v>326</v>
      </c>
      <c r="K29" s="68">
        <v>4.65714285714286</v>
      </c>
      <c r="L29" s="69">
        <v>54109.36</v>
      </c>
      <c r="M29" s="68">
        <v>3.7</v>
      </c>
      <c r="N29" s="67">
        <v>1099</v>
      </c>
      <c r="O29" s="68">
        <v>2562.67999999999</v>
      </c>
    </row>
    <row r="30" spans="1:15">
      <c r="A30" t="s">
        <v>235</v>
      </c>
      <c r="B30" t="s">
        <v>229</v>
      </c>
      <c r="C30" s="63" t="s">
        <v>82</v>
      </c>
      <c r="D30" s="63" t="s">
        <v>83</v>
      </c>
      <c r="E30" s="63" t="s">
        <v>3</v>
      </c>
      <c r="F30" s="63" t="s">
        <v>158</v>
      </c>
      <c r="G30" s="66" t="s">
        <v>148</v>
      </c>
      <c r="H30" s="67">
        <v>53</v>
      </c>
      <c r="I30" s="67">
        <v>255</v>
      </c>
      <c r="J30" s="68">
        <v>241.8</v>
      </c>
      <c r="K30" s="68">
        <v>4.5622641509434</v>
      </c>
      <c r="L30" s="69">
        <v>39922.31</v>
      </c>
      <c r="M30" s="68">
        <v>5.7</v>
      </c>
      <c r="N30" s="67">
        <v>818</v>
      </c>
      <c r="O30" s="68">
        <v>2833.35999999999</v>
      </c>
    </row>
    <row r="31" spans="1:15">
      <c r="A31" t="s">
        <v>235</v>
      </c>
      <c r="B31" t="s">
        <v>229</v>
      </c>
      <c r="C31" s="63" t="s">
        <v>82</v>
      </c>
      <c r="D31" s="63" t="s">
        <v>83</v>
      </c>
      <c r="E31" s="63" t="s">
        <v>9</v>
      </c>
      <c r="F31" s="63" t="s">
        <v>160</v>
      </c>
      <c r="G31" s="66" t="s">
        <v>148</v>
      </c>
      <c r="H31" s="67">
        <v>57</v>
      </c>
      <c r="I31" s="67">
        <v>218</v>
      </c>
      <c r="J31" s="68">
        <v>209.1</v>
      </c>
      <c r="K31" s="68">
        <v>3.66842105263158</v>
      </c>
      <c r="L31" s="69">
        <v>34126.12</v>
      </c>
      <c r="M31" s="68">
        <v>2</v>
      </c>
      <c r="N31" s="67">
        <v>735</v>
      </c>
      <c r="O31" s="68">
        <v>2354.58</v>
      </c>
    </row>
    <row r="32" spans="1:15">
      <c r="A32" t="s">
        <v>235</v>
      </c>
      <c r="B32" t="s">
        <v>229</v>
      </c>
      <c r="C32" s="63" t="s">
        <v>82</v>
      </c>
      <c r="D32" s="63" t="s">
        <v>83</v>
      </c>
      <c r="E32" s="63" t="s">
        <v>5</v>
      </c>
      <c r="F32" s="63" t="s">
        <v>161</v>
      </c>
      <c r="G32" s="66" t="s">
        <v>148</v>
      </c>
      <c r="H32" s="67">
        <v>48</v>
      </c>
      <c r="I32" s="67">
        <v>298</v>
      </c>
      <c r="J32" s="68">
        <v>288.4</v>
      </c>
      <c r="K32" s="68">
        <v>6.00833333333333</v>
      </c>
      <c r="L32" s="69">
        <v>42372.94</v>
      </c>
      <c r="M32" s="68">
        <v>1.7</v>
      </c>
      <c r="N32" s="67">
        <v>1042</v>
      </c>
      <c r="O32" s="68">
        <v>2475.45000000001</v>
      </c>
    </row>
    <row r="33" spans="1:15">
      <c r="A33" t="s">
        <v>235</v>
      </c>
      <c r="B33" t="s">
        <v>229</v>
      </c>
      <c r="C33" s="63" t="s">
        <v>82</v>
      </c>
      <c r="D33" s="63" t="s">
        <v>83</v>
      </c>
      <c r="E33" s="63" t="s">
        <v>4</v>
      </c>
      <c r="F33" s="63" t="s">
        <v>162</v>
      </c>
      <c r="G33" s="66" t="s">
        <v>148</v>
      </c>
      <c r="H33" s="67">
        <v>36</v>
      </c>
      <c r="I33" s="67">
        <v>154</v>
      </c>
      <c r="J33" s="68">
        <v>146.5</v>
      </c>
      <c r="K33" s="68">
        <v>4.06944444444444</v>
      </c>
      <c r="L33" s="69">
        <v>23717.59</v>
      </c>
      <c r="M33" s="68">
        <v>11.7</v>
      </c>
      <c r="N33" s="67">
        <v>487</v>
      </c>
      <c r="O33" s="68">
        <v>1465.48</v>
      </c>
    </row>
    <row r="34" spans="1:15">
      <c r="A34" t="s">
        <v>235</v>
      </c>
      <c r="B34" t="s">
        <v>229</v>
      </c>
      <c r="C34" s="63" t="s">
        <v>82</v>
      </c>
      <c r="D34" s="63" t="s">
        <v>83</v>
      </c>
      <c r="E34" s="63" t="s">
        <v>7</v>
      </c>
      <c r="F34" s="63" t="s">
        <v>163</v>
      </c>
      <c r="G34" s="66" t="s">
        <v>148</v>
      </c>
      <c r="H34" s="67">
        <v>55</v>
      </c>
      <c r="I34" s="67">
        <v>317</v>
      </c>
      <c r="J34" s="68">
        <v>308.7</v>
      </c>
      <c r="K34" s="68">
        <v>5.61272727272727</v>
      </c>
      <c r="L34" s="69">
        <v>45011.05</v>
      </c>
      <c r="M34" s="68">
        <v>0</v>
      </c>
      <c r="N34" s="67">
        <v>893</v>
      </c>
      <c r="O34" s="68">
        <v>2205.73</v>
      </c>
    </row>
    <row r="35" spans="1:15">
      <c r="A35" t="s">
        <v>235</v>
      </c>
      <c r="B35" t="s">
        <v>229</v>
      </c>
      <c r="C35" s="63" t="s">
        <v>82</v>
      </c>
      <c r="D35" s="63" t="s">
        <v>83</v>
      </c>
      <c r="E35" s="63" t="s">
        <v>8</v>
      </c>
      <c r="F35" s="63" t="s">
        <v>164</v>
      </c>
      <c r="G35" s="66" t="s">
        <v>148</v>
      </c>
      <c r="H35" s="67">
        <v>56</v>
      </c>
      <c r="I35" s="67">
        <v>234</v>
      </c>
      <c r="J35" s="68">
        <v>229.4</v>
      </c>
      <c r="K35" s="68">
        <v>4.09642857142857</v>
      </c>
      <c r="L35" s="69">
        <v>31075.2</v>
      </c>
      <c r="M35" s="68">
        <v>0</v>
      </c>
      <c r="N35" s="67">
        <v>741</v>
      </c>
      <c r="O35" s="68">
        <v>1620.94</v>
      </c>
    </row>
    <row r="36" spans="1:15">
      <c r="A36" t="s">
        <v>235</v>
      </c>
      <c r="B36" t="s">
        <v>229</v>
      </c>
      <c r="C36" s="63" t="s">
        <v>82</v>
      </c>
      <c r="D36" s="63" t="s">
        <v>83</v>
      </c>
      <c r="E36" s="63" t="s">
        <v>6</v>
      </c>
      <c r="F36" s="63" t="s">
        <v>165</v>
      </c>
      <c r="G36" s="66" t="s">
        <v>148</v>
      </c>
      <c r="H36" s="67">
        <v>70</v>
      </c>
      <c r="I36" s="67">
        <v>307</v>
      </c>
      <c r="J36" s="68">
        <v>297.3</v>
      </c>
      <c r="K36" s="68">
        <v>4.24714285714286</v>
      </c>
      <c r="L36" s="69">
        <v>42357.87</v>
      </c>
      <c r="M36" s="68">
        <v>0</v>
      </c>
      <c r="N36" s="67">
        <v>967</v>
      </c>
      <c r="O36" s="68">
        <v>2198.92000000001</v>
      </c>
    </row>
    <row r="37" spans="1:15">
      <c r="A37" t="s">
        <v>236</v>
      </c>
      <c r="B37" t="s">
        <v>229</v>
      </c>
      <c r="C37" s="63" t="s">
        <v>82</v>
      </c>
      <c r="D37" s="63" t="s">
        <v>83</v>
      </c>
      <c r="E37" s="63" t="s">
        <v>3</v>
      </c>
      <c r="F37" s="63" t="s">
        <v>158</v>
      </c>
      <c r="G37" s="66" t="s">
        <v>159</v>
      </c>
      <c r="H37" s="67">
        <v>53</v>
      </c>
      <c r="I37" s="67">
        <v>187</v>
      </c>
      <c r="J37" s="68">
        <v>179.8</v>
      </c>
      <c r="K37" s="68">
        <v>3.39245283018868</v>
      </c>
      <c r="L37" s="69">
        <v>26953.07</v>
      </c>
      <c r="M37" s="68">
        <v>3</v>
      </c>
      <c r="N37" s="67">
        <v>566</v>
      </c>
      <c r="O37" s="68">
        <v>1942.76</v>
      </c>
    </row>
    <row r="38" spans="1:15">
      <c r="A38" t="s">
        <v>236</v>
      </c>
      <c r="B38" t="s">
        <v>229</v>
      </c>
      <c r="C38" s="63" t="s">
        <v>82</v>
      </c>
      <c r="D38" s="63" t="s">
        <v>83</v>
      </c>
      <c r="E38" s="63" t="s">
        <v>9</v>
      </c>
      <c r="F38" s="63" t="s">
        <v>160</v>
      </c>
      <c r="G38" s="66" t="s">
        <v>159</v>
      </c>
      <c r="H38" s="67">
        <v>57</v>
      </c>
      <c r="I38" s="67">
        <v>180</v>
      </c>
      <c r="J38" s="68">
        <v>173.6</v>
      </c>
      <c r="K38" s="68">
        <v>3.04561403508772</v>
      </c>
      <c r="L38" s="69">
        <v>24308.89</v>
      </c>
      <c r="M38" s="68">
        <v>1</v>
      </c>
      <c r="N38" s="67">
        <v>548</v>
      </c>
      <c r="O38" s="68">
        <v>1303.11999999999</v>
      </c>
    </row>
    <row r="39" spans="1:15">
      <c r="A39" t="s">
        <v>236</v>
      </c>
      <c r="B39" t="s">
        <v>229</v>
      </c>
      <c r="C39" s="63" t="s">
        <v>82</v>
      </c>
      <c r="D39" s="63" t="s">
        <v>83</v>
      </c>
      <c r="E39" s="63" t="s">
        <v>5</v>
      </c>
      <c r="F39" s="63" t="s">
        <v>161</v>
      </c>
      <c r="G39" s="66" t="s">
        <v>159</v>
      </c>
      <c r="H39" s="67">
        <v>48</v>
      </c>
      <c r="I39" s="67">
        <v>183</v>
      </c>
      <c r="J39" s="68">
        <v>175</v>
      </c>
      <c r="K39" s="68">
        <v>3.64583333333333</v>
      </c>
      <c r="L39" s="69">
        <v>20775.62</v>
      </c>
      <c r="M39" s="68">
        <v>2.1</v>
      </c>
      <c r="N39" s="67">
        <v>521</v>
      </c>
      <c r="O39" s="68">
        <v>1293.63</v>
      </c>
    </row>
    <row r="40" spans="1:15">
      <c r="A40" t="s">
        <v>236</v>
      </c>
      <c r="B40" t="s">
        <v>229</v>
      </c>
      <c r="C40" s="63" t="s">
        <v>82</v>
      </c>
      <c r="D40" s="63" t="s">
        <v>83</v>
      </c>
      <c r="E40" s="63" t="s">
        <v>4</v>
      </c>
      <c r="F40" s="63" t="s">
        <v>162</v>
      </c>
      <c r="G40" s="66" t="s">
        <v>159</v>
      </c>
      <c r="H40" s="67">
        <v>36</v>
      </c>
      <c r="I40" s="67">
        <v>115</v>
      </c>
      <c r="J40" s="68">
        <v>105.6</v>
      </c>
      <c r="K40" s="68">
        <v>2.93333333333333</v>
      </c>
      <c r="L40" s="69">
        <v>14869.25</v>
      </c>
      <c r="M40" s="68">
        <v>8</v>
      </c>
      <c r="N40" s="67">
        <v>317</v>
      </c>
      <c r="O40" s="68">
        <v>1444.92</v>
      </c>
    </row>
    <row r="41" spans="1:15">
      <c r="A41" t="s">
        <v>236</v>
      </c>
      <c r="B41" t="s">
        <v>229</v>
      </c>
      <c r="C41" s="63" t="s">
        <v>82</v>
      </c>
      <c r="D41" s="63" t="s">
        <v>83</v>
      </c>
      <c r="E41" s="63" t="s">
        <v>7</v>
      </c>
      <c r="F41" s="63" t="s">
        <v>163</v>
      </c>
      <c r="G41" s="66" t="s">
        <v>159</v>
      </c>
      <c r="H41" s="67">
        <v>55</v>
      </c>
      <c r="I41" s="67">
        <v>241</v>
      </c>
      <c r="J41" s="68">
        <v>233.3</v>
      </c>
      <c r="K41" s="68">
        <v>4.24181818181818</v>
      </c>
      <c r="L41" s="69">
        <v>31315.46</v>
      </c>
      <c r="M41" s="68">
        <v>1</v>
      </c>
      <c r="N41" s="67">
        <v>615</v>
      </c>
      <c r="O41" s="68">
        <v>1100.04000000002</v>
      </c>
    </row>
    <row r="42" spans="1:15">
      <c r="A42" t="s">
        <v>236</v>
      </c>
      <c r="B42" t="s">
        <v>229</v>
      </c>
      <c r="C42" s="63" t="s">
        <v>82</v>
      </c>
      <c r="D42" s="63" t="s">
        <v>83</v>
      </c>
      <c r="E42" s="63" t="s">
        <v>8</v>
      </c>
      <c r="F42" s="63" t="s">
        <v>164</v>
      </c>
      <c r="G42" s="66" t="s">
        <v>159</v>
      </c>
      <c r="H42" s="67">
        <v>56</v>
      </c>
      <c r="I42" s="67">
        <v>163</v>
      </c>
      <c r="J42" s="68">
        <v>157.9</v>
      </c>
      <c r="K42" s="68">
        <v>2.81964285714286</v>
      </c>
      <c r="L42" s="69">
        <v>18360.34</v>
      </c>
      <c r="M42" s="68">
        <v>1</v>
      </c>
      <c r="N42" s="67">
        <v>399</v>
      </c>
      <c r="O42" s="68">
        <v>1044.08</v>
      </c>
    </row>
    <row r="43" spans="1:15">
      <c r="A43" t="s">
        <v>236</v>
      </c>
      <c r="B43" t="s">
        <v>229</v>
      </c>
      <c r="C43" s="63" t="s">
        <v>82</v>
      </c>
      <c r="D43" s="63" t="s">
        <v>83</v>
      </c>
      <c r="E43" s="63" t="s">
        <v>6</v>
      </c>
      <c r="F43" s="63" t="s">
        <v>165</v>
      </c>
      <c r="G43" s="66" t="s">
        <v>159</v>
      </c>
      <c r="H43" s="67">
        <v>70</v>
      </c>
      <c r="I43" s="67">
        <v>180</v>
      </c>
      <c r="J43" s="68">
        <v>170.9</v>
      </c>
      <c r="K43" s="68">
        <v>2.44142857142857</v>
      </c>
      <c r="L43" s="69">
        <v>20778.44</v>
      </c>
      <c r="M43" s="68">
        <v>1.4</v>
      </c>
      <c r="N43" s="67">
        <v>475</v>
      </c>
      <c r="O43" s="68">
        <v>1307.16</v>
      </c>
    </row>
    <row r="44" spans="1:15">
      <c r="A44" t="s">
        <v>237</v>
      </c>
      <c r="B44" t="s">
        <v>229</v>
      </c>
      <c r="C44" s="63" t="s">
        <v>82</v>
      </c>
      <c r="D44" s="63" t="s">
        <v>83</v>
      </c>
      <c r="E44" s="63" t="s">
        <v>3</v>
      </c>
      <c r="F44" s="63" t="s">
        <v>158</v>
      </c>
      <c r="G44" s="66" t="s">
        <v>159</v>
      </c>
      <c r="H44" s="67">
        <v>53</v>
      </c>
      <c r="I44" s="67">
        <v>178</v>
      </c>
      <c r="J44" s="68">
        <v>169.9</v>
      </c>
      <c r="K44" s="68">
        <v>3.20566037735849</v>
      </c>
      <c r="L44" s="69">
        <v>25781.9</v>
      </c>
      <c r="M44" s="68">
        <v>0.7</v>
      </c>
      <c r="N44" s="67">
        <v>502</v>
      </c>
      <c r="O44" s="68">
        <v>1708.82</v>
      </c>
    </row>
    <row r="45" spans="1:15">
      <c r="A45" t="s">
        <v>237</v>
      </c>
      <c r="B45" t="s">
        <v>229</v>
      </c>
      <c r="C45" s="63" t="s">
        <v>82</v>
      </c>
      <c r="D45" s="63" t="s">
        <v>83</v>
      </c>
      <c r="E45" s="63" t="s">
        <v>9</v>
      </c>
      <c r="F45" s="63" t="s">
        <v>160</v>
      </c>
      <c r="G45" s="66" t="s">
        <v>159</v>
      </c>
      <c r="H45" s="67">
        <v>57</v>
      </c>
      <c r="I45" s="67">
        <v>190</v>
      </c>
      <c r="J45" s="68">
        <v>182.6</v>
      </c>
      <c r="K45" s="68">
        <v>3.20350877192982</v>
      </c>
      <c r="L45" s="69">
        <v>27219.7</v>
      </c>
      <c r="M45" s="68">
        <v>0</v>
      </c>
      <c r="N45" s="67">
        <v>573</v>
      </c>
      <c r="O45" s="68">
        <v>1811.23</v>
      </c>
    </row>
    <row r="46" spans="1:15">
      <c r="A46" t="s">
        <v>237</v>
      </c>
      <c r="B46" t="s">
        <v>229</v>
      </c>
      <c r="C46" s="63" t="s">
        <v>82</v>
      </c>
      <c r="D46" s="63" t="s">
        <v>83</v>
      </c>
      <c r="E46" s="63" t="s">
        <v>5</v>
      </c>
      <c r="F46" s="63" t="s">
        <v>161</v>
      </c>
      <c r="G46" s="66" t="s">
        <v>159</v>
      </c>
      <c r="H46" s="67">
        <v>48</v>
      </c>
      <c r="I46" s="67">
        <v>165</v>
      </c>
      <c r="J46" s="68">
        <v>157.3</v>
      </c>
      <c r="K46" s="68">
        <v>3.27708333333333</v>
      </c>
      <c r="L46" s="69">
        <v>18471.15</v>
      </c>
      <c r="M46" s="68">
        <v>3.4</v>
      </c>
      <c r="N46" s="67">
        <v>493</v>
      </c>
      <c r="O46" s="68">
        <v>1654.70000000001</v>
      </c>
    </row>
    <row r="47" spans="1:15">
      <c r="A47" t="s">
        <v>237</v>
      </c>
      <c r="B47" t="s">
        <v>229</v>
      </c>
      <c r="C47" s="63" t="s">
        <v>82</v>
      </c>
      <c r="D47" s="63" t="s">
        <v>83</v>
      </c>
      <c r="E47" s="63" t="s">
        <v>4</v>
      </c>
      <c r="F47" s="63" t="s">
        <v>162</v>
      </c>
      <c r="G47" s="66" t="s">
        <v>159</v>
      </c>
      <c r="H47" s="67">
        <v>36</v>
      </c>
      <c r="I47" s="67">
        <v>122</v>
      </c>
      <c r="J47" s="68">
        <v>117.4</v>
      </c>
      <c r="K47" s="68">
        <v>3.26111111111111</v>
      </c>
      <c r="L47" s="69">
        <v>18123.94</v>
      </c>
      <c r="M47" s="68">
        <v>10</v>
      </c>
      <c r="N47" s="67">
        <v>364</v>
      </c>
      <c r="O47" s="68">
        <v>1373.75</v>
      </c>
    </row>
    <row r="48" spans="1:15">
      <c r="A48" t="s">
        <v>237</v>
      </c>
      <c r="B48" t="s">
        <v>229</v>
      </c>
      <c r="C48" s="63" t="s">
        <v>82</v>
      </c>
      <c r="D48" s="63" t="s">
        <v>83</v>
      </c>
      <c r="E48" s="63" t="s">
        <v>7</v>
      </c>
      <c r="F48" s="63" t="s">
        <v>163</v>
      </c>
      <c r="G48" s="66" t="s">
        <v>159</v>
      </c>
      <c r="H48" s="67">
        <v>55</v>
      </c>
      <c r="I48" s="67">
        <v>206</v>
      </c>
      <c r="J48" s="68">
        <v>201.1</v>
      </c>
      <c r="K48" s="68">
        <v>3.65636363636364</v>
      </c>
      <c r="L48" s="69">
        <v>28766.21</v>
      </c>
      <c r="M48" s="68">
        <v>1</v>
      </c>
      <c r="N48" s="67">
        <v>557</v>
      </c>
      <c r="O48" s="68">
        <v>878.480000000006</v>
      </c>
    </row>
    <row r="49" spans="1:15">
      <c r="A49" t="s">
        <v>237</v>
      </c>
      <c r="B49" t="s">
        <v>229</v>
      </c>
      <c r="C49" s="63" t="s">
        <v>82</v>
      </c>
      <c r="D49" s="63" t="s">
        <v>83</v>
      </c>
      <c r="E49" s="63" t="s">
        <v>8</v>
      </c>
      <c r="F49" s="63" t="s">
        <v>164</v>
      </c>
      <c r="G49" s="66" t="s">
        <v>159</v>
      </c>
      <c r="H49" s="67">
        <v>56</v>
      </c>
      <c r="I49" s="67">
        <v>125</v>
      </c>
      <c r="J49" s="68">
        <v>118.1</v>
      </c>
      <c r="K49" s="68">
        <v>2.10892857142857</v>
      </c>
      <c r="L49" s="69">
        <v>14422.15</v>
      </c>
      <c r="M49" s="68">
        <v>0</v>
      </c>
      <c r="N49" s="67">
        <v>321</v>
      </c>
      <c r="O49" s="68">
        <v>774.279999999998</v>
      </c>
    </row>
    <row r="50" spans="1:15">
      <c r="A50" t="s">
        <v>237</v>
      </c>
      <c r="B50" t="s">
        <v>229</v>
      </c>
      <c r="C50" s="63" t="s">
        <v>82</v>
      </c>
      <c r="D50" s="63" t="s">
        <v>83</v>
      </c>
      <c r="E50" s="63" t="s">
        <v>6</v>
      </c>
      <c r="F50" s="63" t="s">
        <v>165</v>
      </c>
      <c r="G50" s="66" t="s">
        <v>159</v>
      </c>
      <c r="H50" s="67">
        <v>70</v>
      </c>
      <c r="I50" s="67">
        <v>189</v>
      </c>
      <c r="J50" s="68">
        <v>186</v>
      </c>
      <c r="K50" s="68">
        <v>2.65714285714286</v>
      </c>
      <c r="L50" s="69">
        <v>21149.43</v>
      </c>
      <c r="M50" s="68">
        <v>0.7</v>
      </c>
      <c r="N50" s="67">
        <v>538</v>
      </c>
      <c r="O50" s="68">
        <v>1271.79000000001</v>
      </c>
    </row>
    <row r="51" spans="1:15">
      <c r="A51" t="s">
        <v>238</v>
      </c>
      <c r="B51" t="s">
        <v>229</v>
      </c>
      <c r="C51" s="63" t="s">
        <v>82</v>
      </c>
      <c r="D51" s="63" t="s">
        <v>83</v>
      </c>
      <c r="E51" s="63" t="s">
        <v>3</v>
      </c>
      <c r="F51" s="63" t="s">
        <v>158</v>
      </c>
      <c r="G51" s="66" t="s">
        <v>159</v>
      </c>
      <c r="H51" s="67">
        <v>53</v>
      </c>
      <c r="I51" s="67">
        <v>183</v>
      </c>
      <c r="J51" s="68">
        <v>173.5</v>
      </c>
      <c r="K51" s="68">
        <v>3.27358490566038</v>
      </c>
      <c r="L51" s="69">
        <v>25721.33</v>
      </c>
      <c r="M51" s="68">
        <v>0</v>
      </c>
      <c r="N51" s="67">
        <v>573</v>
      </c>
      <c r="O51" s="68">
        <v>2150.81</v>
      </c>
    </row>
    <row r="52" spans="1:15">
      <c r="A52" t="s">
        <v>238</v>
      </c>
      <c r="B52" t="s">
        <v>229</v>
      </c>
      <c r="C52" s="63" t="s">
        <v>82</v>
      </c>
      <c r="D52" s="63" t="s">
        <v>83</v>
      </c>
      <c r="E52" s="63" t="s">
        <v>9</v>
      </c>
      <c r="F52" s="63" t="s">
        <v>160</v>
      </c>
      <c r="G52" s="66" t="s">
        <v>159</v>
      </c>
      <c r="H52" s="67">
        <v>57</v>
      </c>
      <c r="I52" s="67">
        <v>172</v>
      </c>
      <c r="J52" s="68">
        <v>164</v>
      </c>
      <c r="K52" s="68">
        <v>2.87719298245614</v>
      </c>
      <c r="L52" s="69">
        <v>21169.21</v>
      </c>
      <c r="M52" s="68">
        <v>0</v>
      </c>
      <c r="N52" s="67">
        <v>514</v>
      </c>
      <c r="O52" s="68">
        <v>1751.51</v>
      </c>
    </row>
    <row r="53" spans="1:15">
      <c r="A53" t="s">
        <v>238</v>
      </c>
      <c r="B53" t="s">
        <v>229</v>
      </c>
      <c r="C53" s="63" t="s">
        <v>82</v>
      </c>
      <c r="D53" s="63" t="s">
        <v>83</v>
      </c>
      <c r="E53" s="63" t="s">
        <v>5</v>
      </c>
      <c r="F53" s="63" t="s">
        <v>161</v>
      </c>
      <c r="G53" s="66" t="s">
        <v>159</v>
      </c>
      <c r="H53" s="67">
        <v>48</v>
      </c>
      <c r="I53" s="67">
        <v>180</v>
      </c>
      <c r="J53" s="68">
        <v>173.6</v>
      </c>
      <c r="K53" s="68">
        <v>3.61666666666667</v>
      </c>
      <c r="L53" s="69">
        <v>19415.66</v>
      </c>
      <c r="M53" s="68">
        <v>0</v>
      </c>
      <c r="N53" s="67">
        <v>536</v>
      </c>
      <c r="O53" s="68">
        <v>1206.6</v>
      </c>
    </row>
    <row r="54" spans="1:15">
      <c r="A54" t="s">
        <v>238</v>
      </c>
      <c r="B54" t="s">
        <v>229</v>
      </c>
      <c r="C54" s="63" t="s">
        <v>82</v>
      </c>
      <c r="D54" s="63" t="s">
        <v>83</v>
      </c>
      <c r="E54" s="63" t="s">
        <v>4</v>
      </c>
      <c r="F54" s="63" t="s">
        <v>162</v>
      </c>
      <c r="G54" s="66" t="s">
        <v>159</v>
      </c>
      <c r="H54" s="67">
        <v>36</v>
      </c>
      <c r="I54" s="67">
        <v>118</v>
      </c>
      <c r="J54" s="68">
        <v>111.9</v>
      </c>
      <c r="K54" s="68">
        <v>3.10833333333333</v>
      </c>
      <c r="L54" s="69">
        <v>15315.04</v>
      </c>
      <c r="M54" s="68">
        <v>8</v>
      </c>
      <c r="N54" s="67">
        <v>329</v>
      </c>
      <c r="O54" s="68">
        <v>1793.69</v>
      </c>
    </row>
    <row r="55" spans="1:15">
      <c r="A55" t="s">
        <v>238</v>
      </c>
      <c r="B55" t="s">
        <v>229</v>
      </c>
      <c r="C55" s="63" t="s">
        <v>82</v>
      </c>
      <c r="D55" s="63" t="s">
        <v>83</v>
      </c>
      <c r="E55" s="63" t="s">
        <v>7</v>
      </c>
      <c r="F55" s="63" t="s">
        <v>163</v>
      </c>
      <c r="G55" s="66" t="s">
        <v>159</v>
      </c>
      <c r="H55" s="67">
        <v>55</v>
      </c>
      <c r="I55" s="67">
        <v>243</v>
      </c>
      <c r="J55" s="68">
        <v>232.4</v>
      </c>
      <c r="K55" s="68">
        <v>4.22545454545455</v>
      </c>
      <c r="L55" s="69">
        <v>31146.3</v>
      </c>
      <c r="M55" s="68">
        <v>2</v>
      </c>
      <c r="N55" s="67">
        <v>620</v>
      </c>
      <c r="O55" s="68">
        <v>1485.75000000001</v>
      </c>
    </row>
    <row r="56" spans="1:15">
      <c r="A56" t="s">
        <v>238</v>
      </c>
      <c r="B56" t="s">
        <v>229</v>
      </c>
      <c r="C56" s="63" t="s">
        <v>82</v>
      </c>
      <c r="D56" s="63" t="s">
        <v>83</v>
      </c>
      <c r="E56" s="63" t="s">
        <v>8</v>
      </c>
      <c r="F56" s="63" t="s">
        <v>164</v>
      </c>
      <c r="G56" s="66" t="s">
        <v>159</v>
      </c>
      <c r="H56" s="67">
        <v>56</v>
      </c>
      <c r="I56" s="67">
        <v>143</v>
      </c>
      <c r="J56" s="68">
        <v>131.7</v>
      </c>
      <c r="K56" s="68">
        <v>2.35178571428571</v>
      </c>
      <c r="L56" s="69">
        <v>17012.05</v>
      </c>
      <c r="M56" s="68">
        <v>0</v>
      </c>
      <c r="N56" s="67">
        <v>418</v>
      </c>
      <c r="O56" s="68">
        <v>1426.67</v>
      </c>
    </row>
    <row r="57" spans="1:15">
      <c r="A57" t="s">
        <v>238</v>
      </c>
      <c r="B57" t="s">
        <v>229</v>
      </c>
      <c r="C57" s="63" t="s">
        <v>82</v>
      </c>
      <c r="D57" s="63" t="s">
        <v>83</v>
      </c>
      <c r="E57" s="63" t="s">
        <v>6</v>
      </c>
      <c r="F57" s="63" t="s">
        <v>165</v>
      </c>
      <c r="G57" s="66" t="s">
        <v>159</v>
      </c>
      <c r="H57" s="67">
        <v>70</v>
      </c>
      <c r="I57" s="67">
        <v>166</v>
      </c>
      <c r="J57" s="68">
        <v>158.5</v>
      </c>
      <c r="K57" s="68">
        <v>2.26428571428571</v>
      </c>
      <c r="L57" s="69">
        <v>20565.36</v>
      </c>
      <c r="M57" s="68">
        <v>2.4</v>
      </c>
      <c r="N57" s="67">
        <v>459</v>
      </c>
      <c r="O57" s="68">
        <v>901.440000000005</v>
      </c>
    </row>
    <row r="58" spans="1:15">
      <c r="A58" t="s">
        <v>239</v>
      </c>
      <c r="B58" t="s">
        <v>229</v>
      </c>
      <c r="C58" s="63" t="s">
        <v>82</v>
      </c>
      <c r="D58" s="63" t="s">
        <v>83</v>
      </c>
      <c r="E58" s="63" t="s">
        <v>3</v>
      </c>
      <c r="F58" s="63" t="s">
        <v>158</v>
      </c>
      <c r="G58" s="66" t="s">
        <v>159</v>
      </c>
      <c r="H58" s="67">
        <v>53</v>
      </c>
      <c r="I58" s="67">
        <v>210</v>
      </c>
      <c r="J58" s="68">
        <v>202.5</v>
      </c>
      <c r="K58" s="68">
        <v>3.82075471698113</v>
      </c>
      <c r="L58" s="69">
        <v>29531.13</v>
      </c>
      <c r="M58" s="68">
        <v>10.3</v>
      </c>
      <c r="N58" s="67">
        <v>615</v>
      </c>
      <c r="O58" s="68">
        <v>2484.10000000001</v>
      </c>
    </row>
    <row r="59" spans="1:15">
      <c r="A59" t="s">
        <v>239</v>
      </c>
      <c r="B59" t="s">
        <v>229</v>
      </c>
      <c r="C59" s="63" t="s">
        <v>82</v>
      </c>
      <c r="D59" s="63" t="s">
        <v>83</v>
      </c>
      <c r="E59" s="63" t="s">
        <v>9</v>
      </c>
      <c r="F59" s="63" t="s">
        <v>160</v>
      </c>
      <c r="G59" s="66" t="s">
        <v>159</v>
      </c>
      <c r="H59" s="67">
        <v>57</v>
      </c>
      <c r="I59" s="67">
        <v>163</v>
      </c>
      <c r="J59" s="68">
        <v>157.3</v>
      </c>
      <c r="K59" s="68">
        <v>2.75964912280702</v>
      </c>
      <c r="L59" s="69">
        <v>23324.73</v>
      </c>
      <c r="M59" s="68">
        <v>0</v>
      </c>
      <c r="N59" s="67">
        <v>517</v>
      </c>
      <c r="O59" s="68">
        <v>1773.53</v>
      </c>
    </row>
    <row r="60" spans="1:15">
      <c r="A60" t="s">
        <v>239</v>
      </c>
      <c r="B60" t="s">
        <v>229</v>
      </c>
      <c r="C60" s="63" t="s">
        <v>82</v>
      </c>
      <c r="D60" s="63" t="s">
        <v>83</v>
      </c>
      <c r="E60" s="63" t="s">
        <v>5</v>
      </c>
      <c r="F60" s="63" t="s">
        <v>161</v>
      </c>
      <c r="G60" s="66" t="s">
        <v>159</v>
      </c>
      <c r="H60" s="67">
        <v>48</v>
      </c>
      <c r="I60" s="67">
        <v>218</v>
      </c>
      <c r="J60" s="68">
        <v>207.3</v>
      </c>
      <c r="K60" s="68">
        <v>4.31875</v>
      </c>
      <c r="L60" s="69">
        <v>23845.72</v>
      </c>
      <c r="M60" s="68">
        <v>1.7</v>
      </c>
      <c r="N60" s="67">
        <v>657</v>
      </c>
      <c r="O60" s="68">
        <v>1676.97</v>
      </c>
    </row>
    <row r="61" spans="1:15">
      <c r="A61" t="s">
        <v>239</v>
      </c>
      <c r="B61" t="s">
        <v>229</v>
      </c>
      <c r="C61" s="63" t="s">
        <v>82</v>
      </c>
      <c r="D61" s="63" t="s">
        <v>83</v>
      </c>
      <c r="E61" s="63" t="s">
        <v>4</v>
      </c>
      <c r="F61" s="63" t="s">
        <v>162</v>
      </c>
      <c r="G61" s="66" t="s">
        <v>159</v>
      </c>
      <c r="H61" s="67">
        <v>36</v>
      </c>
      <c r="I61" s="67">
        <v>117</v>
      </c>
      <c r="J61" s="68">
        <v>112.2</v>
      </c>
      <c r="K61" s="68">
        <v>3.11666666666667</v>
      </c>
      <c r="L61" s="69">
        <v>15240.51</v>
      </c>
      <c r="M61" s="68">
        <v>3</v>
      </c>
      <c r="N61" s="67">
        <v>340</v>
      </c>
      <c r="O61" s="68">
        <v>1298.07</v>
      </c>
    </row>
    <row r="62" spans="1:15">
      <c r="A62" t="s">
        <v>239</v>
      </c>
      <c r="B62" t="s">
        <v>229</v>
      </c>
      <c r="C62" s="63" t="s">
        <v>82</v>
      </c>
      <c r="D62" s="63" t="s">
        <v>83</v>
      </c>
      <c r="E62" s="63" t="s">
        <v>7</v>
      </c>
      <c r="F62" s="63" t="s">
        <v>163</v>
      </c>
      <c r="G62" s="66" t="s">
        <v>159</v>
      </c>
      <c r="H62" s="67">
        <v>55</v>
      </c>
      <c r="I62" s="67">
        <v>244</v>
      </c>
      <c r="J62" s="68">
        <v>234.2</v>
      </c>
      <c r="K62" s="68">
        <v>4.25818181818182</v>
      </c>
      <c r="L62" s="69">
        <v>31516.91</v>
      </c>
      <c r="M62" s="68">
        <v>3</v>
      </c>
      <c r="N62" s="67">
        <v>625</v>
      </c>
      <c r="O62" s="68">
        <v>1669.11000000001</v>
      </c>
    </row>
    <row r="63" spans="1:15">
      <c r="A63" t="s">
        <v>239</v>
      </c>
      <c r="B63" t="s">
        <v>229</v>
      </c>
      <c r="C63" s="63" t="s">
        <v>82</v>
      </c>
      <c r="D63" s="63" t="s">
        <v>83</v>
      </c>
      <c r="E63" s="63" t="s">
        <v>8</v>
      </c>
      <c r="F63" s="63" t="s">
        <v>164</v>
      </c>
      <c r="G63" s="66" t="s">
        <v>159</v>
      </c>
      <c r="H63" s="67">
        <v>56</v>
      </c>
      <c r="I63" s="67">
        <v>146</v>
      </c>
      <c r="J63" s="68">
        <v>137</v>
      </c>
      <c r="K63" s="68">
        <v>2.44642857142857</v>
      </c>
      <c r="L63" s="69">
        <v>17379.37</v>
      </c>
      <c r="M63" s="68">
        <v>0</v>
      </c>
      <c r="N63" s="67">
        <v>425</v>
      </c>
      <c r="O63" s="68">
        <v>1285.36</v>
      </c>
    </row>
    <row r="64" spans="1:15">
      <c r="A64" t="s">
        <v>239</v>
      </c>
      <c r="B64" t="s">
        <v>229</v>
      </c>
      <c r="C64" s="63" t="s">
        <v>82</v>
      </c>
      <c r="D64" s="63" t="s">
        <v>83</v>
      </c>
      <c r="E64" s="63" t="s">
        <v>6</v>
      </c>
      <c r="F64" s="63" t="s">
        <v>165</v>
      </c>
      <c r="G64" s="66" t="s">
        <v>159</v>
      </c>
      <c r="H64" s="67">
        <v>70</v>
      </c>
      <c r="I64" s="67">
        <v>209</v>
      </c>
      <c r="J64" s="68">
        <v>203.7</v>
      </c>
      <c r="K64" s="68">
        <v>2.91</v>
      </c>
      <c r="L64" s="69">
        <v>23602.88</v>
      </c>
      <c r="M64" s="68">
        <v>0</v>
      </c>
      <c r="N64" s="67">
        <v>593</v>
      </c>
      <c r="O64" s="68">
        <v>1538.65</v>
      </c>
    </row>
    <row r="65" spans="1:15">
      <c r="A65" t="s">
        <v>240</v>
      </c>
      <c r="B65" t="s">
        <v>229</v>
      </c>
      <c r="C65" s="63" t="s">
        <v>82</v>
      </c>
      <c r="D65" s="63" t="s">
        <v>83</v>
      </c>
      <c r="E65" s="63" t="s">
        <v>3</v>
      </c>
      <c r="F65" s="63" t="s">
        <v>158</v>
      </c>
      <c r="G65" s="66" t="s">
        <v>148</v>
      </c>
      <c r="H65" s="67">
        <v>53</v>
      </c>
      <c r="I65" s="67">
        <v>266</v>
      </c>
      <c r="J65" s="68">
        <v>260.3</v>
      </c>
      <c r="K65" s="68">
        <v>4.91132075471698</v>
      </c>
      <c r="L65" s="69">
        <v>39328.21</v>
      </c>
      <c r="M65" s="68">
        <v>3</v>
      </c>
      <c r="N65" s="67">
        <v>837</v>
      </c>
      <c r="O65" s="68">
        <v>3060.50000000001</v>
      </c>
    </row>
    <row r="66" spans="1:15">
      <c r="A66" t="s">
        <v>240</v>
      </c>
      <c r="B66" t="s">
        <v>229</v>
      </c>
      <c r="C66" s="63" t="s">
        <v>82</v>
      </c>
      <c r="D66" s="63" t="s">
        <v>83</v>
      </c>
      <c r="E66" s="63" t="s">
        <v>9</v>
      </c>
      <c r="F66" s="63" t="s">
        <v>160</v>
      </c>
      <c r="G66" s="66" t="s">
        <v>148</v>
      </c>
      <c r="H66" s="67">
        <v>57</v>
      </c>
      <c r="I66" s="67">
        <v>279</v>
      </c>
      <c r="J66" s="68">
        <v>268.7</v>
      </c>
      <c r="K66" s="68">
        <v>4.7140350877193</v>
      </c>
      <c r="L66" s="69">
        <v>37162.34</v>
      </c>
      <c r="M66" s="68">
        <v>0</v>
      </c>
      <c r="N66" s="67">
        <v>866</v>
      </c>
      <c r="O66" s="68">
        <v>2479.87999999999</v>
      </c>
    </row>
    <row r="67" spans="1:15">
      <c r="A67" t="s">
        <v>240</v>
      </c>
      <c r="B67" t="s">
        <v>229</v>
      </c>
      <c r="C67" s="63" t="s">
        <v>82</v>
      </c>
      <c r="D67" s="63" t="s">
        <v>83</v>
      </c>
      <c r="E67" s="63" t="s">
        <v>5</v>
      </c>
      <c r="F67" s="63" t="s">
        <v>161</v>
      </c>
      <c r="G67" s="66" t="s">
        <v>148</v>
      </c>
      <c r="H67" s="67">
        <v>48</v>
      </c>
      <c r="I67" s="67">
        <v>283</v>
      </c>
      <c r="J67" s="68">
        <v>274.1</v>
      </c>
      <c r="K67" s="68">
        <v>5.71041666666667</v>
      </c>
      <c r="L67" s="69">
        <v>33238.7</v>
      </c>
      <c r="M67" s="68">
        <v>5.7</v>
      </c>
      <c r="N67" s="67">
        <v>898</v>
      </c>
      <c r="O67" s="68">
        <v>2369.72999999999</v>
      </c>
    </row>
    <row r="68" spans="1:15">
      <c r="A68" t="s">
        <v>240</v>
      </c>
      <c r="B68" t="s">
        <v>229</v>
      </c>
      <c r="C68" s="63" t="s">
        <v>82</v>
      </c>
      <c r="D68" s="63" t="s">
        <v>83</v>
      </c>
      <c r="E68" s="63" t="s">
        <v>4</v>
      </c>
      <c r="F68" s="63" t="s">
        <v>162</v>
      </c>
      <c r="G68" s="66" t="s">
        <v>148</v>
      </c>
      <c r="H68" s="67">
        <v>36</v>
      </c>
      <c r="I68" s="67">
        <v>161</v>
      </c>
      <c r="J68" s="68">
        <v>154.3</v>
      </c>
      <c r="K68" s="68">
        <v>4.28611111111111</v>
      </c>
      <c r="L68" s="69">
        <v>22409.1</v>
      </c>
      <c r="M68" s="68">
        <v>12</v>
      </c>
      <c r="N68" s="67">
        <v>457</v>
      </c>
      <c r="O68" s="68">
        <v>1896.94999999999</v>
      </c>
    </row>
    <row r="69" spans="1:15">
      <c r="A69" t="s">
        <v>240</v>
      </c>
      <c r="B69" t="s">
        <v>229</v>
      </c>
      <c r="C69" s="63" t="s">
        <v>82</v>
      </c>
      <c r="D69" s="63" t="s">
        <v>83</v>
      </c>
      <c r="E69" s="63" t="s">
        <v>7</v>
      </c>
      <c r="F69" s="63" t="s">
        <v>163</v>
      </c>
      <c r="G69" s="66" t="s">
        <v>148</v>
      </c>
      <c r="H69" s="67">
        <v>55</v>
      </c>
      <c r="I69" s="67">
        <v>301</v>
      </c>
      <c r="J69" s="68">
        <v>291.4</v>
      </c>
      <c r="K69" s="68">
        <v>5.29818181818182</v>
      </c>
      <c r="L69" s="69">
        <v>40588.44</v>
      </c>
      <c r="M69" s="68">
        <v>6</v>
      </c>
      <c r="N69" s="67">
        <v>819</v>
      </c>
      <c r="O69" s="68">
        <v>1950.85999999999</v>
      </c>
    </row>
    <row r="70" spans="1:15">
      <c r="A70" t="s">
        <v>240</v>
      </c>
      <c r="B70" t="s">
        <v>229</v>
      </c>
      <c r="C70" s="63" t="s">
        <v>82</v>
      </c>
      <c r="D70" s="63" t="s">
        <v>83</v>
      </c>
      <c r="E70" s="63" t="s">
        <v>8</v>
      </c>
      <c r="F70" s="63" t="s">
        <v>164</v>
      </c>
      <c r="G70" s="66" t="s">
        <v>148</v>
      </c>
      <c r="H70" s="67">
        <v>56</v>
      </c>
      <c r="I70" s="67">
        <v>267</v>
      </c>
      <c r="J70" s="68">
        <v>261.9</v>
      </c>
      <c r="K70" s="68">
        <v>4.67678571428571</v>
      </c>
      <c r="L70" s="69">
        <v>32499.12</v>
      </c>
      <c r="M70" s="68">
        <v>1</v>
      </c>
      <c r="N70" s="67">
        <v>783</v>
      </c>
      <c r="O70" s="68">
        <v>1922.96999999998</v>
      </c>
    </row>
    <row r="71" spans="1:15">
      <c r="A71" t="s">
        <v>240</v>
      </c>
      <c r="B71" t="s">
        <v>229</v>
      </c>
      <c r="C71" s="63" t="s">
        <v>82</v>
      </c>
      <c r="D71" s="63" t="s">
        <v>83</v>
      </c>
      <c r="E71" s="63" t="s">
        <v>6</v>
      </c>
      <c r="F71" s="63" t="s">
        <v>165</v>
      </c>
      <c r="G71" s="66" t="s">
        <v>148</v>
      </c>
      <c r="H71" s="67">
        <v>70</v>
      </c>
      <c r="I71" s="67">
        <v>315</v>
      </c>
      <c r="J71" s="68">
        <v>305</v>
      </c>
      <c r="K71" s="68">
        <v>4.35714285714286</v>
      </c>
      <c r="L71" s="69">
        <v>40475.4</v>
      </c>
      <c r="M71" s="68">
        <v>0.7</v>
      </c>
      <c r="N71" s="67">
        <v>927</v>
      </c>
      <c r="O71" s="68">
        <v>1956.65</v>
      </c>
    </row>
    <row r="72" spans="1:15">
      <c r="A72" t="s">
        <v>241</v>
      </c>
      <c r="B72" t="s">
        <v>229</v>
      </c>
      <c r="C72" s="63" t="s">
        <v>82</v>
      </c>
      <c r="D72" s="63" t="s">
        <v>83</v>
      </c>
      <c r="E72" s="63" t="s">
        <v>3</v>
      </c>
      <c r="F72" s="63" t="s">
        <v>158</v>
      </c>
      <c r="G72" s="66" t="s">
        <v>148</v>
      </c>
      <c r="H72" s="67">
        <v>53</v>
      </c>
      <c r="I72" s="67">
        <v>261</v>
      </c>
      <c r="J72" s="68">
        <v>252</v>
      </c>
      <c r="K72" s="68">
        <v>4.75471698113208</v>
      </c>
      <c r="L72" s="69">
        <v>41818.62</v>
      </c>
      <c r="M72" s="68">
        <v>7.6</v>
      </c>
      <c r="N72" s="67">
        <v>887</v>
      </c>
      <c r="O72" s="68">
        <v>3049.23999999998</v>
      </c>
    </row>
    <row r="73" spans="1:15">
      <c r="A73" t="s">
        <v>241</v>
      </c>
      <c r="B73" t="s">
        <v>229</v>
      </c>
      <c r="C73" s="63" t="s">
        <v>82</v>
      </c>
      <c r="D73" s="63" t="s">
        <v>83</v>
      </c>
      <c r="E73" s="63" t="s">
        <v>9</v>
      </c>
      <c r="F73" s="63" t="s">
        <v>160</v>
      </c>
      <c r="G73" s="66" t="s">
        <v>148</v>
      </c>
      <c r="H73" s="67">
        <v>57</v>
      </c>
      <c r="I73" s="67">
        <v>274</v>
      </c>
      <c r="J73" s="68">
        <v>264.6</v>
      </c>
      <c r="K73" s="68">
        <v>4.6421052631579</v>
      </c>
      <c r="L73" s="69">
        <v>41573.4</v>
      </c>
      <c r="M73" s="68">
        <v>0</v>
      </c>
      <c r="N73" s="67">
        <v>861</v>
      </c>
      <c r="O73" s="68">
        <v>2593.13</v>
      </c>
    </row>
    <row r="74" spans="1:15">
      <c r="A74" t="s">
        <v>241</v>
      </c>
      <c r="B74" t="s">
        <v>229</v>
      </c>
      <c r="C74" s="63" t="s">
        <v>82</v>
      </c>
      <c r="D74" s="63" t="s">
        <v>83</v>
      </c>
      <c r="E74" s="63" t="s">
        <v>5</v>
      </c>
      <c r="F74" s="63" t="s">
        <v>161</v>
      </c>
      <c r="G74" s="66" t="s">
        <v>148</v>
      </c>
      <c r="H74" s="67">
        <v>48</v>
      </c>
      <c r="I74" s="67">
        <v>283</v>
      </c>
      <c r="J74" s="68">
        <v>269.2</v>
      </c>
      <c r="K74" s="68">
        <v>5.60833333333333</v>
      </c>
      <c r="L74" s="69">
        <v>42640.92</v>
      </c>
      <c r="M74" s="68">
        <v>4.9</v>
      </c>
      <c r="N74" s="67">
        <v>977</v>
      </c>
      <c r="O74" s="68">
        <v>2822.73999999998</v>
      </c>
    </row>
    <row r="75" spans="1:15">
      <c r="A75" t="s">
        <v>241</v>
      </c>
      <c r="B75" t="s">
        <v>229</v>
      </c>
      <c r="C75" s="63" t="s">
        <v>82</v>
      </c>
      <c r="D75" s="63" t="s">
        <v>83</v>
      </c>
      <c r="E75" s="63" t="s">
        <v>4</v>
      </c>
      <c r="F75" s="63" t="s">
        <v>162</v>
      </c>
      <c r="G75" s="66" t="s">
        <v>148</v>
      </c>
      <c r="H75" s="67">
        <v>36</v>
      </c>
      <c r="I75" s="67">
        <v>162</v>
      </c>
      <c r="J75" s="68">
        <v>155.9</v>
      </c>
      <c r="K75" s="68">
        <v>4.33055555555556</v>
      </c>
      <c r="L75" s="69">
        <v>24835.95</v>
      </c>
      <c r="M75" s="68">
        <v>11</v>
      </c>
      <c r="N75" s="67">
        <v>499</v>
      </c>
      <c r="O75" s="68">
        <v>1548.72999999999</v>
      </c>
    </row>
    <row r="76" spans="1:15">
      <c r="A76" t="s">
        <v>241</v>
      </c>
      <c r="B76" t="s">
        <v>229</v>
      </c>
      <c r="C76" s="63" t="s">
        <v>82</v>
      </c>
      <c r="D76" s="63" t="s">
        <v>83</v>
      </c>
      <c r="E76" s="63" t="s">
        <v>7</v>
      </c>
      <c r="F76" s="63" t="s">
        <v>163</v>
      </c>
      <c r="G76" s="66" t="s">
        <v>148</v>
      </c>
      <c r="H76" s="67">
        <v>55</v>
      </c>
      <c r="I76" s="67">
        <v>338</v>
      </c>
      <c r="J76" s="68">
        <v>329.8</v>
      </c>
      <c r="K76" s="68">
        <v>5.99636363636364</v>
      </c>
      <c r="L76" s="69">
        <v>51046.71</v>
      </c>
      <c r="M76" s="68">
        <v>1.9</v>
      </c>
      <c r="N76" s="67">
        <v>956</v>
      </c>
      <c r="O76" s="68">
        <v>2480.10999999998</v>
      </c>
    </row>
    <row r="77" spans="1:15">
      <c r="A77" t="s">
        <v>241</v>
      </c>
      <c r="B77" t="s">
        <v>229</v>
      </c>
      <c r="C77" s="63" t="s">
        <v>82</v>
      </c>
      <c r="D77" s="63" t="s">
        <v>83</v>
      </c>
      <c r="E77" s="63" t="s">
        <v>8</v>
      </c>
      <c r="F77" s="63" t="s">
        <v>164</v>
      </c>
      <c r="G77" s="66" t="s">
        <v>148</v>
      </c>
      <c r="H77" s="67">
        <v>56</v>
      </c>
      <c r="I77" s="67">
        <v>257</v>
      </c>
      <c r="J77" s="68">
        <v>246.1</v>
      </c>
      <c r="K77" s="68">
        <v>4.39464285714286</v>
      </c>
      <c r="L77" s="69">
        <v>35435.24</v>
      </c>
      <c r="M77" s="68">
        <v>1</v>
      </c>
      <c r="N77" s="67">
        <v>809</v>
      </c>
      <c r="O77" s="68">
        <v>2473.98999999999</v>
      </c>
    </row>
    <row r="78" spans="1:15">
      <c r="A78" t="s">
        <v>241</v>
      </c>
      <c r="B78" t="s">
        <v>229</v>
      </c>
      <c r="C78" s="63" t="s">
        <v>82</v>
      </c>
      <c r="D78" s="63" t="s">
        <v>83</v>
      </c>
      <c r="E78" s="63" t="s">
        <v>6</v>
      </c>
      <c r="F78" s="63" t="s">
        <v>165</v>
      </c>
      <c r="G78" s="66" t="s">
        <v>148</v>
      </c>
      <c r="H78" s="67">
        <v>70</v>
      </c>
      <c r="I78" s="67">
        <v>331</v>
      </c>
      <c r="J78" s="68">
        <v>323.2</v>
      </c>
      <c r="K78" s="68">
        <v>4.61714285714286</v>
      </c>
      <c r="L78" s="69">
        <v>60437.77</v>
      </c>
      <c r="M78" s="68">
        <v>4</v>
      </c>
      <c r="N78" s="67">
        <v>1079</v>
      </c>
      <c r="O78" s="68">
        <v>2305.22000000002</v>
      </c>
    </row>
    <row r="79" spans="1:15">
      <c r="A79" t="s">
        <v>166</v>
      </c>
      <c r="B79" t="s">
        <v>131</v>
      </c>
      <c r="C79" s="63" t="s">
        <v>82</v>
      </c>
      <c r="D79" s="63" t="s">
        <v>83</v>
      </c>
      <c r="E79" s="63" t="s">
        <v>3</v>
      </c>
      <c r="F79" s="63" t="s">
        <v>158</v>
      </c>
      <c r="G79" s="66" t="s">
        <v>148</v>
      </c>
      <c r="H79" s="67">
        <v>53</v>
      </c>
      <c r="I79" s="67">
        <v>250</v>
      </c>
      <c r="J79" s="68">
        <v>239.4</v>
      </c>
      <c r="K79" s="68">
        <v>4.51698113207547</v>
      </c>
      <c r="L79" s="69">
        <v>41008.44</v>
      </c>
      <c r="M79" s="68">
        <v>3.6</v>
      </c>
      <c r="N79" s="67">
        <v>859</v>
      </c>
      <c r="O79" s="68">
        <v>2998.22</v>
      </c>
    </row>
    <row r="80" spans="1:15">
      <c r="A80" t="s">
        <v>166</v>
      </c>
      <c r="B80" t="s">
        <v>131</v>
      </c>
      <c r="C80" s="63" t="s">
        <v>82</v>
      </c>
      <c r="D80" s="63" t="s">
        <v>83</v>
      </c>
      <c r="E80" s="63" t="s">
        <v>9</v>
      </c>
      <c r="F80" s="63" t="s">
        <v>160</v>
      </c>
      <c r="G80" s="66" t="s">
        <v>148</v>
      </c>
      <c r="H80" s="67">
        <v>57</v>
      </c>
      <c r="I80" s="67">
        <v>256</v>
      </c>
      <c r="J80" s="68">
        <v>247.1</v>
      </c>
      <c r="K80" s="68">
        <v>4.33508771929825</v>
      </c>
      <c r="L80" s="69">
        <v>39810.55</v>
      </c>
      <c r="M80" s="68">
        <v>1</v>
      </c>
      <c r="N80" s="67">
        <v>884</v>
      </c>
      <c r="O80" s="68">
        <v>2335.82</v>
      </c>
    </row>
    <row r="81" spans="1:15">
      <c r="A81" t="s">
        <v>166</v>
      </c>
      <c r="B81" t="s">
        <v>131</v>
      </c>
      <c r="C81" s="63" t="s">
        <v>82</v>
      </c>
      <c r="D81" s="63" t="s">
        <v>83</v>
      </c>
      <c r="E81" s="63" t="s">
        <v>5</v>
      </c>
      <c r="F81" s="63" t="s">
        <v>161</v>
      </c>
      <c r="G81" s="66" t="s">
        <v>148</v>
      </c>
      <c r="H81" s="67">
        <v>48</v>
      </c>
      <c r="I81" s="67">
        <v>311</v>
      </c>
      <c r="J81" s="68">
        <v>300.7</v>
      </c>
      <c r="K81" s="68">
        <v>6.26458333333333</v>
      </c>
      <c r="L81" s="69">
        <v>44370.46</v>
      </c>
      <c r="M81" s="68">
        <v>5.5</v>
      </c>
      <c r="N81" s="67">
        <v>1068</v>
      </c>
      <c r="O81" s="68">
        <v>2457.75000000002</v>
      </c>
    </row>
    <row r="82" spans="1:15">
      <c r="A82" t="s">
        <v>166</v>
      </c>
      <c r="B82" t="s">
        <v>131</v>
      </c>
      <c r="C82" s="63" t="s">
        <v>82</v>
      </c>
      <c r="D82" s="63" t="s">
        <v>83</v>
      </c>
      <c r="E82" s="63" t="s">
        <v>4</v>
      </c>
      <c r="F82" s="63" t="s">
        <v>162</v>
      </c>
      <c r="G82" s="66" t="s">
        <v>148</v>
      </c>
      <c r="H82" s="67">
        <v>36</v>
      </c>
      <c r="I82" s="67">
        <v>131</v>
      </c>
      <c r="J82" s="68">
        <v>125.8</v>
      </c>
      <c r="K82" s="68">
        <v>3.49444444444444</v>
      </c>
      <c r="L82" s="69">
        <v>19405.98</v>
      </c>
      <c r="M82" s="68">
        <v>10</v>
      </c>
      <c r="N82" s="67">
        <v>391</v>
      </c>
      <c r="O82" s="68">
        <v>1364.34</v>
      </c>
    </row>
    <row r="83" spans="1:15">
      <c r="A83" t="s">
        <v>166</v>
      </c>
      <c r="B83" t="s">
        <v>131</v>
      </c>
      <c r="C83" s="63" t="s">
        <v>82</v>
      </c>
      <c r="D83" s="63" t="s">
        <v>83</v>
      </c>
      <c r="E83" s="63" t="s">
        <v>7</v>
      </c>
      <c r="F83" s="63" t="s">
        <v>163</v>
      </c>
      <c r="G83" s="66" t="s">
        <v>148</v>
      </c>
      <c r="H83" s="67">
        <v>55</v>
      </c>
      <c r="I83" s="67">
        <v>270</v>
      </c>
      <c r="J83" s="68">
        <v>259.5</v>
      </c>
      <c r="K83" s="68">
        <v>4.71818181818182</v>
      </c>
      <c r="L83" s="69">
        <v>37907.32</v>
      </c>
      <c r="M83" s="68">
        <v>3</v>
      </c>
      <c r="N83" s="67">
        <v>731</v>
      </c>
      <c r="O83" s="68">
        <v>2167.76999999998</v>
      </c>
    </row>
    <row r="84" spans="1:15">
      <c r="A84" t="s">
        <v>166</v>
      </c>
      <c r="B84" t="s">
        <v>131</v>
      </c>
      <c r="C84" s="63" t="s">
        <v>82</v>
      </c>
      <c r="D84" s="63" t="s">
        <v>83</v>
      </c>
      <c r="E84" s="63" t="s">
        <v>8</v>
      </c>
      <c r="F84" s="63" t="s">
        <v>164</v>
      </c>
      <c r="G84" s="66" t="s">
        <v>148</v>
      </c>
      <c r="H84" s="67">
        <v>56</v>
      </c>
      <c r="I84" s="67">
        <v>259</v>
      </c>
      <c r="J84" s="68">
        <v>252.5</v>
      </c>
      <c r="K84" s="68">
        <v>4.50892857142857</v>
      </c>
      <c r="L84" s="69">
        <v>34580.93</v>
      </c>
      <c r="M84" s="68">
        <v>0</v>
      </c>
      <c r="N84" s="67">
        <v>797</v>
      </c>
      <c r="O84" s="68">
        <v>1596.44999999998</v>
      </c>
    </row>
    <row r="85" spans="1:15">
      <c r="A85" t="s">
        <v>166</v>
      </c>
      <c r="B85" t="s">
        <v>131</v>
      </c>
      <c r="C85" s="63" t="s">
        <v>82</v>
      </c>
      <c r="D85" s="63" t="s">
        <v>83</v>
      </c>
      <c r="E85" s="63" t="s">
        <v>6</v>
      </c>
      <c r="F85" s="63" t="s">
        <v>165</v>
      </c>
      <c r="G85" s="66" t="s">
        <v>148</v>
      </c>
      <c r="H85" s="67">
        <v>70</v>
      </c>
      <c r="I85" s="67">
        <v>373</v>
      </c>
      <c r="J85" s="68">
        <v>364</v>
      </c>
      <c r="K85" s="68">
        <v>5.2</v>
      </c>
      <c r="L85" s="69">
        <v>50321.82</v>
      </c>
      <c r="M85" s="68">
        <v>5</v>
      </c>
      <c r="N85" s="67">
        <v>1198</v>
      </c>
      <c r="O85" s="68">
        <v>2341.35000000001</v>
      </c>
    </row>
    <row r="86" spans="1:15">
      <c r="A86" t="s">
        <v>168</v>
      </c>
      <c r="B86" t="s">
        <v>131</v>
      </c>
      <c r="C86" s="63" t="s">
        <v>82</v>
      </c>
      <c r="D86" s="63" t="s">
        <v>83</v>
      </c>
      <c r="E86" s="63" t="s">
        <v>3</v>
      </c>
      <c r="F86" s="63" t="s">
        <v>158</v>
      </c>
      <c r="G86" s="66" t="s">
        <v>159</v>
      </c>
      <c r="H86" s="67">
        <v>53</v>
      </c>
      <c r="I86" s="67">
        <v>167</v>
      </c>
      <c r="J86" s="68">
        <v>153.5</v>
      </c>
      <c r="K86" s="68">
        <v>2.89622641509434</v>
      </c>
      <c r="L86" s="69">
        <v>23451.51</v>
      </c>
      <c r="M86" s="68">
        <v>0.9</v>
      </c>
      <c r="N86" s="67">
        <v>488</v>
      </c>
      <c r="O86" s="68">
        <v>2071.46</v>
      </c>
    </row>
    <row r="87" spans="1:15">
      <c r="A87" t="s">
        <v>168</v>
      </c>
      <c r="B87" t="s">
        <v>131</v>
      </c>
      <c r="C87" s="63" t="s">
        <v>82</v>
      </c>
      <c r="D87" s="63" t="s">
        <v>83</v>
      </c>
      <c r="E87" s="63" t="s">
        <v>9</v>
      </c>
      <c r="F87" s="63" t="s">
        <v>160</v>
      </c>
      <c r="G87" s="66" t="s">
        <v>159</v>
      </c>
      <c r="H87" s="67">
        <v>57</v>
      </c>
      <c r="I87" s="67">
        <v>150</v>
      </c>
      <c r="J87" s="68">
        <v>140.3</v>
      </c>
      <c r="K87" s="68">
        <v>2.46140350877193</v>
      </c>
      <c r="L87" s="69">
        <v>19712.35</v>
      </c>
      <c r="M87" s="68">
        <v>0</v>
      </c>
      <c r="N87" s="67">
        <v>448</v>
      </c>
      <c r="O87" s="68">
        <v>1449.87</v>
      </c>
    </row>
    <row r="88" spans="1:15">
      <c r="A88" t="s">
        <v>168</v>
      </c>
      <c r="B88" t="s">
        <v>131</v>
      </c>
      <c r="C88" s="63" t="s">
        <v>82</v>
      </c>
      <c r="D88" s="63" t="s">
        <v>83</v>
      </c>
      <c r="E88" s="63" t="s">
        <v>5</v>
      </c>
      <c r="F88" s="63" t="s">
        <v>161</v>
      </c>
      <c r="G88" s="66" t="s">
        <v>159</v>
      </c>
      <c r="H88" s="67">
        <v>48</v>
      </c>
      <c r="I88" s="67">
        <v>192</v>
      </c>
      <c r="J88" s="68">
        <v>182.4</v>
      </c>
      <c r="K88" s="68">
        <v>3.8</v>
      </c>
      <c r="L88" s="69">
        <v>21095.53</v>
      </c>
      <c r="M88" s="68">
        <v>2.4</v>
      </c>
      <c r="N88" s="67">
        <v>546</v>
      </c>
      <c r="O88" s="68">
        <v>1674.49000000001</v>
      </c>
    </row>
    <row r="89" spans="1:15">
      <c r="A89" t="s">
        <v>168</v>
      </c>
      <c r="B89" t="s">
        <v>131</v>
      </c>
      <c r="C89" s="63" t="s">
        <v>82</v>
      </c>
      <c r="D89" s="63" t="s">
        <v>83</v>
      </c>
      <c r="E89" s="63" t="s">
        <v>4</v>
      </c>
      <c r="F89" s="63" t="s">
        <v>162</v>
      </c>
      <c r="G89" s="66" t="s">
        <v>159</v>
      </c>
      <c r="H89" s="67">
        <v>36</v>
      </c>
      <c r="I89" s="67">
        <v>91</v>
      </c>
      <c r="J89" s="68">
        <v>82.4</v>
      </c>
      <c r="K89" s="68">
        <v>2.28888888888889</v>
      </c>
      <c r="L89" s="69">
        <v>11061.18</v>
      </c>
      <c r="M89" s="68">
        <v>4</v>
      </c>
      <c r="N89" s="67">
        <v>254</v>
      </c>
      <c r="O89" s="68">
        <v>1194.51</v>
      </c>
    </row>
    <row r="90" spans="1:15">
      <c r="A90" t="s">
        <v>168</v>
      </c>
      <c r="B90" t="s">
        <v>131</v>
      </c>
      <c r="C90" s="63" t="s">
        <v>82</v>
      </c>
      <c r="D90" s="63" t="s">
        <v>83</v>
      </c>
      <c r="E90" s="63" t="s">
        <v>7</v>
      </c>
      <c r="F90" s="63" t="s">
        <v>163</v>
      </c>
      <c r="G90" s="66" t="s">
        <v>159</v>
      </c>
      <c r="H90" s="67">
        <v>55</v>
      </c>
      <c r="I90" s="67">
        <v>192</v>
      </c>
      <c r="J90" s="68">
        <v>184</v>
      </c>
      <c r="K90" s="68">
        <v>3.34545454545455</v>
      </c>
      <c r="L90" s="69">
        <v>25855.82</v>
      </c>
      <c r="M90" s="68">
        <v>0</v>
      </c>
      <c r="N90" s="67">
        <v>500</v>
      </c>
      <c r="O90" s="68">
        <v>1711.94</v>
      </c>
    </row>
    <row r="91" spans="1:15">
      <c r="A91" t="s">
        <v>168</v>
      </c>
      <c r="B91" t="s">
        <v>131</v>
      </c>
      <c r="C91" s="63" t="s">
        <v>82</v>
      </c>
      <c r="D91" s="63" t="s">
        <v>83</v>
      </c>
      <c r="E91" s="63" t="s">
        <v>8</v>
      </c>
      <c r="F91" s="63" t="s">
        <v>164</v>
      </c>
      <c r="G91" s="66" t="s">
        <v>159</v>
      </c>
      <c r="H91" s="67">
        <v>56</v>
      </c>
      <c r="I91" s="67">
        <v>162</v>
      </c>
      <c r="J91" s="68">
        <v>154.8</v>
      </c>
      <c r="K91" s="68">
        <v>2.76428571428571</v>
      </c>
      <c r="L91" s="69">
        <v>18824.62</v>
      </c>
      <c r="M91" s="68">
        <v>1</v>
      </c>
      <c r="N91" s="67">
        <v>447</v>
      </c>
      <c r="O91" s="68">
        <v>601.55</v>
      </c>
    </row>
    <row r="92" spans="1:15">
      <c r="A92" t="s">
        <v>168</v>
      </c>
      <c r="B92" t="s">
        <v>131</v>
      </c>
      <c r="C92" s="63" t="s">
        <v>82</v>
      </c>
      <c r="D92" s="63" t="s">
        <v>83</v>
      </c>
      <c r="E92" s="63" t="s">
        <v>6</v>
      </c>
      <c r="F92" s="63" t="s">
        <v>165</v>
      </c>
      <c r="G92" s="66" t="s">
        <v>159</v>
      </c>
      <c r="H92" s="67">
        <v>70</v>
      </c>
      <c r="I92" s="67">
        <v>190</v>
      </c>
      <c r="J92" s="68">
        <v>180.3</v>
      </c>
      <c r="K92" s="68">
        <v>2.57571428571429</v>
      </c>
      <c r="L92" s="69">
        <v>21977.89</v>
      </c>
      <c r="M92" s="68">
        <v>1</v>
      </c>
      <c r="N92" s="67">
        <v>524</v>
      </c>
      <c r="O92" s="68">
        <v>1595.3</v>
      </c>
    </row>
    <row r="93" spans="1:15">
      <c r="A93" t="s">
        <v>170</v>
      </c>
      <c r="B93" t="s">
        <v>131</v>
      </c>
      <c r="C93" s="63" t="s">
        <v>82</v>
      </c>
      <c r="D93" s="63" t="s">
        <v>83</v>
      </c>
      <c r="E93" s="63" t="s">
        <v>3</v>
      </c>
      <c r="F93" s="63" t="s">
        <v>158</v>
      </c>
      <c r="G93" s="66" t="s">
        <v>159</v>
      </c>
      <c r="H93" s="67">
        <v>53</v>
      </c>
      <c r="I93" s="67">
        <v>172</v>
      </c>
      <c r="J93" s="68">
        <v>164.7</v>
      </c>
      <c r="K93" s="68">
        <v>3.10754716981132</v>
      </c>
      <c r="L93" s="69">
        <v>23322.82</v>
      </c>
      <c r="M93" s="68">
        <v>1.7</v>
      </c>
      <c r="N93" s="67">
        <v>490</v>
      </c>
      <c r="O93" s="68">
        <v>1695.33</v>
      </c>
    </row>
    <row r="94" spans="1:15">
      <c r="A94" t="s">
        <v>170</v>
      </c>
      <c r="B94" t="s">
        <v>131</v>
      </c>
      <c r="C94" s="63" t="s">
        <v>82</v>
      </c>
      <c r="D94" s="63" t="s">
        <v>83</v>
      </c>
      <c r="E94" s="63" t="s">
        <v>9</v>
      </c>
      <c r="F94" s="63" t="s">
        <v>160</v>
      </c>
      <c r="G94" s="66" t="s">
        <v>159</v>
      </c>
      <c r="H94" s="67">
        <v>57</v>
      </c>
      <c r="I94" s="67">
        <v>191</v>
      </c>
      <c r="J94" s="68">
        <v>178.4</v>
      </c>
      <c r="K94" s="68">
        <v>3.12982456140351</v>
      </c>
      <c r="L94" s="69">
        <v>24509.9</v>
      </c>
      <c r="M94" s="68">
        <v>0</v>
      </c>
      <c r="N94" s="67">
        <v>576</v>
      </c>
      <c r="O94" s="68">
        <v>2222.2</v>
      </c>
    </row>
    <row r="95" spans="1:15">
      <c r="A95" t="s">
        <v>170</v>
      </c>
      <c r="B95" t="s">
        <v>131</v>
      </c>
      <c r="C95" s="63" t="s">
        <v>82</v>
      </c>
      <c r="D95" s="63" t="s">
        <v>83</v>
      </c>
      <c r="E95" s="63" t="s">
        <v>5</v>
      </c>
      <c r="F95" s="63" t="s">
        <v>161</v>
      </c>
      <c r="G95" s="66" t="s">
        <v>159</v>
      </c>
      <c r="H95" s="67">
        <v>48</v>
      </c>
      <c r="I95" s="67">
        <v>174</v>
      </c>
      <c r="J95" s="68">
        <v>166.2</v>
      </c>
      <c r="K95" s="68">
        <v>3.4625</v>
      </c>
      <c r="L95" s="69">
        <v>20407.06</v>
      </c>
      <c r="M95" s="68">
        <v>1</v>
      </c>
      <c r="N95" s="67">
        <v>522</v>
      </c>
      <c r="O95" s="68">
        <v>1297.37</v>
      </c>
    </row>
    <row r="96" spans="1:15">
      <c r="A96" t="s">
        <v>170</v>
      </c>
      <c r="B96" t="s">
        <v>131</v>
      </c>
      <c r="C96" s="63" t="s">
        <v>82</v>
      </c>
      <c r="D96" s="63" t="s">
        <v>83</v>
      </c>
      <c r="E96" s="63" t="s">
        <v>4</v>
      </c>
      <c r="F96" s="63" t="s">
        <v>162</v>
      </c>
      <c r="G96" s="66" t="s">
        <v>159</v>
      </c>
      <c r="H96" s="67">
        <v>36</v>
      </c>
      <c r="I96" s="67">
        <v>98</v>
      </c>
      <c r="J96" s="68">
        <v>89.3</v>
      </c>
      <c r="K96" s="68">
        <v>2.48055555555556</v>
      </c>
      <c r="L96" s="69">
        <v>13202.02</v>
      </c>
      <c r="M96" s="68">
        <v>1</v>
      </c>
      <c r="N96" s="67">
        <v>282</v>
      </c>
      <c r="O96" s="68">
        <v>1815.17</v>
      </c>
    </row>
    <row r="97" spans="1:15">
      <c r="A97" t="s">
        <v>170</v>
      </c>
      <c r="B97" t="s">
        <v>131</v>
      </c>
      <c r="C97" s="63" t="s">
        <v>82</v>
      </c>
      <c r="D97" s="63" t="s">
        <v>83</v>
      </c>
      <c r="E97" s="63" t="s">
        <v>7</v>
      </c>
      <c r="F97" s="63" t="s">
        <v>163</v>
      </c>
      <c r="G97" s="66" t="s">
        <v>159</v>
      </c>
      <c r="H97" s="67">
        <v>55</v>
      </c>
      <c r="I97" s="67">
        <v>208</v>
      </c>
      <c r="J97" s="68">
        <v>198.8</v>
      </c>
      <c r="K97" s="68">
        <v>3.61454545454545</v>
      </c>
      <c r="L97" s="69">
        <v>28568.9</v>
      </c>
      <c r="M97" s="68">
        <v>1</v>
      </c>
      <c r="N97" s="67">
        <v>573</v>
      </c>
      <c r="O97" s="68">
        <v>1429.52000000001</v>
      </c>
    </row>
    <row r="98" spans="1:15">
      <c r="A98" t="s">
        <v>170</v>
      </c>
      <c r="B98" t="s">
        <v>131</v>
      </c>
      <c r="C98" s="63" t="s">
        <v>82</v>
      </c>
      <c r="D98" s="63" t="s">
        <v>83</v>
      </c>
      <c r="E98" s="63" t="s">
        <v>8</v>
      </c>
      <c r="F98" s="63" t="s">
        <v>164</v>
      </c>
      <c r="G98" s="66" t="s">
        <v>159</v>
      </c>
      <c r="H98" s="67">
        <v>56</v>
      </c>
      <c r="I98" s="67">
        <v>131</v>
      </c>
      <c r="J98" s="68">
        <v>121.2</v>
      </c>
      <c r="K98" s="68">
        <v>2.16428571428571</v>
      </c>
      <c r="L98" s="69">
        <v>14538.83</v>
      </c>
      <c r="M98" s="68">
        <v>0</v>
      </c>
      <c r="N98" s="67">
        <v>359</v>
      </c>
      <c r="O98" s="68">
        <v>767.82</v>
      </c>
    </row>
    <row r="99" spans="1:15">
      <c r="A99" t="s">
        <v>170</v>
      </c>
      <c r="B99" t="s">
        <v>131</v>
      </c>
      <c r="C99" s="63" t="s">
        <v>82</v>
      </c>
      <c r="D99" s="63" t="s">
        <v>83</v>
      </c>
      <c r="E99" s="63" t="s">
        <v>6</v>
      </c>
      <c r="F99" s="63" t="s">
        <v>165</v>
      </c>
      <c r="G99" s="66" t="s">
        <v>159</v>
      </c>
      <c r="H99" s="67">
        <v>70</v>
      </c>
      <c r="I99" s="67">
        <v>166</v>
      </c>
      <c r="J99" s="68">
        <v>160.5</v>
      </c>
      <c r="K99" s="68">
        <v>2.29285714285714</v>
      </c>
      <c r="L99" s="69">
        <v>19147.13</v>
      </c>
      <c r="M99" s="68">
        <v>0</v>
      </c>
      <c r="N99" s="67">
        <v>448</v>
      </c>
      <c r="O99" s="68">
        <v>1080.89000000001</v>
      </c>
    </row>
    <row r="100" spans="1:15">
      <c r="A100" t="s">
        <v>172</v>
      </c>
      <c r="B100" t="s">
        <v>131</v>
      </c>
      <c r="C100" s="63" t="s">
        <v>82</v>
      </c>
      <c r="D100" s="63" t="s">
        <v>83</v>
      </c>
      <c r="E100" s="63" t="s">
        <v>3</v>
      </c>
      <c r="F100" s="63" t="s">
        <v>158</v>
      </c>
      <c r="G100" s="66" t="s">
        <v>159</v>
      </c>
      <c r="H100" s="67">
        <v>53</v>
      </c>
      <c r="I100" s="67">
        <v>184</v>
      </c>
      <c r="J100" s="68">
        <v>177.1</v>
      </c>
      <c r="K100" s="68">
        <v>3.34150943396226</v>
      </c>
      <c r="L100" s="69">
        <v>26817.38</v>
      </c>
      <c r="M100" s="68">
        <v>2.9</v>
      </c>
      <c r="N100" s="67">
        <v>562</v>
      </c>
      <c r="O100" s="68">
        <v>2290.78000000001</v>
      </c>
    </row>
    <row r="101" spans="1:15">
      <c r="A101" t="s">
        <v>172</v>
      </c>
      <c r="B101" t="s">
        <v>131</v>
      </c>
      <c r="C101" s="63" t="s">
        <v>82</v>
      </c>
      <c r="D101" s="63" t="s">
        <v>83</v>
      </c>
      <c r="E101" s="63" t="s">
        <v>9</v>
      </c>
      <c r="F101" s="63" t="s">
        <v>160</v>
      </c>
      <c r="G101" s="66" t="s">
        <v>159</v>
      </c>
      <c r="H101" s="67">
        <v>57</v>
      </c>
      <c r="I101" s="67">
        <v>155</v>
      </c>
      <c r="J101" s="68">
        <v>145</v>
      </c>
      <c r="K101" s="68">
        <v>2.54385964912281</v>
      </c>
      <c r="L101" s="69">
        <v>21360.25</v>
      </c>
      <c r="M101" s="68">
        <v>0</v>
      </c>
      <c r="N101" s="67">
        <v>460</v>
      </c>
      <c r="O101" s="68">
        <v>1773.78</v>
      </c>
    </row>
    <row r="102" spans="1:15">
      <c r="A102" t="s">
        <v>172</v>
      </c>
      <c r="B102" t="s">
        <v>131</v>
      </c>
      <c r="C102" s="63" t="s">
        <v>82</v>
      </c>
      <c r="D102" s="63" t="s">
        <v>83</v>
      </c>
      <c r="E102" s="63" t="s">
        <v>5</v>
      </c>
      <c r="F102" s="63" t="s">
        <v>161</v>
      </c>
      <c r="G102" s="66" t="s">
        <v>159</v>
      </c>
      <c r="H102" s="67">
        <v>48</v>
      </c>
      <c r="I102" s="67">
        <v>192</v>
      </c>
      <c r="J102" s="68">
        <v>187.4</v>
      </c>
      <c r="K102" s="68">
        <v>3.90416666666667</v>
      </c>
      <c r="L102" s="69">
        <v>22596.54</v>
      </c>
      <c r="M102" s="68">
        <v>0</v>
      </c>
      <c r="N102" s="67">
        <v>565</v>
      </c>
      <c r="O102" s="68">
        <v>1224.24999999999</v>
      </c>
    </row>
    <row r="103" spans="1:15">
      <c r="A103" t="s">
        <v>172</v>
      </c>
      <c r="B103" t="s">
        <v>131</v>
      </c>
      <c r="C103" s="63" t="s">
        <v>82</v>
      </c>
      <c r="D103" s="63" t="s">
        <v>83</v>
      </c>
      <c r="E103" s="63" t="s">
        <v>4</v>
      </c>
      <c r="F103" s="63" t="s">
        <v>162</v>
      </c>
      <c r="G103" s="66" t="s">
        <v>159</v>
      </c>
      <c r="H103" s="67">
        <v>36</v>
      </c>
      <c r="I103" s="67">
        <v>95</v>
      </c>
      <c r="J103" s="68">
        <v>87.4</v>
      </c>
      <c r="K103" s="68">
        <v>2.42777777777778</v>
      </c>
      <c r="L103" s="69">
        <v>11163.62</v>
      </c>
      <c r="M103" s="68">
        <v>9</v>
      </c>
      <c r="N103" s="67">
        <v>252</v>
      </c>
      <c r="O103" s="68">
        <v>1179.37</v>
      </c>
    </row>
    <row r="104" spans="1:15">
      <c r="A104" t="s">
        <v>172</v>
      </c>
      <c r="B104" t="s">
        <v>131</v>
      </c>
      <c r="C104" s="63" t="s">
        <v>82</v>
      </c>
      <c r="D104" s="63" t="s">
        <v>83</v>
      </c>
      <c r="E104" s="63" t="s">
        <v>7</v>
      </c>
      <c r="F104" s="63" t="s">
        <v>163</v>
      </c>
      <c r="G104" s="66" t="s">
        <v>159</v>
      </c>
      <c r="H104" s="67">
        <v>55</v>
      </c>
      <c r="I104" s="67">
        <v>224</v>
      </c>
      <c r="J104" s="68">
        <v>214</v>
      </c>
      <c r="K104" s="68">
        <v>3.89090909090909</v>
      </c>
      <c r="L104" s="69">
        <v>29582.74</v>
      </c>
      <c r="M104" s="68">
        <v>2</v>
      </c>
      <c r="N104" s="67">
        <v>567</v>
      </c>
      <c r="O104" s="68">
        <v>1924.42</v>
      </c>
    </row>
    <row r="105" spans="1:15">
      <c r="A105" t="s">
        <v>172</v>
      </c>
      <c r="B105" t="s">
        <v>131</v>
      </c>
      <c r="C105" s="63" t="s">
        <v>82</v>
      </c>
      <c r="D105" s="63" t="s">
        <v>83</v>
      </c>
      <c r="E105" s="63" t="s">
        <v>8</v>
      </c>
      <c r="F105" s="63" t="s">
        <v>164</v>
      </c>
      <c r="G105" s="66" t="s">
        <v>159</v>
      </c>
      <c r="H105" s="67">
        <v>56</v>
      </c>
      <c r="I105" s="67">
        <v>126</v>
      </c>
      <c r="J105" s="68">
        <v>115.4</v>
      </c>
      <c r="K105" s="68">
        <v>2.06071428571429</v>
      </c>
      <c r="L105" s="69">
        <v>15043.35</v>
      </c>
      <c r="M105" s="68">
        <v>0</v>
      </c>
      <c r="N105" s="67">
        <v>340</v>
      </c>
      <c r="O105" s="68">
        <v>829.22</v>
      </c>
    </row>
    <row r="106" spans="1:15">
      <c r="A106" t="s">
        <v>172</v>
      </c>
      <c r="B106" t="s">
        <v>131</v>
      </c>
      <c r="C106" s="63" t="s">
        <v>82</v>
      </c>
      <c r="D106" s="63" t="s">
        <v>83</v>
      </c>
      <c r="E106" s="63" t="s">
        <v>6</v>
      </c>
      <c r="F106" s="63" t="s">
        <v>165</v>
      </c>
      <c r="G106" s="66" t="s">
        <v>159</v>
      </c>
      <c r="H106" s="67">
        <v>70</v>
      </c>
      <c r="I106" s="67">
        <v>168</v>
      </c>
      <c r="J106" s="68">
        <v>164.2</v>
      </c>
      <c r="K106" s="68">
        <v>2.34571428571429</v>
      </c>
      <c r="L106" s="69">
        <v>22554.12</v>
      </c>
      <c r="M106" s="68">
        <v>2</v>
      </c>
      <c r="N106" s="67">
        <v>480</v>
      </c>
      <c r="O106" s="68">
        <v>1264.54000000001</v>
      </c>
    </row>
    <row r="107" spans="1:15">
      <c r="A107" t="s">
        <v>174</v>
      </c>
      <c r="B107" t="s">
        <v>131</v>
      </c>
      <c r="C107" s="63" t="s">
        <v>82</v>
      </c>
      <c r="D107" s="63" t="s">
        <v>83</v>
      </c>
      <c r="E107" s="63" t="s">
        <v>3</v>
      </c>
      <c r="F107" s="63" t="s">
        <v>158</v>
      </c>
      <c r="G107" s="66" t="s">
        <v>159</v>
      </c>
      <c r="H107" s="67">
        <v>53</v>
      </c>
      <c r="I107" s="67">
        <v>212</v>
      </c>
      <c r="J107" s="68">
        <v>199.8</v>
      </c>
      <c r="K107" s="68">
        <v>3.76981132075472</v>
      </c>
      <c r="L107" s="69">
        <v>29025.1</v>
      </c>
      <c r="M107" s="68">
        <v>3.7</v>
      </c>
      <c r="N107" s="67">
        <v>635</v>
      </c>
      <c r="O107" s="68">
        <v>2438.16999999999</v>
      </c>
    </row>
    <row r="108" spans="1:15">
      <c r="A108" t="s">
        <v>174</v>
      </c>
      <c r="B108" t="s">
        <v>131</v>
      </c>
      <c r="C108" s="63" t="s">
        <v>82</v>
      </c>
      <c r="D108" s="63" t="s">
        <v>83</v>
      </c>
      <c r="E108" s="63" t="s">
        <v>9</v>
      </c>
      <c r="F108" s="63" t="s">
        <v>160</v>
      </c>
      <c r="G108" s="66" t="s">
        <v>159</v>
      </c>
      <c r="H108" s="67">
        <v>57</v>
      </c>
      <c r="I108" s="67">
        <v>202</v>
      </c>
      <c r="J108" s="68">
        <v>194.2</v>
      </c>
      <c r="K108" s="68">
        <v>3.40701754385965</v>
      </c>
      <c r="L108" s="69">
        <v>26528.68</v>
      </c>
      <c r="M108" s="68">
        <v>0</v>
      </c>
      <c r="N108" s="67">
        <v>590</v>
      </c>
      <c r="O108" s="68">
        <v>2140.81</v>
      </c>
    </row>
    <row r="109" spans="1:15">
      <c r="A109" t="s">
        <v>174</v>
      </c>
      <c r="B109" t="s">
        <v>131</v>
      </c>
      <c r="C109" s="63" t="s">
        <v>82</v>
      </c>
      <c r="D109" s="63" t="s">
        <v>83</v>
      </c>
      <c r="E109" s="63" t="s">
        <v>5</v>
      </c>
      <c r="F109" s="63" t="s">
        <v>161</v>
      </c>
      <c r="G109" s="66" t="s">
        <v>159</v>
      </c>
      <c r="H109" s="67">
        <v>48</v>
      </c>
      <c r="I109" s="67">
        <v>234</v>
      </c>
      <c r="J109" s="68">
        <v>227.2</v>
      </c>
      <c r="K109" s="68">
        <v>4.73333333333333</v>
      </c>
      <c r="L109" s="69">
        <v>29232.31</v>
      </c>
      <c r="M109" s="68">
        <v>1.4</v>
      </c>
      <c r="N109" s="67">
        <v>727</v>
      </c>
      <c r="O109" s="68">
        <v>1872.08000000001</v>
      </c>
    </row>
    <row r="110" spans="1:15">
      <c r="A110" t="s">
        <v>174</v>
      </c>
      <c r="B110" t="s">
        <v>131</v>
      </c>
      <c r="C110" s="63" t="s">
        <v>82</v>
      </c>
      <c r="D110" s="63" t="s">
        <v>83</v>
      </c>
      <c r="E110" s="63" t="s">
        <v>4</v>
      </c>
      <c r="F110" s="63" t="s">
        <v>162</v>
      </c>
      <c r="G110" s="66" t="s">
        <v>159</v>
      </c>
      <c r="H110" s="67">
        <v>36</v>
      </c>
      <c r="I110" s="67">
        <v>94</v>
      </c>
      <c r="J110" s="68">
        <v>85.7</v>
      </c>
      <c r="K110" s="68">
        <v>2.38055555555556</v>
      </c>
      <c r="L110" s="69">
        <v>11065.12</v>
      </c>
      <c r="M110" s="68">
        <v>8</v>
      </c>
      <c r="N110" s="67">
        <v>247</v>
      </c>
      <c r="O110" s="68">
        <v>1442.46</v>
      </c>
    </row>
    <row r="111" spans="1:15">
      <c r="A111" t="s">
        <v>174</v>
      </c>
      <c r="B111" t="s">
        <v>131</v>
      </c>
      <c r="C111" s="63" t="s">
        <v>82</v>
      </c>
      <c r="D111" s="63" t="s">
        <v>83</v>
      </c>
      <c r="E111" s="63" t="s">
        <v>7</v>
      </c>
      <c r="F111" s="63" t="s">
        <v>163</v>
      </c>
      <c r="G111" s="66" t="s">
        <v>159</v>
      </c>
      <c r="H111" s="67">
        <v>55</v>
      </c>
      <c r="I111" s="67">
        <v>238</v>
      </c>
      <c r="J111" s="68">
        <v>226.5</v>
      </c>
      <c r="K111" s="68">
        <v>4.11818181818182</v>
      </c>
      <c r="L111" s="69">
        <v>30741.08</v>
      </c>
      <c r="M111" s="68">
        <v>2</v>
      </c>
      <c r="N111" s="67">
        <v>619</v>
      </c>
      <c r="O111" s="68">
        <v>2075.58000000002</v>
      </c>
    </row>
    <row r="112" spans="1:15">
      <c r="A112" t="s">
        <v>174</v>
      </c>
      <c r="B112" t="s">
        <v>131</v>
      </c>
      <c r="C112" s="63" t="s">
        <v>82</v>
      </c>
      <c r="D112" s="63" t="s">
        <v>83</v>
      </c>
      <c r="E112" s="63" t="s">
        <v>8</v>
      </c>
      <c r="F112" s="63" t="s">
        <v>164</v>
      </c>
      <c r="G112" s="66" t="s">
        <v>159</v>
      </c>
      <c r="H112" s="67">
        <v>56</v>
      </c>
      <c r="I112" s="67">
        <v>156</v>
      </c>
      <c r="J112" s="68">
        <v>143.4</v>
      </c>
      <c r="K112" s="68">
        <v>2.56071428571429</v>
      </c>
      <c r="L112" s="69">
        <v>17894.18</v>
      </c>
      <c r="M112" s="68">
        <v>0</v>
      </c>
      <c r="N112" s="67">
        <v>419</v>
      </c>
      <c r="O112" s="68">
        <v>725.1</v>
      </c>
    </row>
    <row r="113" spans="1:15">
      <c r="A113" t="s">
        <v>174</v>
      </c>
      <c r="B113" t="s">
        <v>131</v>
      </c>
      <c r="C113" s="63" t="s">
        <v>82</v>
      </c>
      <c r="D113" s="63" t="s">
        <v>83</v>
      </c>
      <c r="E113" s="63" t="s">
        <v>6</v>
      </c>
      <c r="F113" s="63" t="s">
        <v>165</v>
      </c>
      <c r="G113" s="66" t="s">
        <v>159</v>
      </c>
      <c r="H113" s="67">
        <v>70</v>
      </c>
      <c r="I113" s="67">
        <v>209</v>
      </c>
      <c r="J113" s="68">
        <v>204.9</v>
      </c>
      <c r="K113" s="68">
        <v>2.92714285714286</v>
      </c>
      <c r="L113" s="69">
        <v>24717.86</v>
      </c>
      <c r="M113" s="68">
        <v>2</v>
      </c>
      <c r="N113" s="67">
        <v>598</v>
      </c>
      <c r="O113" s="68">
        <v>1352.52</v>
      </c>
    </row>
    <row r="114" spans="1:15">
      <c r="A114" t="s">
        <v>176</v>
      </c>
      <c r="B114" t="s">
        <v>131</v>
      </c>
      <c r="C114" s="63" t="s">
        <v>82</v>
      </c>
      <c r="D114" s="63" t="s">
        <v>83</v>
      </c>
      <c r="E114" s="63" t="s">
        <v>3</v>
      </c>
      <c r="F114" s="63" t="s">
        <v>158</v>
      </c>
      <c r="G114" s="66" t="s">
        <v>148</v>
      </c>
      <c r="H114" s="67">
        <v>53</v>
      </c>
      <c r="I114" s="67">
        <v>251</v>
      </c>
      <c r="J114" s="68">
        <v>243</v>
      </c>
      <c r="K114" s="68">
        <v>4.58490566037736</v>
      </c>
      <c r="L114" s="69">
        <v>38544.02</v>
      </c>
      <c r="M114" s="68">
        <v>3.8</v>
      </c>
      <c r="N114" s="67">
        <v>768</v>
      </c>
      <c r="O114" s="68">
        <v>2730.61</v>
      </c>
    </row>
    <row r="115" spans="1:15">
      <c r="A115" t="s">
        <v>176</v>
      </c>
      <c r="B115" t="s">
        <v>131</v>
      </c>
      <c r="C115" s="63" t="s">
        <v>82</v>
      </c>
      <c r="D115" s="63" t="s">
        <v>83</v>
      </c>
      <c r="E115" s="63" t="s">
        <v>9</v>
      </c>
      <c r="F115" s="63" t="s">
        <v>160</v>
      </c>
      <c r="G115" s="66" t="s">
        <v>148</v>
      </c>
      <c r="H115" s="67">
        <v>57</v>
      </c>
      <c r="I115" s="67">
        <v>253</v>
      </c>
      <c r="J115" s="68">
        <v>243.7</v>
      </c>
      <c r="K115" s="68">
        <v>4.27543859649123</v>
      </c>
      <c r="L115" s="69">
        <v>32629.74</v>
      </c>
      <c r="M115" s="68">
        <v>0</v>
      </c>
      <c r="N115" s="67">
        <v>749</v>
      </c>
      <c r="O115" s="68">
        <v>2495.47</v>
      </c>
    </row>
    <row r="116" spans="1:15">
      <c r="A116" t="s">
        <v>176</v>
      </c>
      <c r="B116" t="s">
        <v>131</v>
      </c>
      <c r="C116" s="63" t="s">
        <v>82</v>
      </c>
      <c r="D116" s="63" t="s">
        <v>83</v>
      </c>
      <c r="E116" s="63" t="s">
        <v>5</v>
      </c>
      <c r="F116" s="63" t="s">
        <v>161</v>
      </c>
      <c r="G116" s="66" t="s">
        <v>148</v>
      </c>
      <c r="H116" s="67">
        <v>48</v>
      </c>
      <c r="I116" s="67">
        <v>305</v>
      </c>
      <c r="J116" s="68">
        <v>296.3</v>
      </c>
      <c r="K116" s="68">
        <v>6.17291666666667</v>
      </c>
      <c r="L116" s="69">
        <v>33315.44</v>
      </c>
      <c r="M116" s="68">
        <v>7</v>
      </c>
      <c r="N116" s="67">
        <v>934</v>
      </c>
      <c r="O116" s="68">
        <v>2702.44999999999</v>
      </c>
    </row>
    <row r="117" spans="1:15">
      <c r="A117" t="s">
        <v>176</v>
      </c>
      <c r="B117" t="s">
        <v>131</v>
      </c>
      <c r="C117" s="63" t="s">
        <v>82</v>
      </c>
      <c r="D117" s="63" t="s">
        <v>83</v>
      </c>
      <c r="E117" s="63" t="s">
        <v>4</v>
      </c>
      <c r="F117" s="63" t="s">
        <v>162</v>
      </c>
      <c r="G117" s="66" t="s">
        <v>148</v>
      </c>
      <c r="H117" s="67">
        <v>36</v>
      </c>
      <c r="I117" s="67">
        <v>145</v>
      </c>
      <c r="J117" s="68">
        <v>133.6</v>
      </c>
      <c r="K117" s="68">
        <v>3.71111111111111</v>
      </c>
      <c r="L117" s="69">
        <v>19633.15</v>
      </c>
      <c r="M117" s="68">
        <v>0</v>
      </c>
      <c r="N117" s="67">
        <v>452</v>
      </c>
      <c r="O117" s="68">
        <v>2241.74999999999</v>
      </c>
    </row>
    <row r="118" spans="1:15">
      <c r="A118" t="s">
        <v>176</v>
      </c>
      <c r="B118" t="s">
        <v>131</v>
      </c>
      <c r="C118" s="63" t="s">
        <v>82</v>
      </c>
      <c r="D118" s="63" t="s">
        <v>83</v>
      </c>
      <c r="E118" s="63" t="s">
        <v>7</v>
      </c>
      <c r="F118" s="63" t="s">
        <v>163</v>
      </c>
      <c r="G118" s="66" t="s">
        <v>148</v>
      </c>
      <c r="H118" s="67">
        <v>55</v>
      </c>
      <c r="I118" s="67">
        <v>326</v>
      </c>
      <c r="J118" s="68">
        <v>316.7</v>
      </c>
      <c r="K118" s="68">
        <v>5.75818181818182</v>
      </c>
      <c r="L118" s="69">
        <v>39631.54</v>
      </c>
      <c r="M118" s="68">
        <v>1</v>
      </c>
      <c r="N118" s="67">
        <v>851</v>
      </c>
      <c r="O118" s="68">
        <v>3027.60000000002</v>
      </c>
    </row>
    <row r="119" spans="1:15">
      <c r="A119" t="s">
        <v>176</v>
      </c>
      <c r="B119" t="s">
        <v>131</v>
      </c>
      <c r="C119" s="63" t="s">
        <v>82</v>
      </c>
      <c r="D119" s="63" t="s">
        <v>83</v>
      </c>
      <c r="E119" s="63" t="s">
        <v>8</v>
      </c>
      <c r="F119" s="63" t="s">
        <v>164</v>
      </c>
      <c r="G119" s="66" t="s">
        <v>148</v>
      </c>
      <c r="H119" s="67">
        <v>56</v>
      </c>
      <c r="I119" s="67">
        <v>220</v>
      </c>
      <c r="J119" s="68">
        <v>202.4</v>
      </c>
      <c r="K119" s="68">
        <v>3.61428571428571</v>
      </c>
      <c r="L119" s="69">
        <v>25807.25</v>
      </c>
      <c r="M119" s="68">
        <v>0</v>
      </c>
      <c r="N119" s="67">
        <v>639</v>
      </c>
      <c r="O119" s="68">
        <v>1476.86</v>
      </c>
    </row>
    <row r="120" spans="1:15">
      <c r="A120" t="s">
        <v>176</v>
      </c>
      <c r="B120" t="s">
        <v>131</v>
      </c>
      <c r="C120" s="63" t="s">
        <v>82</v>
      </c>
      <c r="D120" s="63" t="s">
        <v>83</v>
      </c>
      <c r="E120" s="63" t="s">
        <v>6</v>
      </c>
      <c r="F120" s="63" t="s">
        <v>165</v>
      </c>
      <c r="G120" s="66" t="s">
        <v>148</v>
      </c>
      <c r="H120" s="67">
        <v>70</v>
      </c>
      <c r="I120" s="67">
        <v>324</v>
      </c>
      <c r="J120" s="68">
        <v>312.6</v>
      </c>
      <c r="K120" s="68">
        <v>4.46571428571429</v>
      </c>
      <c r="L120" s="69">
        <v>37612.26</v>
      </c>
      <c r="M120" s="68">
        <v>5</v>
      </c>
      <c r="N120" s="67">
        <v>1001</v>
      </c>
      <c r="O120" s="68">
        <v>2194.09000000001</v>
      </c>
    </row>
    <row r="121" spans="1:15">
      <c r="A121" t="s">
        <v>178</v>
      </c>
      <c r="B121" t="s">
        <v>131</v>
      </c>
      <c r="C121" s="63" t="s">
        <v>82</v>
      </c>
      <c r="D121" s="63" t="s">
        <v>83</v>
      </c>
      <c r="E121" s="63" t="s">
        <v>3</v>
      </c>
      <c r="F121" s="63" t="s">
        <v>158</v>
      </c>
      <c r="G121" s="66" t="s">
        <v>148</v>
      </c>
      <c r="H121" s="67">
        <v>53</v>
      </c>
      <c r="I121" s="67">
        <v>261</v>
      </c>
      <c r="J121" s="68">
        <v>253.1</v>
      </c>
      <c r="K121" s="68">
        <v>4.77547169811321</v>
      </c>
      <c r="L121" s="69">
        <v>43353.09</v>
      </c>
      <c r="M121" s="68">
        <v>3.8</v>
      </c>
      <c r="N121" s="67">
        <v>888</v>
      </c>
      <c r="O121" s="68">
        <v>3114.89000000002</v>
      </c>
    </row>
    <row r="122" spans="1:15">
      <c r="A122" t="s">
        <v>178</v>
      </c>
      <c r="B122" t="s">
        <v>131</v>
      </c>
      <c r="C122" s="63" t="s">
        <v>82</v>
      </c>
      <c r="D122" s="63" t="s">
        <v>83</v>
      </c>
      <c r="E122" s="63" t="s">
        <v>9</v>
      </c>
      <c r="F122" s="63" t="s">
        <v>160</v>
      </c>
      <c r="G122" s="66" t="s">
        <v>148</v>
      </c>
      <c r="H122" s="67">
        <v>57</v>
      </c>
      <c r="I122" s="67">
        <v>265</v>
      </c>
      <c r="J122" s="68">
        <v>257.4</v>
      </c>
      <c r="K122" s="68">
        <v>4.51578947368421</v>
      </c>
      <c r="L122" s="69">
        <v>39349.15</v>
      </c>
      <c r="M122" s="68">
        <v>0</v>
      </c>
      <c r="N122" s="67">
        <v>844</v>
      </c>
      <c r="O122" s="68">
        <v>3047.85</v>
      </c>
    </row>
    <row r="123" spans="1:15">
      <c r="A123" t="s">
        <v>178</v>
      </c>
      <c r="B123" t="s">
        <v>131</v>
      </c>
      <c r="C123" s="63" t="s">
        <v>82</v>
      </c>
      <c r="D123" s="63" t="s">
        <v>83</v>
      </c>
      <c r="E123" s="63" t="s">
        <v>5</v>
      </c>
      <c r="F123" s="63" t="s">
        <v>161</v>
      </c>
      <c r="G123" s="66" t="s">
        <v>148</v>
      </c>
      <c r="H123" s="67">
        <v>48</v>
      </c>
      <c r="I123" s="67">
        <v>257</v>
      </c>
      <c r="J123" s="68">
        <v>246.7</v>
      </c>
      <c r="K123" s="68">
        <v>5.13958333333333</v>
      </c>
      <c r="L123" s="69">
        <v>35592.01</v>
      </c>
      <c r="M123" s="68">
        <v>2.1</v>
      </c>
      <c r="N123" s="67">
        <v>916</v>
      </c>
      <c r="O123" s="68">
        <v>2772.77</v>
      </c>
    </row>
    <row r="124" spans="1:15">
      <c r="A124" t="s">
        <v>178</v>
      </c>
      <c r="B124" t="s">
        <v>131</v>
      </c>
      <c r="C124" s="63" t="s">
        <v>82</v>
      </c>
      <c r="D124" s="63" t="s">
        <v>83</v>
      </c>
      <c r="E124" s="63" t="s">
        <v>4</v>
      </c>
      <c r="F124" s="63" t="s">
        <v>162</v>
      </c>
      <c r="G124" s="66" t="s">
        <v>148</v>
      </c>
      <c r="H124" s="67">
        <v>36</v>
      </c>
      <c r="I124" s="67">
        <v>141</v>
      </c>
      <c r="J124" s="68">
        <v>134.7</v>
      </c>
      <c r="K124" s="68">
        <v>3.74166666666667</v>
      </c>
      <c r="L124" s="69">
        <v>23573.44</v>
      </c>
      <c r="M124" s="68">
        <v>10</v>
      </c>
      <c r="N124" s="67">
        <v>445</v>
      </c>
      <c r="O124" s="68">
        <v>1491.61</v>
      </c>
    </row>
    <row r="125" spans="1:15">
      <c r="A125" t="s">
        <v>178</v>
      </c>
      <c r="B125" t="s">
        <v>131</v>
      </c>
      <c r="C125" s="63" t="s">
        <v>82</v>
      </c>
      <c r="D125" s="63" t="s">
        <v>83</v>
      </c>
      <c r="E125" s="63" t="s">
        <v>7</v>
      </c>
      <c r="F125" s="63" t="s">
        <v>163</v>
      </c>
      <c r="G125" s="66" t="s">
        <v>148</v>
      </c>
      <c r="H125" s="67">
        <v>55</v>
      </c>
      <c r="I125" s="67">
        <v>312</v>
      </c>
      <c r="J125" s="68">
        <v>302.2</v>
      </c>
      <c r="K125" s="68">
        <v>5.49454545454545</v>
      </c>
      <c r="L125" s="69">
        <v>43201.58</v>
      </c>
      <c r="M125" s="68">
        <v>0</v>
      </c>
      <c r="N125" s="67">
        <v>873</v>
      </c>
      <c r="O125" s="68">
        <v>2420.92000000001</v>
      </c>
    </row>
    <row r="126" spans="1:15">
      <c r="A126" t="s">
        <v>178</v>
      </c>
      <c r="B126" t="s">
        <v>131</v>
      </c>
      <c r="C126" s="63" t="s">
        <v>82</v>
      </c>
      <c r="D126" s="63" t="s">
        <v>83</v>
      </c>
      <c r="E126" s="63" t="s">
        <v>8</v>
      </c>
      <c r="F126" s="63" t="s">
        <v>164</v>
      </c>
      <c r="G126" s="66" t="s">
        <v>148</v>
      </c>
      <c r="H126" s="67">
        <v>56</v>
      </c>
      <c r="I126" s="67">
        <v>261</v>
      </c>
      <c r="J126" s="68">
        <v>238.8</v>
      </c>
      <c r="K126" s="68">
        <v>4.26428571428571</v>
      </c>
      <c r="L126" s="69">
        <v>31135.7</v>
      </c>
      <c r="M126" s="68">
        <v>0</v>
      </c>
      <c r="N126" s="67">
        <v>767</v>
      </c>
      <c r="O126" s="68">
        <v>2074.01</v>
      </c>
    </row>
    <row r="127" spans="1:15">
      <c r="A127" t="s">
        <v>178</v>
      </c>
      <c r="B127" t="s">
        <v>131</v>
      </c>
      <c r="C127" s="63" t="s">
        <v>82</v>
      </c>
      <c r="D127" s="63" t="s">
        <v>83</v>
      </c>
      <c r="E127" s="63" t="s">
        <v>6</v>
      </c>
      <c r="F127" s="63" t="s">
        <v>165</v>
      </c>
      <c r="G127" s="66" t="s">
        <v>148</v>
      </c>
      <c r="H127" s="67">
        <v>70</v>
      </c>
      <c r="I127" s="67">
        <v>331</v>
      </c>
      <c r="J127" s="68">
        <v>322.9</v>
      </c>
      <c r="K127" s="68">
        <v>4.61285714285714</v>
      </c>
      <c r="L127" s="69">
        <v>46120.26</v>
      </c>
      <c r="M127" s="68">
        <v>4.3</v>
      </c>
      <c r="N127" s="67">
        <v>1065</v>
      </c>
      <c r="O127" s="68">
        <v>2449.78000000001</v>
      </c>
    </row>
    <row r="128" spans="1:15">
      <c r="A128" t="s">
        <v>180</v>
      </c>
      <c r="B128" t="s">
        <v>131</v>
      </c>
      <c r="C128" s="63" t="s">
        <v>82</v>
      </c>
      <c r="D128" s="63" t="s">
        <v>83</v>
      </c>
      <c r="E128" s="63" t="s">
        <v>3</v>
      </c>
      <c r="F128" s="63" t="s">
        <v>158</v>
      </c>
      <c r="G128" s="66" t="s">
        <v>148</v>
      </c>
      <c r="H128" s="67">
        <v>53</v>
      </c>
      <c r="I128" s="67">
        <v>242</v>
      </c>
      <c r="J128" s="68">
        <v>232.4</v>
      </c>
      <c r="K128" s="68">
        <v>4.38490566037736</v>
      </c>
      <c r="L128" s="69">
        <v>37171.49</v>
      </c>
      <c r="M128" s="68">
        <v>2.7</v>
      </c>
      <c r="N128" s="67">
        <v>805</v>
      </c>
      <c r="O128" s="68">
        <v>2897.21</v>
      </c>
    </row>
    <row r="129" spans="1:15">
      <c r="A129" t="s">
        <v>180</v>
      </c>
      <c r="B129" t="s">
        <v>131</v>
      </c>
      <c r="C129" s="63" t="s">
        <v>82</v>
      </c>
      <c r="D129" s="63" t="s">
        <v>83</v>
      </c>
      <c r="E129" s="63" t="s">
        <v>9</v>
      </c>
      <c r="F129" s="63" t="s">
        <v>160</v>
      </c>
      <c r="G129" s="66" t="s">
        <v>148</v>
      </c>
      <c r="H129" s="67">
        <v>57</v>
      </c>
      <c r="I129" s="67">
        <v>197</v>
      </c>
      <c r="J129" s="68">
        <v>189.4</v>
      </c>
      <c r="K129" s="68">
        <v>3.32280701754386</v>
      </c>
      <c r="L129" s="69">
        <v>29227.43</v>
      </c>
      <c r="M129" s="68">
        <v>1</v>
      </c>
      <c r="N129" s="67">
        <v>659</v>
      </c>
      <c r="O129" s="68">
        <v>2537.63</v>
      </c>
    </row>
    <row r="130" spans="1:15">
      <c r="A130" t="s">
        <v>180</v>
      </c>
      <c r="B130" t="s">
        <v>131</v>
      </c>
      <c r="C130" s="63" t="s">
        <v>82</v>
      </c>
      <c r="D130" s="63" t="s">
        <v>83</v>
      </c>
      <c r="E130" s="63" t="s">
        <v>5</v>
      </c>
      <c r="F130" s="63" t="s">
        <v>161</v>
      </c>
      <c r="G130" s="66" t="s">
        <v>148</v>
      </c>
      <c r="H130" s="67">
        <v>48</v>
      </c>
      <c r="I130" s="67">
        <v>291</v>
      </c>
      <c r="J130" s="68">
        <v>285.7</v>
      </c>
      <c r="K130" s="68">
        <v>5.95208333333333</v>
      </c>
      <c r="L130" s="69">
        <v>42957.76</v>
      </c>
      <c r="M130" s="68">
        <v>2.1</v>
      </c>
      <c r="N130" s="67">
        <v>1054</v>
      </c>
      <c r="O130" s="68">
        <v>2470.34999999998</v>
      </c>
    </row>
    <row r="131" spans="1:15">
      <c r="A131" t="s">
        <v>180</v>
      </c>
      <c r="B131" t="s">
        <v>131</v>
      </c>
      <c r="C131" s="63" t="s">
        <v>82</v>
      </c>
      <c r="D131" s="63" t="s">
        <v>83</v>
      </c>
      <c r="E131" s="63" t="s">
        <v>4</v>
      </c>
      <c r="F131" s="63" t="s">
        <v>162</v>
      </c>
      <c r="G131" s="66" t="s">
        <v>148</v>
      </c>
      <c r="H131" s="67">
        <v>36</v>
      </c>
      <c r="I131" s="67">
        <v>142</v>
      </c>
      <c r="J131" s="68">
        <v>136.1</v>
      </c>
      <c r="K131" s="68">
        <v>3.78055555555556</v>
      </c>
      <c r="L131" s="69">
        <v>19882.03</v>
      </c>
      <c r="M131" s="68">
        <v>15</v>
      </c>
      <c r="N131" s="67">
        <v>418</v>
      </c>
      <c r="O131" s="68">
        <v>1790.35</v>
      </c>
    </row>
    <row r="132" spans="1:15">
      <c r="A132" t="s">
        <v>180</v>
      </c>
      <c r="B132" t="s">
        <v>131</v>
      </c>
      <c r="C132" s="63" t="s">
        <v>82</v>
      </c>
      <c r="D132" s="63" t="s">
        <v>83</v>
      </c>
      <c r="E132" s="63" t="s">
        <v>7</v>
      </c>
      <c r="F132" s="63" t="s">
        <v>163</v>
      </c>
      <c r="G132" s="66" t="s">
        <v>148</v>
      </c>
      <c r="H132" s="67">
        <v>55</v>
      </c>
      <c r="I132" s="67">
        <v>290</v>
      </c>
      <c r="J132" s="68">
        <v>279.9</v>
      </c>
      <c r="K132" s="68">
        <v>5.08909090909091</v>
      </c>
      <c r="L132" s="69">
        <v>39906.66</v>
      </c>
      <c r="M132" s="68">
        <v>2</v>
      </c>
      <c r="N132" s="67">
        <v>803</v>
      </c>
      <c r="O132" s="68">
        <v>2412.94</v>
      </c>
    </row>
    <row r="133" spans="1:15">
      <c r="A133" t="s">
        <v>180</v>
      </c>
      <c r="B133" t="s">
        <v>131</v>
      </c>
      <c r="C133" s="63" t="s">
        <v>82</v>
      </c>
      <c r="D133" s="63" t="s">
        <v>83</v>
      </c>
      <c r="E133" s="63" t="s">
        <v>8</v>
      </c>
      <c r="F133" s="63" t="s">
        <v>164</v>
      </c>
      <c r="G133" s="66" t="s">
        <v>148</v>
      </c>
      <c r="H133" s="67">
        <v>56</v>
      </c>
      <c r="I133" s="67">
        <v>205</v>
      </c>
      <c r="J133" s="68">
        <v>185.6</v>
      </c>
      <c r="K133" s="68">
        <v>3.31428571428571</v>
      </c>
      <c r="L133" s="69">
        <v>25350.32</v>
      </c>
      <c r="M133" s="68">
        <v>0</v>
      </c>
      <c r="N133" s="67">
        <v>653</v>
      </c>
      <c r="O133" s="68">
        <v>1139.37</v>
      </c>
    </row>
    <row r="134" spans="1:15">
      <c r="A134" t="s">
        <v>180</v>
      </c>
      <c r="B134" t="s">
        <v>131</v>
      </c>
      <c r="C134" s="63" t="s">
        <v>82</v>
      </c>
      <c r="D134" s="63" t="s">
        <v>83</v>
      </c>
      <c r="E134" s="63" t="s">
        <v>6</v>
      </c>
      <c r="F134" s="63" t="s">
        <v>165</v>
      </c>
      <c r="G134" s="66" t="s">
        <v>148</v>
      </c>
      <c r="H134" s="67">
        <v>70</v>
      </c>
      <c r="I134" s="67">
        <v>300</v>
      </c>
      <c r="J134" s="68">
        <v>288.8</v>
      </c>
      <c r="K134" s="68">
        <v>4.12571428571429</v>
      </c>
      <c r="L134" s="69">
        <v>43403.07</v>
      </c>
      <c r="M134" s="68">
        <v>3</v>
      </c>
      <c r="N134" s="67">
        <v>1000</v>
      </c>
      <c r="O134" s="68">
        <v>2286.26</v>
      </c>
    </row>
    <row r="135" spans="1:15">
      <c r="A135" t="s">
        <v>182</v>
      </c>
      <c r="B135" t="s">
        <v>131</v>
      </c>
      <c r="C135" s="63" t="s">
        <v>82</v>
      </c>
      <c r="D135" s="63" t="s">
        <v>83</v>
      </c>
      <c r="E135" s="63" t="s">
        <v>3</v>
      </c>
      <c r="F135" s="63" t="s">
        <v>158</v>
      </c>
      <c r="G135" s="66" t="s">
        <v>159</v>
      </c>
      <c r="H135" s="67">
        <v>53</v>
      </c>
      <c r="I135" s="67">
        <v>168</v>
      </c>
      <c r="J135" s="68">
        <v>158.1</v>
      </c>
      <c r="K135" s="68">
        <v>2.98301886792453</v>
      </c>
      <c r="L135" s="69">
        <v>23251.34</v>
      </c>
      <c r="M135" s="68">
        <v>0.9</v>
      </c>
      <c r="N135" s="67">
        <v>505</v>
      </c>
      <c r="O135" s="68">
        <v>1945.11</v>
      </c>
    </row>
    <row r="136" spans="1:15">
      <c r="A136" t="s">
        <v>182</v>
      </c>
      <c r="B136" t="s">
        <v>131</v>
      </c>
      <c r="C136" s="63" t="s">
        <v>82</v>
      </c>
      <c r="D136" s="63" t="s">
        <v>83</v>
      </c>
      <c r="E136" s="63" t="s">
        <v>9</v>
      </c>
      <c r="F136" s="63" t="s">
        <v>160</v>
      </c>
      <c r="G136" s="66" t="s">
        <v>159</v>
      </c>
      <c r="H136" s="67">
        <v>57</v>
      </c>
      <c r="I136" s="67">
        <v>149</v>
      </c>
      <c r="J136" s="68">
        <v>143.1</v>
      </c>
      <c r="K136" s="68">
        <v>2.51052631578947</v>
      </c>
      <c r="L136" s="69">
        <v>18523.83</v>
      </c>
      <c r="M136" s="68">
        <v>0</v>
      </c>
      <c r="N136" s="67">
        <v>421</v>
      </c>
      <c r="O136" s="68">
        <v>1553.67</v>
      </c>
    </row>
    <row r="137" spans="1:15">
      <c r="A137" t="s">
        <v>182</v>
      </c>
      <c r="B137" t="s">
        <v>131</v>
      </c>
      <c r="C137" s="63" t="s">
        <v>82</v>
      </c>
      <c r="D137" s="63" t="s">
        <v>83</v>
      </c>
      <c r="E137" s="63" t="s">
        <v>5</v>
      </c>
      <c r="F137" s="63" t="s">
        <v>161</v>
      </c>
      <c r="G137" s="66" t="s">
        <v>159</v>
      </c>
      <c r="H137" s="67">
        <v>48</v>
      </c>
      <c r="I137" s="67">
        <v>265</v>
      </c>
      <c r="J137" s="68">
        <v>255.6</v>
      </c>
      <c r="K137" s="68">
        <v>5.325</v>
      </c>
      <c r="L137" s="69">
        <v>27458.96</v>
      </c>
      <c r="M137" s="68">
        <v>2.4</v>
      </c>
      <c r="N137" s="67">
        <v>851</v>
      </c>
      <c r="O137" s="68">
        <v>2354.2</v>
      </c>
    </row>
    <row r="138" spans="1:15">
      <c r="A138" t="s">
        <v>182</v>
      </c>
      <c r="B138" t="s">
        <v>131</v>
      </c>
      <c r="C138" s="63" t="s">
        <v>82</v>
      </c>
      <c r="D138" s="63" t="s">
        <v>83</v>
      </c>
      <c r="E138" s="63" t="s">
        <v>4</v>
      </c>
      <c r="F138" s="63" t="s">
        <v>162</v>
      </c>
      <c r="G138" s="66" t="s">
        <v>159</v>
      </c>
      <c r="H138" s="67">
        <v>36</v>
      </c>
      <c r="I138" s="67">
        <v>86</v>
      </c>
      <c r="J138" s="68">
        <v>81.7</v>
      </c>
      <c r="K138" s="68">
        <v>2.26944444444444</v>
      </c>
      <c r="L138" s="69">
        <v>10295.62</v>
      </c>
      <c r="M138" s="68">
        <v>10</v>
      </c>
      <c r="N138" s="67">
        <v>224</v>
      </c>
      <c r="O138" s="68">
        <v>868.350000000001</v>
      </c>
    </row>
    <row r="139" spans="1:15">
      <c r="A139" t="s">
        <v>182</v>
      </c>
      <c r="B139" t="s">
        <v>131</v>
      </c>
      <c r="C139" s="63" t="s">
        <v>82</v>
      </c>
      <c r="D139" s="63" t="s">
        <v>83</v>
      </c>
      <c r="E139" s="63" t="s">
        <v>7</v>
      </c>
      <c r="F139" s="63" t="s">
        <v>163</v>
      </c>
      <c r="G139" s="66" t="s">
        <v>159</v>
      </c>
      <c r="H139" s="67">
        <v>55</v>
      </c>
      <c r="I139" s="67">
        <v>205</v>
      </c>
      <c r="J139" s="68">
        <v>194.5</v>
      </c>
      <c r="K139" s="68">
        <v>3.53636363636364</v>
      </c>
      <c r="L139" s="69">
        <v>26382.31</v>
      </c>
      <c r="M139" s="68">
        <v>1</v>
      </c>
      <c r="N139" s="67">
        <v>541</v>
      </c>
      <c r="O139" s="68">
        <v>1966.95</v>
      </c>
    </row>
    <row r="140" spans="1:15">
      <c r="A140" t="s">
        <v>182</v>
      </c>
      <c r="B140" t="s">
        <v>131</v>
      </c>
      <c r="C140" s="63" t="s">
        <v>82</v>
      </c>
      <c r="D140" s="63" t="s">
        <v>83</v>
      </c>
      <c r="E140" s="63" t="s">
        <v>8</v>
      </c>
      <c r="F140" s="63" t="s">
        <v>164</v>
      </c>
      <c r="G140" s="66" t="s">
        <v>159</v>
      </c>
      <c r="H140" s="67">
        <v>56</v>
      </c>
      <c r="I140" s="67">
        <v>129</v>
      </c>
      <c r="J140" s="68">
        <v>117.3</v>
      </c>
      <c r="K140" s="68">
        <v>2.09464285714286</v>
      </c>
      <c r="L140" s="69">
        <v>17162.18</v>
      </c>
      <c r="M140" s="68">
        <v>0</v>
      </c>
      <c r="N140" s="67">
        <v>390</v>
      </c>
      <c r="O140" s="68">
        <v>718.15</v>
      </c>
    </row>
    <row r="141" spans="1:15">
      <c r="A141" t="s">
        <v>182</v>
      </c>
      <c r="B141" t="s">
        <v>131</v>
      </c>
      <c r="C141" s="63" t="s">
        <v>82</v>
      </c>
      <c r="D141" s="63" t="s">
        <v>83</v>
      </c>
      <c r="E141" s="63" t="s">
        <v>6</v>
      </c>
      <c r="F141" s="63" t="s">
        <v>165</v>
      </c>
      <c r="G141" s="66" t="s">
        <v>159</v>
      </c>
      <c r="H141" s="67">
        <v>70</v>
      </c>
      <c r="I141" s="67">
        <v>204</v>
      </c>
      <c r="J141" s="68">
        <v>197.3</v>
      </c>
      <c r="K141" s="68">
        <v>2.81857142857143</v>
      </c>
      <c r="L141" s="69">
        <v>21125.83</v>
      </c>
      <c r="M141" s="68">
        <v>0</v>
      </c>
      <c r="N141" s="67">
        <v>594</v>
      </c>
      <c r="O141" s="68">
        <v>1393.55</v>
      </c>
    </row>
    <row r="142" spans="1:15">
      <c r="A142" t="s">
        <v>184</v>
      </c>
      <c r="B142" t="s">
        <v>131</v>
      </c>
      <c r="C142" s="63" t="s">
        <v>82</v>
      </c>
      <c r="D142" s="63" t="s">
        <v>83</v>
      </c>
      <c r="E142" s="63" t="s">
        <v>3</v>
      </c>
      <c r="F142" s="63" t="s">
        <v>158</v>
      </c>
      <c r="G142" s="66" t="s">
        <v>159</v>
      </c>
      <c r="H142" s="67">
        <v>53</v>
      </c>
      <c r="I142" s="67">
        <v>199</v>
      </c>
      <c r="J142" s="68">
        <v>188.8</v>
      </c>
      <c r="K142" s="68">
        <v>3.5622641509434</v>
      </c>
      <c r="L142" s="69">
        <v>26146.64</v>
      </c>
      <c r="M142" s="68">
        <v>2.7</v>
      </c>
      <c r="N142" s="67">
        <v>601</v>
      </c>
      <c r="O142" s="68">
        <v>2522.29000000001</v>
      </c>
    </row>
    <row r="143" spans="1:15">
      <c r="A143" t="s">
        <v>184</v>
      </c>
      <c r="B143" t="s">
        <v>131</v>
      </c>
      <c r="C143" s="63" t="s">
        <v>82</v>
      </c>
      <c r="D143" s="63" t="s">
        <v>83</v>
      </c>
      <c r="E143" s="63" t="s">
        <v>9</v>
      </c>
      <c r="F143" s="63" t="s">
        <v>160</v>
      </c>
      <c r="G143" s="66" t="s">
        <v>159</v>
      </c>
      <c r="H143" s="67">
        <v>57</v>
      </c>
      <c r="I143" s="67">
        <v>186</v>
      </c>
      <c r="J143" s="68">
        <v>177.2</v>
      </c>
      <c r="K143" s="68">
        <v>3.10877192982456</v>
      </c>
      <c r="L143" s="69">
        <v>23345.67</v>
      </c>
      <c r="M143" s="68">
        <v>0</v>
      </c>
      <c r="N143" s="67">
        <v>518</v>
      </c>
      <c r="O143" s="68">
        <v>1727.04</v>
      </c>
    </row>
    <row r="144" spans="1:15">
      <c r="A144" t="s">
        <v>184</v>
      </c>
      <c r="B144" t="s">
        <v>131</v>
      </c>
      <c r="C144" s="63" t="s">
        <v>82</v>
      </c>
      <c r="D144" s="63" t="s">
        <v>83</v>
      </c>
      <c r="E144" s="63" t="s">
        <v>5</v>
      </c>
      <c r="F144" s="63" t="s">
        <v>161</v>
      </c>
      <c r="G144" s="66" t="s">
        <v>159</v>
      </c>
      <c r="H144" s="67">
        <v>48</v>
      </c>
      <c r="I144" s="67">
        <v>198</v>
      </c>
      <c r="J144" s="68">
        <v>190.8</v>
      </c>
      <c r="K144" s="68">
        <v>3.975</v>
      </c>
      <c r="L144" s="69">
        <v>24057.18</v>
      </c>
      <c r="M144" s="68">
        <v>1</v>
      </c>
      <c r="N144" s="67">
        <v>600</v>
      </c>
      <c r="O144" s="68">
        <v>1908.88000000001</v>
      </c>
    </row>
    <row r="145" spans="1:15">
      <c r="A145" t="s">
        <v>184</v>
      </c>
      <c r="B145" t="s">
        <v>131</v>
      </c>
      <c r="C145" s="63" t="s">
        <v>82</v>
      </c>
      <c r="D145" s="63" t="s">
        <v>83</v>
      </c>
      <c r="E145" s="63" t="s">
        <v>4</v>
      </c>
      <c r="F145" s="63" t="s">
        <v>162</v>
      </c>
      <c r="G145" s="66" t="s">
        <v>159</v>
      </c>
      <c r="H145" s="67">
        <v>36</v>
      </c>
      <c r="I145" s="67">
        <v>84</v>
      </c>
      <c r="J145" s="68">
        <v>76</v>
      </c>
      <c r="K145" s="68">
        <v>2.11111111111111</v>
      </c>
      <c r="L145" s="69">
        <v>10976.67</v>
      </c>
      <c r="M145" s="68">
        <v>2</v>
      </c>
      <c r="N145" s="67">
        <v>227</v>
      </c>
      <c r="O145" s="68">
        <v>1435.94</v>
      </c>
    </row>
    <row r="146" spans="1:15">
      <c r="A146" t="s">
        <v>184</v>
      </c>
      <c r="B146" t="s">
        <v>131</v>
      </c>
      <c r="C146" s="63" t="s">
        <v>82</v>
      </c>
      <c r="D146" s="63" t="s">
        <v>83</v>
      </c>
      <c r="E146" s="63" t="s">
        <v>7</v>
      </c>
      <c r="F146" s="63" t="s">
        <v>163</v>
      </c>
      <c r="G146" s="66" t="s">
        <v>159</v>
      </c>
      <c r="H146" s="67">
        <v>55</v>
      </c>
      <c r="I146" s="67">
        <v>258</v>
      </c>
      <c r="J146" s="68">
        <v>248.9</v>
      </c>
      <c r="K146" s="68">
        <v>4.52545454545455</v>
      </c>
      <c r="L146" s="69">
        <v>33014.98</v>
      </c>
      <c r="M146" s="68">
        <v>1</v>
      </c>
      <c r="N146" s="67">
        <v>701</v>
      </c>
      <c r="O146" s="68">
        <v>2288.98</v>
      </c>
    </row>
    <row r="147" spans="1:15">
      <c r="A147" t="s">
        <v>184</v>
      </c>
      <c r="B147" t="s">
        <v>131</v>
      </c>
      <c r="C147" s="63" t="s">
        <v>82</v>
      </c>
      <c r="D147" s="63" t="s">
        <v>83</v>
      </c>
      <c r="E147" s="63" t="s">
        <v>8</v>
      </c>
      <c r="F147" s="63" t="s">
        <v>164</v>
      </c>
      <c r="G147" s="66" t="s">
        <v>159</v>
      </c>
      <c r="H147" s="67">
        <v>56</v>
      </c>
      <c r="I147" s="67">
        <v>147</v>
      </c>
      <c r="J147" s="68">
        <v>136.4</v>
      </c>
      <c r="K147" s="68">
        <v>2.43571428571429</v>
      </c>
      <c r="L147" s="69">
        <v>16067.19</v>
      </c>
      <c r="M147" s="68">
        <v>0</v>
      </c>
      <c r="N147" s="67">
        <v>377</v>
      </c>
      <c r="O147" s="68">
        <v>764.16</v>
      </c>
    </row>
    <row r="148" spans="1:15">
      <c r="A148" t="s">
        <v>184</v>
      </c>
      <c r="B148" t="s">
        <v>131</v>
      </c>
      <c r="C148" s="63" t="s">
        <v>82</v>
      </c>
      <c r="D148" s="63" t="s">
        <v>83</v>
      </c>
      <c r="E148" s="63" t="s">
        <v>6</v>
      </c>
      <c r="F148" s="63" t="s">
        <v>165</v>
      </c>
      <c r="G148" s="66" t="s">
        <v>159</v>
      </c>
      <c r="H148" s="67">
        <v>70</v>
      </c>
      <c r="I148" s="67">
        <v>170</v>
      </c>
      <c r="J148" s="68">
        <v>166</v>
      </c>
      <c r="K148" s="68">
        <v>2.37142857142857</v>
      </c>
      <c r="L148" s="69">
        <v>19618.53</v>
      </c>
      <c r="M148" s="68">
        <v>0.7</v>
      </c>
      <c r="N148" s="67">
        <v>463</v>
      </c>
      <c r="O148" s="68">
        <v>1251.68</v>
      </c>
    </row>
    <row r="149" spans="3:15">
      <c r="C149" s="63"/>
      <c r="D149" s="63"/>
      <c r="E149" s="63"/>
      <c r="F149" s="63"/>
      <c r="G149" s="66"/>
      <c r="H149" s="67"/>
      <c r="I149" s="67"/>
      <c r="J149" s="68"/>
      <c r="K149" s="68"/>
      <c r="L149" s="69"/>
      <c r="M149" s="68"/>
      <c r="N149" s="67"/>
      <c r="O149" s="68"/>
    </row>
    <row r="150" spans="3:15">
      <c r="C150" s="63"/>
      <c r="D150" s="63"/>
      <c r="E150" s="63"/>
      <c r="F150" s="63"/>
      <c r="G150" s="66"/>
      <c r="H150" s="67"/>
      <c r="I150" s="67"/>
      <c r="J150" s="68"/>
      <c r="K150" s="68"/>
      <c r="L150" s="69"/>
      <c r="M150" s="68"/>
      <c r="N150" s="67"/>
      <c r="O150" s="68"/>
    </row>
    <row r="151" spans="3:15">
      <c r="C151" s="63"/>
      <c r="D151" s="63"/>
      <c r="E151" s="63"/>
      <c r="F151" s="63"/>
      <c r="G151" s="66"/>
      <c r="H151" s="67"/>
      <c r="I151" s="67"/>
      <c r="J151" s="68"/>
      <c r="K151" s="68"/>
      <c r="L151" s="69"/>
      <c r="M151" s="68"/>
      <c r="N151" s="67"/>
      <c r="O151" s="68"/>
    </row>
    <row r="152" spans="3:15">
      <c r="C152" s="63"/>
      <c r="D152" s="63"/>
      <c r="E152" s="63"/>
      <c r="F152" s="63"/>
      <c r="G152" s="66"/>
      <c r="H152" s="67"/>
      <c r="I152" s="67"/>
      <c r="J152" s="68"/>
      <c r="K152" s="68"/>
      <c r="L152" s="69"/>
      <c r="M152" s="68"/>
      <c r="N152" s="67"/>
      <c r="O152" s="68"/>
    </row>
    <row r="153" spans="3:15">
      <c r="C153" s="63"/>
      <c r="D153" s="63"/>
      <c r="E153" s="63"/>
      <c r="F153" s="63"/>
      <c r="G153" s="66"/>
      <c r="H153" s="67"/>
      <c r="I153" s="67"/>
      <c r="J153" s="68"/>
      <c r="K153" s="68"/>
      <c r="L153" s="69"/>
      <c r="M153" s="68"/>
      <c r="N153" s="67"/>
      <c r="O153" s="68"/>
    </row>
    <row r="154" spans="3:15">
      <c r="C154" s="63"/>
      <c r="D154" s="63"/>
      <c r="E154" s="63"/>
      <c r="F154" s="63"/>
      <c r="G154" s="66"/>
      <c r="H154" s="67"/>
      <c r="I154" s="67"/>
      <c r="J154" s="68"/>
      <c r="K154" s="68"/>
      <c r="L154" s="69"/>
      <c r="M154" s="68"/>
      <c r="N154" s="67"/>
      <c r="O154" s="68"/>
    </row>
    <row r="155" spans="3:15">
      <c r="C155" s="63"/>
      <c r="D155" s="63"/>
      <c r="E155" s="63"/>
      <c r="F155" s="63"/>
      <c r="G155" s="66"/>
      <c r="H155" s="67"/>
      <c r="I155" s="67"/>
      <c r="J155" s="68"/>
      <c r="K155" s="68"/>
      <c r="L155" s="69"/>
      <c r="M155" s="68"/>
      <c r="N155" s="67"/>
      <c r="O155" s="68"/>
    </row>
    <row r="156" spans="1:15">
      <c r="A156" s="63"/>
      <c r="C156" s="63"/>
      <c r="D156" s="63"/>
      <c r="E156" s="63"/>
      <c r="F156" s="63"/>
      <c r="G156" s="66"/>
      <c r="H156" s="67"/>
      <c r="I156" s="67"/>
      <c r="J156" s="68"/>
      <c r="K156" s="68"/>
      <c r="L156" s="69"/>
      <c r="M156" s="68"/>
      <c r="N156" s="67"/>
      <c r="O156" s="68"/>
    </row>
    <row r="157" spans="1:15">
      <c r="A157" s="63"/>
      <c r="C157" s="63"/>
      <c r="D157" s="63"/>
      <c r="E157" s="63"/>
      <c r="F157" s="63"/>
      <c r="G157" s="66"/>
      <c r="H157" s="67"/>
      <c r="I157" s="67"/>
      <c r="J157" s="68"/>
      <c r="K157" s="68"/>
      <c r="L157" s="69"/>
      <c r="M157" s="68"/>
      <c r="N157" s="67"/>
      <c r="O157" s="68"/>
    </row>
    <row r="158" spans="1:15">
      <c r="A158" s="63"/>
      <c r="C158" s="63"/>
      <c r="D158" s="63"/>
      <c r="E158" s="63"/>
      <c r="F158" s="63"/>
      <c r="G158" s="66"/>
      <c r="H158" s="67"/>
      <c r="I158" s="67"/>
      <c r="J158" s="68"/>
      <c r="K158" s="68"/>
      <c r="L158" s="69"/>
      <c r="M158" s="68"/>
      <c r="N158" s="67"/>
      <c r="O158" s="68"/>
    </row>
    <row r="159" spans="1:15">
      <c r="A159" s="63"/>
      <c r="C159" s="63"/>
      <c r="D159" s="63"/>
      <c r="E159" s="63"/>
      <c r="F159" s="63"/>
      <c r="G159" s="66"/>
      <c r="H159" s="67"/>
      <c r="I159" s="67"/>
      <c r="J159" s="68"/>
      <c r="K159" s="68"/>
      <c r="L159" s="69"/>
      <c r="M159" s="68"/>
      <c r="N159" s="67"/>
      <c r="O159" s="68"/>
    </row>
    <row r="160" spans="1:15">
      <c r="A160" s="63"/>
      <c r="C160" s="63"/>
      <c r="D160" s="63"/>
      <c r="E160" s="63"/>
      <c r="F160" s="63"/>
      <c r="G160" s="66"/>
      <c r="H160" s="67"/>
      <c r="I160" s="67"/>
      <c r="J160" s="68"/>
      <c r="K160" s="68"/>
      <c r="L160" s="69"/>
      <c r="M160" s="68"/>
      <c r="N160" s="67"/>
      <c r="O160" s="68"/>
    </row>
    <row r="161" spans="1:15">
      <c r="A161" s="63"/>
      <c r="C161" s="63"/>
      <c r="D161" s="63"/>
      <c r="E161" s="63"/>
      <c r="F161" s="63"/>
      <c r="G161" s="66"/>
      <c r="H161" s="67"/>
      <c r="I161" s="67"/>
      <c r="J161" s="68"/>
      <c r="K161" s="68"/>
      <c r="L161" s="69"/>
      <c r="M161" s="68"/>
      <c r="N161" s="67"/>
      <c r="O161" s="68"/>
    </row>
    <row r="162" spans="1:15">
      <c r="A162" s="63"/>
      <c r="C162" s="63"/>
      <c r="D162" s="63"/>
      <c r="E162" s="63"/>
      <c r="F162" s="63"/>
      <c r="G162" s="66"/>
      <c r="H162" s="67"/>
      <c r="I162" s="67"/>
      <c r="J162" s="68"/>
      <c r="K162" s="68"/>
      <c r="L162" s="69"/>
      <c r="M162" s="68"/>
      <c r="N162" s="67"/>
      <c r="O162" s="68"/>
    </row>
  </sheetData>
  <autoFilter xmlns:etc="http://www.wps.cn/officeDocument/2017/etCustomData" ref="A1:O155" etc:filterBottomFollowUsedRange="0">
    <extLst/>
  </autoFilter>
  <conditionalFormatting sqref="I2:J162">
    <cfRule type="cellIs" dxfId="4" priority="1" operator="equal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J42"/>
  <sheetViews>
    <sheetView workbookViewId="0">
      <selection activeCell="P29" sqref="P29"/>
    </sheetView>
  </sheetViews>
  <sheetFormatPr defaultColWidth="9" defaultRowHeight="16.8"/>
  <cols>
    <col min="1" max="1" width="17.9140625" customWidth="1"/>
    <col min="2" max="2" width="16.75" customWidth="1"/>
    <col min="3" max="3" width="6.1640625" customWidth="1"/>
    <col min="4" max="4" width="19.9140625" style="55" customWidth="1"/>
    <col min="5" max="5" width="6.1640625" customWidth="1"/>
    <col min="6" max="6" width="20.6640625" customWidth="1"/>
    <col min="7" max="8" width="23.9140625" customWidth="1"/>
  </cols>
  <sheetData>
    <row r="2" spans="1:2">
      <c r="A2" t="s">
        <v>128</v>
      </c>
      <c r="B2" t="s">
        <v>129</v>
      </c>
    </row>
    <row r="4" spans="2:4">
      <c r="B4" t="s">
        <v>130</v>
      </c>
      <c r="D4"/>
    </row>
    <row r="5" spans="2:7">
      <c r="B5" t="s">
        <v>142</v>
      </c>
      <c r="D5" t="s">
        <v>138</v>
      </c>
      <c r="F5" t="s">
        <v>136</v>
      </c>
      <c r="G5" t="s">
        <v>132</v>
      </c>
    </row>
    <row r="6" spans="1:10">
      <c r="A6" t="s">
        <v>137</v>
      </c>
      <c r="B6" t="s">
        <v>242</v>
      </c>
      <c r="C6" t="s">
        <v>243</v>
      </c>
      <c r="D6" t="s">
        <v>242</v>
      </c>
      <c r="E6" t="s">
        <v>243</v>
      </c>
      <c r="I6" s="58" t="s">
        <v>114</v>
      </c>
      <c r="J6" s="58" t="s">
        <v>115</v>
      </c>
    </row>
    <row r="7" spans="1:10">
      <c r="A7" s="56" t="s">
        <v>3</v>
      </c>
      <c r="B7">
        <v>2120</v>
      </c>
      <c r="C7">
        <v>2120</v>
      </c>
      <c r="D7">
        <v>2009.9</v>
      </c>
      <c r="E7">
        <v>2382</v>
      </c>
      <c r="F7">
        <v>4240</v>
      </c>
      <c r="G7">
        <v>4391.9</v>
      </c>
      <c r="I7" s="59">
        <f>D7/B8</f>
        <v>3.7922641509434</v>
      </c>
      <c r="J7" s="59">
        <f>E7/C8</f>
        <v>4.49433962264151</v>
      </c>
    </row>
    <row r="8" spans="1:10">
      <c r="A8" s="57" t="s">
        <v>116</v>
      </c>
      <c r="B8">
        <v>530</v>
      </c>
      <c r="C8">
        <v>530</v>
      </c>
      <c r="D8">
        <v>382.9</v>
      </c>
      <c r="E8">
        <v>433</v>
      </c>
      <c r="F8">
        <v>1060</v>
      </c>
      <c r="G8">
        <v>815.9</v>
      </c>
      <c r="I8" s="60">
        <f>D8/B8</f>
        <v>0.722452830188679</v>
      </c>
      <c r="J8" s="60">
        <f>E8/C8</f>
        <v>0.816981132075472</v>
      </c>
    </row>
    <row r="9" spans="1:10">
      <c r="A9" s="57" t="s">
        <v>117</v>
      </c>
      <c r="B9">
        <v>530</v>
      </c>
      <c r="C9">
        <v>530</v>
      </c>
      <c r="D9">
        <v>245.5</v>
      </c>
      <c r="E9">
        <v>304</v>
      </c>
      <c r="F9">
        <v>1060</v>
      </c>
      <c r="G9">
        <v>549.5</v>
      </c>
      <c r="I9" s="60">
        <f t="shared" ref="I9:I11" si="0">D9/B9</f>
        <v>0.463207547169811</v>
      </c>
      <c r="J9" s="60">
        <f t="shared" ref="J9:J11" si="1">E9/C9</f>
        <v>0.573584905660377</v>
      </c>
    </row>
    <row r="10" spans="1:10">
      <c r="A10" s="57" t="s">
        <v>118</v>
      </c>
      <c r="B10">
        <v>530</v>
      </c>
      <c r="C10">
        <v>530</v>
      </c>
      <c r="D10">
        <v>980.8</v>
      </c>
      <c r="E10">
        <v>1135</v>
      </c>
      <c r="F10">
        <v>1060</v>
      </c>
      <c r="G10">
        <v>2115.8</v>
      </c>
      <c r="I10" s="60">
        <f t="shared" si="0"/>
        <v>1.85056603773585</v>
      </c>
      <c r="J10" s="60">
        <f t="shared" si="1"/>
        <v>2.14150943396226</v>
      </c>
    </row>
    <row r="11" spans="1:10">
      <c r="A11" s="57" t="s">
        <v>119</v>
      </c>
      <c r="B11">
        <v>530</v>
      </c>
      <c r="C11">
        <v>530</v>
      </c>
      <c r="D11">
        <v>400.7</v>
      </c>
      <c r="E11">
        <v>510</v>
      </c>
      <c r="F11">
        <v>1060</v>
      </c>
      <c r="G11">
        <v>910.7</v>
      </c>
      <c r="I11" s="60">
        <f t="shared" si="0"/>
        <v>0.756037735849056</v>
      </c>
      <c r="J11" s="60">
        <f t="shared" si="1"/>
        <v>0.962264150943396</v>
      </c>
    </row>
    <row r="12" spans="1:10">
      <c r="A12" s="56" t="s">
        <v>4</v>
      </c>
      <c r="B12">
        <v>1440</v>
      </c>
      <c r="C12">
        <v>1440</v>
      </c>
      <c r="D12">
        <v>1032.7</v>
      </c>
      <c r="E12">
        <v>1224</v>
      </c>
      <c r="F12">
        <v>2880</v>
      </c>
      <c r="G12">
        <v>2256.7</v>
      </c>
      <c r="I12" s="59">
        <f>D12/B13</f>
        <v>2.86861111111111</v>
      </c>
      <c r="J12" s="59">
        <f>E12/C13</f>
        <v>3.4</v>
      </c>
    </row>
    <row r="13" spans="1:10">
      <c r="A13" s="57" t="s">
        <v>116</v>
      </c>
      <c r="B13">
        <v>360</v>
      </c>
      <c r="C13">
        <v>360</v>
      </c>
      <c r="D13">
        <v>185.7</v>
      </c>
      <c r="E13">
        <v>250</v>
      </c>
      <c r="F13">
        <v>720</v>
      </c>
      <c r="G13">
        <v>435.7</v>
      </c>
      <c r="I13" s="60">
        <f>D13/B13</f>
        <v>0.515833333333333</v>
      </c>
      <c r="J13" s="60">
        <f>E13/C13</f>
        <v>0.694444444444444</v>
      </c>
    </row>
    <row r="14" spans="1:10">
      <c r="A14" s="57" t="s">
        <v>117</v>
      </c>
      <c r="B14">
        <v>360</v>
      </c>
      <c r="C14">
        <v>360</v>
      </c>
      <c r="D14">
        <v>147.1</v>
      </c>
      <c r="E14">
        <v>162</v>
      </c>
      <c r="F14">
        <v>720</v>
      </c>
      <c r="G14">
        <v>309.1</v>
      </c>
      <c r="I14" s="60">
        <f t="shared" ref="I14:I16" si="2">D14/B14</f>
        <v>0.408611111111111</v>
      </c>
      <c r="J14" s="60">
        <f t="shared" ref="J14:J16" si="3">E14/C14</f>
        <v>0.45</v>
      </c>
    </row>
    <row r="15" spans="1:10">
      <c r="A15" s="57" t="s">
        <v>118</v>
      </c>
      <c r="B15">
        <v>360</v>
      </c>
      <c r="C15">
        <v>360</v>
      </c>
      <c r="D15">
        <v>551.3</v>
      </c>
      <c r="E15">
        <v>673</v>
      </c>
      <c r="F15">
        <v>720</v>
      </c>
      <c r="G15">
        <v>1224.3</v>
      </c>
      <c r="I15" s="60">
        <f t="shared" si="2"/>
        <v>1.53138888888889</v>
      </c>
      <c r="J15" s="60">
        <f t="shared" si="3"/>
        <v>1.86944444444444</v>
      </c>
    </row>
    <row r="16" spans="1:10">
      <c r="A16" s="57" t="s">
        <v>119</v>
      </c>
      <c r="B16">
        <v>360</v>
      </c>
      <c r="C16">
        <v>360</v>
      </c>
      <c r="D16">
        <v>148.6</v>
      </c>
      <c r="E16">
        <v>139</v>
      </c>
      <c r="F16">
        <v>720</v>
      </c>
      <c r="G16">
        <v>287.6</v>
      </c>
      <c r="I16" s="60">
        <f t="shared" si="2"/>
        <v>0.412777777777778</v>
      </c>
      <c r="J16" s="60">
        <f t="shared" si="3"/>
        <v>0.386111111111111</v>
      </c>
    </row>
    <row r="17" spans="1:10">
      <c r="A17" s="56" t="s">
        <v>5</v>
      </c>
      <c r="B17">
        <v>1920</v>
      </c>
      <c r="C17">
        <v>1920</v>
      </c>
      <c r="D17">
        <v>2339</v>
      </c>
      <c r="E17">
        <v>2856</v>
      </c>
      <c r="F17">
        <v>3840</v>
      </c>
      <c r="G17">
        <v>5195</v>
      </c>
      <c r="I17" s="59">
        <f>D17/B18</f>
        <v>4.87291666666667</v>
      </c>
      <c r="J17" s="59">
        <f>E17/C18</f>
        <v>5.95</v>
      </c>
    </row>
    <row r="18" spans="1:10">
      <c r="A18" s="57" t="s">
        <v>116</v>
      </c>
      <c r="B18">
        <v>480</v>
      </c>
      <c r="C18">
        <v>480</v>
      </c>
      <c r="D18">
        <v>506.7</v>
      </c>
      <c r="E18">
        <v>761</v>
      </c>
      <c r="F18">
        <v>960</v>
      </c>
      <c r="G18">
        <v>1267.7</v>
      </c>
      <c r="I18" s="60">
        <f>D18/B18</f>
        <v>1.055625</v>
      </c>
      <c r="J18" s="60">
        <f>E18/C18</f>
        <v>1.58541666666667</v>
      </c>
    </row>
    <row r="19" spans="1:10">
      <c r="A19" s="57" t="s">
        <v>117</v>
      </c>
      <c r="B19">
        <v>480</v>
      </c>
      <c r="C19">
        <v>480</v>
      </c>
      <c r="D19">
        <v>385.4</v>
      </c>
      <c r="E19">
        <v>615</v>
      </c>
      <c r="F19">
        <v>960</v>
      </c>
      <c r="G19">
        <v>1000.4</v>
      </c>
      <c r="I19" s="60">
        <f t="shared" ref="I19:I21" si="4">D19/B19</f>
        <v>0.802916666666667</v>
      </c>
      <c r="J19" s="60">
        <f t="shared" ref="J19:J21" si="5">E19/C19</f>
        <v>1.28125</v>
      </c>
    </row>
    <row r="20" spans="1:10">
      <c r="A20" s="57" t="s">
        <v>118</v>
      </c>
      <c r="B20">
        <v>480</v>
      </c>
      <c r="C20">
        <v>480</v>
      </c>
      <c r="D20">
        <v>1060.9</v>
      </c>
      <c r="E20">
        <v>1175</v>
      </c>
      <c r="F20">
        <v>960</v>
      </c>
      <c r="G20">
        <v>2235.9</v>
      </c>
      <c r="I20" s="60">
        <f t="shared" si="4"/>
        <v>2.21020833333333</v>
      </c>
      <c r="J20" s="60">
        <f t="shared" si="5"/>
        <v>2.44791666666667</v>
      </c>
    </row>
    <row r="21" spans="1:10">
      <c r="A21" s="57" t="s">
        <v>119</v>
      </c>
      <c r="B21">
        <v>480</v>
      </c>
      <c r="C21">
        <v>480</v>
      </c>
      <c r="D21">
        <v>386</v>
      </c>
      <c r="E21">
        <v>305</v>
      </c>
      <c r="F21">
        <v>960</v>
      </c>
      <c r="G21">
        <v>691</v>
      </c>
      <c r="I21" s="60">
        <f t="shared" si="4"/>
        <v>0.804166666666667</v>
      </c>
      <c r="J21" s="60">
        <f t="shared" si="5"/>
        <v>0.635416666666667</v>
      </c>
    </row>
    <row r="22" spans="1:10">
      <c r="A22" s="56" t="s">
        <v>6</v>
      </c>
      <c r="B22">
        <v>2800</v>
      </c>
      <c r="C22">
        <v>2800</v>
      </c>
      <c r="D22">
        <v>2361.5</v>
      </c>
      <c r="E22">
        <v>3111</v>
      </c>
      <c r="F22">
        <v>5600</v>
      </c>
      <c r="G22">
        <v>5472.5</v>
      </c>
      <c r="I22" s="59">
        <f>D22/B23</f>
        <v>3.37357142857143</v>
      </c>
      <c r="J22" s="59">
        <f>E22/C23</f>
        <v>4.44428571428571</v>
      </c>
    </row>
    <row r="23" spans="1:10">
      <c r="A23" s="57" t="s">
        <v>116</v>
      </c>
      <c r="B23">
        <v>700</v>
      </c>
      <c r="C23">
        <v>700</v>
      </c>
      <c r="D23">
        <v>426.8</v>
      </c>
      <c r="E23">
        <v>641</v>
      </c>
      <c r="F23">
        <v>1400</v>
      </c>
      <c r="G23">
        <v>1067.8</v>
      </c>
      <c r="I23" s="60">
        <f>D23/B23</f>
        <v>0.609714285714286</v>
      </c>
      <c r="J23" s="60">
        <f>E23/C23</f>
        <v>0.915714285714286</v>
      </c>
    </row>
    <row r="24" spans="1:10">
      <c r="A24" s="57" t="s">
        <v>117</v>
      </c>
      <c r="B24">
        <v>700</v>
      </c>
      <c r="C24">
        <v>700</v>
      </c>
      <c r="D24">
        <v>306.3</v>
      </c>
      <c r="E24">
        <v>485</v>
      </c>
      <c r="F24">
        <v>1400</v>
      </c>
      <c r="G24">
        <v>791.3</v>
      </c>
      <c r="I24" s="60">
        <f t="shared" ref="I24:I26" si="6">D24/B24</f>
        <v>0.437571428571429</v>
      </c>
      <c r="J24" s="60">
        <f t="shared" ref="J24:J26" si="7">E24/C24</f>
        <v>0.692857142857143</v>
      </c>
    </row>
    <row r="25" spans="1:10">
      <c r="A25" s="57" t="s">
        <v>118</v>
      </c>
      <c r="B25">
        <v>700</v>
      </c>
      <c r="C25">
        <v>700</v>
      </c>
      <c r="D25">
        <v>1075.9</v>
      </c>
      <c r="E25">
        <v>1291</v>
      </c>
      <c r="F25">
        <v>1400</v>
      </c>
      <c r="G25">
        <v>2366.9</v>
      </c>
      <c r="I25" s="60">
        <f t="shared" si="6"/>
        <v>1.537</v>
      </c>
      <c r="J25" s="60">
        <f t="shared" si="7"/>
        <v>1.84428571428571</v>
      </c>
    </row>
    <row r="26" spans="1:10">
      <c r="A26" s="57" t="s">
        <v>119</v>
      </c>
      <c r="B26">
        <v>700</v>
      </c>
      <c r="C26">
        <v>700</v>
      </c>
      <c r="D26">
        <v>552.5</v>
      </c>
      <c r="E26">
        <v>694</v>
      </c>
      <c r="F26">
        <v>1400</v>
      </c>
      <c r="G26">
        <v>1246.5</v>
      </c>
      <c r="I26" s="60">
        <f t="shared" si="6"/>
        <v>0.789285714285714</v>
      </c>
      <c r="J26" s="60">
        <f t="shared" si="7"/>
        <v>0.991428571428571</v>
      </c>
    </row>
    <row r="27" spans="1:10">
      <c r="A27" s="56" t="s">
        <v>7</v>
      </c>
      <c r="B27">
        <v>2200</v>
      </c>
      <c r="C27">
        <v>2200</v>
      </c>
      <c r="D27">
        <v>2425</v>
      </c>
      <c r="E27">
        <v>2813</v>
      </c>
      <c r="F27">
        <v>4400</v>
      </c>
      <c r="G27">
        <v>5238</v>
      </c>
      <c r="I27" s="59">
        <f>D27/B28</f>
        <v>4.40909090909091</v>
      </c>
      <c r="J27" s="59">
        <f>E27/C28</f>
        <v>5.11454545454545</v>
      </c>
    </row>
    <row r="28" spans="1:10">
      <c r="A28" s="57" t="s">
        <v>116</v>
      </c>
      <c r="B28">
        <v>550</v>
      </c>
      <c r="C28">
        <v>550</v>
      </c>
      <c r="D28">
        <v>368.6</v>
      </c>
      <c r="E28">
        <v>475</v>
      </c>
      <c r="F28">
        <v>1100</v>
      </c>
      <c r="G28">
        <v>843.6</v>
      </c>
      <c r="I28" s="60">
        <f>D28/B28</f>
        <v>0.670181818181818</v>
      </c>
      <c r="J28" s="60">
        <f>E28/C28</f>
        <v>0.863636363636364</v>
      </c>
    </row>
    <row r="29" spans="1:10">
      <c r="A29" s="57" t="s">
        <v>117</v>
      </c>
      <c r="B29">
        <v>550</v>
      </c>
      <c r="C29">
        <v>550</v>
      </c>
      <c r="D29">
        <v>367.7</v>
      </c>
      <c r="E29">
        <v>475</v>
      </c>
      <c r="F29">
        <v>1100</v>
      </c>
      <c r="G29">
        <v>842.7</v>
      </c>
      <c r="I29" s="60">
        <f t="shared" ref="I29:I31" si="8">D29/B29</f>
        <v>0.668545454545455</v>
      </c>
      <c r="J29" s="60">
        <f t="shared" ref="J29:J31" si="9">E29/C29</f>
        <v>0.863636363636364</v>
      </c>
    </row>
    <row r="30" spans="1:10">
      <c r="A30" s="57" t="s">
        <v>118</v>
      </c>
      <c r="B30">
        <v>550</v>
      </c>
      <c r="C30">
        <v>550</v>
      </c>
      <c r="D30">
        <v>1227.9</v>
      </c>
      <c r="E30">
        <v>1390</v>
      </c>
      <c r="F30">
        <v>1100</v>
      </c>
      <c r="G30">
        <v>2617.9</v>
      </c>
      <c r="I30" s="60">
        <f t="shared" si="8"/>
        <v>2.23254545454545</v>
      </c>
      <c r="J30" s="60">
        <f t="shared" si="9"/>
        <v>2.52727272727273</v>
      </c>
    </row>
    <row r="31" spans="1:10">
      <c r="A31" s="57" t="s">
        <v>119</v>
      </c>
      <c r="B31">
        <v>550</v>
      </c>
      <c r="C31">
        <v>550</v>
      </c>
      <c r="D31">
        <v>460.8</v>
      </c>
      <c r="E31">
        <v>473</v>
      </c>
      <c r="F31">
        <v>1100</v>
      </c>
      <c r="G31">
        <v>933.8</v>
      </c>
      <c r="I31" s="60">
        <f t="shared" si="8"/>
        <v>0.837818181818182</v>
      </c>
      <c r="J31" s="60">
        <f t="shared" si="9"/>
        <v>0.86</v>
      </c>
    </row>
    <row r="32" spans="1:10">
      <c r="A32" s="56" t="s">
        <v>8</v>
      </c>
      <c r="B32">
        <v>2240</v>
      </c>
      <c r="C32">
        <v>1936</v>
      </c>
      <c r="D32">
        <v>1667.8</v>
      </c>
      <c r="E32">
        <v>1482</v>
      </c>
      <c r="F32">
        <v>4176</v>
      </c>
      <c r="G32">
        <v>3149.8</v>
      </c>
      <c r="I32" s="59">
        <f>D32/B33</f>
        <v>2.97821428571429</v>
      </c>
      <c r="J32" s="59">
        <f>E32/C33</f>
        <v>3.06198347107438</v>
      </c>
    </row>
    <row r="33" spans="1:10">
      <c r="A33" s="57" t="s">
        <v>116</v>
      </c>
      <c r="B33">
        <v>560</v>
      </c>
      <c r="C33">
        <v>484</v>
      </c>
      <c r="D33">
        <v>335.3</v>
      </c>
      <c r="E33">
        <v>288</v>
      </c>
      <c r="F33">
        <v>1044</v>
      </c>
      <c r="G33">
        <v>623.3</v>
      </c>
      <c r="I33" s="60">
        <f>D33/B33</f>
        <v>0.59875</v>
      </c>
      <c r="J33" s="60">
        <f>E33/C33</f>
        <v>0.59504132231405</v>
      </c>
    </row>
    <row r="34" spans="1:10">
      <c r="A34" s="57" t="s">
        <v>117</v>
      </c>
      <c r="B34">
        <v>560</v>
      </c>
      <c r="C34">
        <v>484</v>
      </c>
      <c r="D34">
        <v>195.3</v>
      </c>
      <c r="E34">
        <v>191</v>
      </c>
      <c r="F34">
        <v>1044</v>
      </c>
      <c r="G34">
        <v>386.3</v>
      </c>
      <c r="I34" s="60">
        <f t="shared" ref="I34:I36" si="10">D34/B34</f>
        <v>0.34875</v>
      </c>
      <c r="J34" s="60">
        <f t="shared" ref="J34:J36" si="11">E34/C34</f>
        <v>0.394628099173554</v>
      </c>
    </row>
    <row r="35" spans="1:10">
      <c r="A35" s="57" t="s">
        <v>118</v>
      </c>
      <c r="B35">
        <v>560</v>
      </c>
      <c r="C35">
        <v>484</v>
      </c>
      <c r="D35">
        <v>833.3</v>
      </c>
      <c r="E35">
        <v>800</v>
      </c>
      <c r="F35">
        <v>1044</v>
      </c>
      <c r="G35">
        <v>1633.3</v>
      </c>
      <c r="I35" s="60">
        <f t="shared" si="10"/>
        <v>1.48803571428571</v>
      </c>
      <c r="J35" s="60">
        <f t="shared" si="11"/>
        <v>1.65289256198347</v>
      </c>
    </row>
    <row r="36" spans="1:10">
      <c r="A36" s="57" t="s">
        <v>119</v>
      </c>
      <c r="B36">
        <v>560</v>
      </c>
      <c r="C36">
        <v>484</v>
      </c>
      <c r="D36">
        <v>303.9</v>
      </c>
      <c r="E36">
        <v>203</v>
      </c>
      <c r="F36">
        <v>1044</v>
      </c>
      <c r="G36">
        <v>506.9</v>
      </c>
      <c r="I36" s="60">
        <f t="shared" si="10"/>
        <v>0.542678571428571</v>
      </c>
      <c r="J36" s="60">
        <f t="shared" si="11"/>
        <v>0.419421487603306</v>
      </c>
    </row>
    <row r="37" spans="1:10">
      <c r="A37" s="56" t="s">
        <v>9</v>
      </c>
      <c r="B37">
        <v>2280</v>
      </c>
      <c r="C37">
        <v>2280</v>
      </c>
      <c r="D37">
        <v>1915.8</v>
      </c>
      <c r="E37">
        <v>1962</v>
      </c>
      <c r="F37">
        <v>4560</v>
      </c>
      <c r="G37">
        <v>3877.8</v>
      </c>
      <c r="I37" s="59">
        <f>D37/B38</f>
        <v>3.36105263157895</v>
      </c>
      <c r="J37" s="59">
        <f>E37/C38</f>
        <v>3.44210526315789</v>
      </c>
    </row>
    <row r="38" spans="1:10">
      <c r="A38" s="57" t="s">
        <v>116</v>
      </c>
      <c r="B38">
        <v>570</v>
      </c>
      <c r="C38">
        <v>570</v>
      </c>
      <c r="D38">
        <v>423.5</v>
      </c>
      <c r="E38">
        <v>387</v>
      </c>
      <c r="F38">
        <v>1140</v>
      </c>
      <c r="G38">
        <v>810.5</v>
      </c>
      <c r="I38" s="60">
        <f>D38/B38</f>
        <v>0.742982456140351</v>
      </c>
      <c r="J38" s="60">
        <f>E38/C38</f>
        <v>0.678947368421053</v>
      </c>
    </row>
    <row r="39" spans="1:10">
      <c r="A39" s="57" t="s">
        <v>117</v>
      </c>
      <c r="B39">
        <v>570</v>
      </c>
      <c r="C39">
        <v>570</v>
      </c>
      <c r="D39">
        <v>253.9</v>
      </c>
      <c r="E39">
        <v>348</v>
      </c>
      <c r="F39">
        <v>1140</v>
      </c>
      <c r="G39">
        <v>601.9</v>
      </c>
      <c r="I39" s="60">
        <f t="shared" ref="I39:I41" si="12">D39/B39</f>
        <v>0.445438596491228</v>
      </c>
      <c r="J39" s="60">
        <f t="shared" ref="J39:J41" si="13">E39/C39</f>
        <v>0.610526315789474</v>
      </c>
    </row>
    <row r="40" spans="1:10">
      <c r="A40" s="57" t="s">
        <v>118</v>
      </c>
      <c r="B40">
        <v>570</v>
      </c>
      <c r="C40">
        <v>570</v>
      </c>
      <c r="D40">
        <v>924.6</v>
      </c>
      <c r="E40">
        <v>1100</v>
      </c>
      <c r="F40">
        <v>1140</v>
      </c>
      <c r="G40">
        <v>2024.6</v>
      </c>
      <c r="I40" s="60">
        <f t="shared" si="12"/>
        <v>1.62210526315789</v>
      </c>
      <c r="J40" s="60">
        <f t="shared" si="13"/>
        <v>1.92982456140351</v>
      </c>
    </row>
    <row r="41" spans="1:10">
      <c r="A41" s="57" t="s">
        <v>119</v>
      </c>
      <c r="B41">
        <v>570</v>
      </c>
      <c r="C41">
        <v>570</v>
      </c>
      <c r="D41">
        <v>313.8</v>
      </c>
      <c r="E41">
        <v>127</v>
      </c>
      <c r="F41">
        <v>1140</v>
      </c>
      <c r="G41">
        <v>440.8</v>
      </c>
      <c r="I41" s="60">
        <f t="shared" si="12"/>
        <v>0.550526315789474</v>
      </c>
      <c r="J41" s="60">
        <f t="shared" si="13"/>
        <v>0.22280701754386</v>
      </c>
    </row>
    <row r="42" spans="1:10">
      <c r="A42" s="56" t="s">
        <v>143</v>
      </c>
      <c r="B42">
        <v>15000</v>
      </c>
      <c r="C42">
        <v>14696</v>
      </c>
      <c r="D42">
        <v>13751.7</v>
      </c>
      <c r="E42">
        <v>15830</v>
      </c>
      <c r="F42">
        <v>29696</v>
      </c>
      <c r="G42">
        <v>29581.7</v>
      </c>
      <c r="I42" s="61">
        <f>D42/SUM(B8,B13,B18,B23,B28,B33,B38)</f>
        <v>3.66712</v>
      </c>
      <c r="J42" s="61">
        <f>E42/SUM(C8,C13,C18,C23,C28,C33,C38)</f>
        <v>4.30865541643985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841"/>
  <sheetViews>
    <sheetView zoomScale="115" zoomScaleNormal="115" workbookViewId="0">
      <pane xSplit="3" ySplit="1" topLeftCell="D445" activePane="bottomRight" state="frozen"/>
      <selection/>
      <selection pane="topRight"/>
      <selection pane="bottomLeft"/>
      <selection pane="bottomRight" activeCell="G447" sqref="G447"/>
    </sheetView>
  </sheetViews>
  <sheetFormatPr defaultColWidth="9" defaultRowHeight="16.8"/>
  <cols>
    <col min="1" max="1" width="9.4140625" style="44" customWidth="1"/>
    <col min="2" max="4" width="7.25" style="44" customWidth="1"/>
    <col min="5" max="5" width="19.25" style="44" customWidth="1"/>
    <col min="6" max="6" width="11" style="44" customWidth="1"/>
    <col min="7" max="7" width="14.5859375" style="44" customWidth="1"/>
    <col min="8" max="8" width="9.1640625" style="44" customWidth="1"/>
    <col min="9" max="9" width="13" style="44" customWidth="1"/>
    <col min="10" max="10" width="16.25" style="44" customWidth="1"/>
    <col min="11" max="11" width="14.25" style="44" customWidth="1"/>
    <col min="12" max="16384" width="8.6640625" style="44"/>
  </cols>
  <sheetData>
    <row r="1" spans="1:11">
      <c r="A1" s="45" t="s">
        <v>128</v>
      </c>
      <c r="B1" s="45" t="s">
        <v>244</v>
      </c>
      <c r="C1" s="45" t="s">
        <v>128</v>
      </c>
      <c r="D1" s="45" t="s">
        <v>61</v>
      </c>
      <c r="E1" s="47" t="s">
        <v>146</v>
      </c>
      <c r="F1" s="45" t="s">
        <v>108</v>
      </c>
      <c r="G1" s="45" t="s">
        <v>109</v>
      </c>
      <c r="H1" s="48" t="s">
        <v>148</v>
      </c>
      <c r="I1" s="50" t="s">
        <v>149</v>
      </c>
      <c r="J1" s="51" t="s">
        <v>151</v>
      </c>
      <c r="K1" s="52" t="s">
        <v>152</v>
      </c>
    </row>
    <row r="2" spans="1:11">
      <c r="A2" s="46" t="s">
        <v>185</v>
      </c>
      <c r="B2" s="46" t="s">
        <v>243</v>
      </c>
      <c r="C2" s="46" t="s">
        <v>245</v>
      </c>
      <c r="D2" s="46" t="s">
        <v>82</v>
      </c>
      <c r="E2" s="46" t="s">
        <v>83</v>
      </c>
      <c r="F2" s="46" t="s">
        <v>3</v>
      </c>
      <c r="G2" s="46" t="s">
        <v>116</v>
      </c>
      <c r="H2" s="49" t="s">
        <v>148</v>
      </c>
      <c r="I2" s="53">
        <v>53</v>
      </c>
      <c r="J2" s="53">
        <v>65</v>
      </c>
      <c r="K2" s="54">
        <v>1.22641509433962</v>
      </c>
    </row>
    <row r="3" spans="1:11">
      <c r="A3" s="46" t="s">
        <v>185</v>
      </c>
      <c r="B3" s="46" t="s">
        <v>243</v>
      </c>
      <c r="C3" s="46" t="s">
        <v>245</v>
      </c>
      <c r="D3" s="46" t="s">
        <v>82</v>
      </c>
      <c r="E3" s="46" t="s">
        <v>83</v>
      </c>
      <c r="F3" s="46" t="s">
        <v>3</v>
      </c>
      <c r="G3" s="46" t="s">
        <v>117</v>
      </c>
      <c r="H3" s="49" t="s">
        <v>148</v>
      </c>
      <c r="I3" s="53">
        <v>53</v>
      </c>
      <c r="J3" s="53">
        <v>43</v>
      </c>
      <c r="K3" s="54">
        <v>0.811320754716981</v>
      </c>
    </row>
    <row r="4" spans="1:11">
      <c r="A4" s="46" t="s">
        <v>185</v>
      </c>
      <c r="B4" s="46" t="s">
        <v>243</v>
      </c>
      <c r="C4" s="46" t="s">
        <v>245</v>
      </c>
      <c r="D4" s="46" t="s">
        <v>82</v>
      </c>
      <c r="E4" s="46" t="s">
        <v>83</v>
      </c>
      <c r="F4" s="46" t="s">
        <v>3</v>
      </c>
      <c r="G4" s="46" t="s">
        <v>118</v>
      </c>
      <c r="H4" s="49" t="s">
        <v>148</v>
      </c>
      <c r="I4" s="53">
        <v>53</v>
      </c>
      <c r="J4" s="53">
        <v>136</v>
      </c>
      <c r="K4" s="54">
        <v>2.56603773584906</v>
      </c>
    </row>
    <row r="5" spans="1:11">
      <c r="A5" s="46" t="s">
        <v>185</v>
      </c>
      <c r="B5" s="46" t="s">
        <v>243</v>
      </c>
      <c r="C5" s="46" t="s">
        <v>245</v>
      </c>
      <c r="D5" s="46" t="s">
        <v>82</v>
      </c>
      <c r="E5" s="46" t="s">
        <v>83</v>
      </c>
      <c r="F5" s="46" t="s">
        <v>3</v>
      </c>
      <c r="G5" s="46" t="s">
        <v>119</v>
      </c>
      <c r="H5" s="49" t="s">
        <v>148</v>
      </c>
      <c r="I5" s="53">
        <v>53</v>
      </c>
      <c r="J5" s="53">
        <v>59</v>
      </c>
      <c r="K5" s="54">
        <v>1.11320754716981</v>
      </c>
    </row>
    <row r="6" spans="1:11">
      <c r="A6" s="46" t="s">
        <v>185</v>
      </c>
      <c r="B6" s="46" t="s">
        <v>243</v>
      </c>
      <c r="C6" s="46" t="s">
        <v>245</v>
      </c>
      <c r="D6" s="46" t="s">
        <v>82</v>
      </c>
      <c r="E6" s="46" t="s">
        <v>83</v>
      </c>
      <c r="F6" s="46" t="s">
        <v>9</v>
      </c>
      <c r="G6" s="46" t="s">
        <v>116</v>
      </c>
      <c r="H6" s="49" t="s">
        <v>148</v>
      </c>
      <c r="I6" s="53">
        <v>57</v>
      </c>
      <c r="J6" s="53">
        <v>62</v>
      </c>
      <c r="K6" s="54">
        <v>1.08771929824561</v>
      </c>
    </row>
    <row r="7" spans="1:11">
      <c r="A7" s="46" t="s">
        <v>185</v>
      </c>
      <c r="B7" s="46" t="s">
        <v>243</v>
      </c>
      <c r="C7" s="46" t="s">
        <v>245</v>
      </c>
      <c r="D7" s="46" t="s">
        <v>82</v>
      </c>
      <c r="E7" s="46" t="s">
        <v>83</v>
      </c>
      <c r="F7" s="46" t="s">
        <v>9</v>
      </c>
      <c r="G7" s="46" t="s">
        <v>117</v>
      </c>
      <c r="H7" s="49" t="s">
        <v>148</v>
      </c>
      <c r="I7" s="53">
        <v>57</v>
      </c>
      <c r="J7" s="53">
        <v>53</v>
      </c>
      <c r="K7" s="54">
        <v>0.929824561403509</v>
      </c>
    </row>
    <row r="8" spans="1:11">
      <c r="A8" s="46" t="s">
        <v>185</v>
      </c>
      <c r="B8" s="46" t="s">
        <v>243</v>
      </c>
      <c r="C8" s="46" t="s">
        <v>245</v>
      </c>
      <c r="D8" s="46" t="s">
        <v>82</v>
      </c>
      <c r="E8" s="46" t="s">
        <v>83</v>
      </c>
      <c r="F8" s="46" t="s">
        <v>9</v>
      </c>
      <c r="G8" s="46" t="s">
        <v>118</v>
      </c>
      <c r="H8" s="49" t="s">
        <v>148</v>
      </c>
      <c r="I8" s="53">
        <v>57</v>
      </c>
      <c r="J8" s="53">
        <v>127</v>
      </c>
      <c r="K8" s="54">
        <v>2.2280701754386</v>
      </c>
    </row>
    <row r="9" spans="1:11">
      <c r="A9" s="46" t="s">
        <v>185</v>
      </c>
      <c r="B9" s="46" t="s">
        <v>243</v>
      </c>
      <c r="C9" s="46" t="s">
        <v>245</v>
      </c>
      <c r="D9" s="46" t="s">
        <v>82</v>
      </c>
      <c r="E9" s="46" t="s">
        <v>83</v>
      </c>
      <c r="F9" s="46" t="s">
        <v>9</v>
      </c>
      <c r="G9" s="46" t="s">
        <v>119</v>
      </c>
      <c r="H9" s="49" t="s">
        <v>148</v>
      </c>
      <c r="I9" s="53">
        <v>57</v>
      </c>
      <c r="J9" s="53">
        <v>0</v>
      </c>
      <c r="K9" s="54">
        <v>0</v>
      </c>
    </row>
    <row r="10" spans="1:11">
      <c r="A10" s="46" t="s">
        <v>185</v>
      </c>
      <c r="B10" s="46" t="s">
        <v>243</v>
      </c>
      <c r="C10" s="46" t="s">
        <v>245</v>
      </c>
      <c r="D10" s="46" t="s">
        <v>82</v>
      </c>
      <c r="E10" s="46" t="s">
        <v>83</v>
      </c>
      <c r="F10" s="46" t="s">
        <v>5</v>
      </c>
      <c r="G10" s="46" t="s">
        <v>116</v>
      </c>
      <c r="H10" s="49" t="s">
        <v>148</v>
      </c>
      <c r="I10" s="53">
        <v>48</v>
      </c>
      <c r="J10" s="53">
        <v>77</v>
      </c>
      <c r="K10" s="54">
        <v>1.60416666666667</v>
      </c>
    </row>
    <row r="11" spans="1:11">
      <c r="A11" s="46" t="s">
        <v>185</v>
      </c>
      <c r="B11" s="46" t="s">
        <v>243</v>
      </c>
      <c r="C11" s="46" t="s">
        <v>245</v>
      </c>
      <c r="D11" s="46" t="s">
        <v>82</v>
      </c>
      <c r="E11" s="46" t="s">
        <v>83</v>
      </c>
      <c r="F11" s="46" t="s">
        <v>5</v>
      </c>
      <c r="G11" s="46" t="s">
        <v>117</v>
      </c>
      <c r="H11" s="49" t="s">
        <v>148</v>
      </c>
      <c r="I11" s="53">
        <v>48</v>
      </c>
      <c r="J11" s="53">
        <v>79</v>
      </c>
      <c r="K11" s="54">
        <v>1.64583333333333</v>
      </c>
    </row>
    <row r="12" spans="1:11">
      <c r="A12" s="46" t="s">
        <v>185</v>
      </c>
      <c r="B12" s="46" t="s">
        <v>243</v>
      </c>
      <c r="C12" s="46" t="s">
        <v>245</v>
      </c>
      <c r="D12" s="46" t="s">
        <v>82</v>
      </c>
      <c r="E12" s="46" t="s">
        <v>83</v>
      </c>
      <c r="F12" s="46" t="s">
        <v>5</v>
      </c>
      <c r="G12" s="46" t="s">
        <v>118</v>
      </c>
      <c r="H12" s="49" t="s">
        <v>148</v>
      </c>
      <c r="I12" s="53">
        <v>48</v>
      </c>
      <c r="J12" s="53">
        <v>125</v>
      </c>
      <c r="K12" s="54">
        <v>2.60416666666667</v>
      </c>
    </row>
    <row r="13" spans="1:11">
      <c r="A13" s="46" t="s">
        <v>185</v>
      </c>
      <c r="B13" s="46" t="s">
        <v>243</v>
      </c>
      <c r="C13" s="46" t="s">
        <v>245</v>
      </c>
      <c r="D13" s="46" t="s">
        <v>82</v>
      </c>
      <c r="E13" s="46" t="s">
        <v>83</v>
      </c>
      <c r="F13" s="46" t="s">
        <v>5</v>
      </c>
      <c r="G13" s="46" t="s">
        <v>119</v>
      </c>
      <c r="H13" s="49" t="s">
        <v>148</v>
      </c>
      <c r="I13" s="53">
        <v>48</v>
      </c>
      <c r="J13" s="53">
        <v>30</v>
      </c>
      <c r="K13" s="54">
        <v>0.625</v>
      </c>
    </row>
    <row r="14" spans="1:11">
      <c r="A14" s="46" t="s">
        <v>185</v>
      </c>
      <c r="B14" s="46" t="s">
        <v>243</v>
      </c>
      <c r="C14" s="46" t="s">
        <v>245</v>
      </c>
      <c r="D14" s="46" t="s">
        <v>82</v>
      </c>
      <c r="E14" s="46" t="s">
        <v>83</v>
      </c>
      <c r="F14" s="46" t="s">
        <v>4</v>
      </c>
      <c r="G14" s="46" t="s">
        <v>116</v>
      </c>
      <c r="H14" s="49" t="s">
        <v>148</v>
      </c>
      <c r="I14" s="53">
        <v>36</v>
      </c>
      <c r="J14" s="53">
        <v>32</v>
      </c>
      <c r="K14" s="54">
        <v>0.888888888888889</v>
      </c>
    </row>
    <row r="15" spans="1:11">
      <c r="A15" s="46" t="s">
        <v>185</v>
      </c>
      <c r="B15" s="46" t="s">
        <v>243</v>
      </c>
      <c r="C15" s="46" t="s">
        <v>245</v>
      </c>
      <c r="D15" s="46" t="s">
        <v>82</v>
      </c>
      <c r="E15" s="46" t="s">
        <v>83</v>
      </c>
      <c r="F15" s="46" t="s">
        <v>4</v>
      </c>
      <c r="G15" s="46" t="s">
        <v>117</v>
      </c>
      <c r="H15" s="49" t="s">
        <v>148</v>
      </c>
      <c r="I15" s="53">
        <v>36</v>
      </c>
      <c r="J15" s="53">
        <v>24</v>
      </c>
      <c r="K15" s="54">
        <v>0.666666666666667</v>
      </c>
    </row>
    <row r="16" spans="1:11">
      <c r="A16" s="46" t="s">
        <v>185</v>
      </c>
      <c r="B16" s="46" t="s">
        <v>243</v>
      </c>
      <c r="C16" s="46" t="s">
        <v>245</v>
      </c>
      <c r="D16" s="46" t="s">
        <v>82</v>
      </c>
      <c r="E16" s="46" t="s">
        <v>83</v>
      </c>
      <c r="F16" s="46" t="s">
        <v>4</v>
      </c>
      <c r="G16" s="46" t="s">
        <v>118</v>
      </c>
      <c r="H16" s="49" t="s">
        <v>148</v>
      </c>
      <c r="I16" s="53">
        <v>36</v>
      </c>
      <c r="J16" s="53">
        <v>92</v>
      </c>
      <c r="K16" s="54">
        <v>2.55555555555556</v>
      </c>
    </row>
    <row r="17" spans="1:11">
      <c r="A17" s="46" t="s">
        <v>185</v>
      </c>
      <c r="B17" s="46" t="s">
        <v>243</v>
      </c>
      <c r="C17" s="46" t="s">
        <v>245</v>
      </c>
      <c r="D17" s="46" t="s">
        <v>82</v>
      </c>
      <c r="E17" s="46" t="s">
        <v>83</v>
      </c>
      <c r="F17" s="46" t="s">
        <v>4</v>
      </c>
      <c r="G17" s="46" t="s">
        <v>119</v>
      </c>
      <c r="H17" s="49" t="s">
        <v>148</v>
      </c>
      <c r="I17" s="53">
        <v>36</v>
      </c>
      <c r="J17" s="53">
        <v>23</v>
      </c>
      <c r="K17" s="54">
        <v>0.638888888888889</v>
      </c>
    </row>
    <row r="18" spans="1:11">
      <c r="A18" s="46" t="s">
        <v>185</v>
      </c>
      <c r="B18" s="46" t="s">
        <v>243</v>
      </c>
      <c r="C18" s="46" t="s">
        <v>245</v>
      </c>
      <c r="D18" s="46" t="s">
        <v>82</v>
      </c>
      <c r="E18" s="46" t="s">
        <v>83</v>
      </c>
      <c r="F18" s="46" t="s">
        <v>7</v>
      </c>
      <c r="G18" s="46" t="s">
        <v>116</v>
      </c>
      <c r="H18" s="49" t="s">
        <v>148</v>
      </c>
      <c r="I18" s="53">
        <v>55</v>
      </c>
      <c r="J18" s="53">
        <v>53</v>
      </c>
      <c r="K18" s="54">
        <v>0.963636363636364</v>
      </c>
    </row>
    <row r="19" spans="1:11">
      <c r="A19" s="46" t="s">
        <v>185</v>
      </c>
      <c r="B19" s="46" t="s">
        <v>243</v>
      </c>
      <c r="C19" s="46" t="s">
        <v>245</v>
      </c>
      <c r="D19" s="46" t="s">
        <v>82</v>
      </c>
      <c r="E19" s="46" t="s">
        <v>83</v>
      </c>
      <c r="F19" s="46" t="s">
        <v>7</v>
      </c>
      <c r="G19" s="46" t="s">
        <v>117</v>
      </c>
      <c r="H19" s="49" t="s">
        <v>148</v>
      </c>
      <c r="I19" s="53">
        <v>55</v>
      </c>
      <c r="J19" s="53">
        <v>66</v>
      </c>
      <c r="K19" s="54">
        <v>1.2</v>
      </c>
    </row>
    <row r="20" spans="1:11">
      <c r="A20" s="46" t="s">
        <v>185</v>
      </c>
      <c r="B20" s="46" t="s">
        <v>243</v>
      </c>
      <c r="C20" s="46" t="s">
        <v>245</v>
      </c>
      <c r="D20" s="46" t="s">
        <v>82</v>
      </c>
      <c r="E20" s="46" t="s">
        <v>83</v>
      </c>
      <c r="F20" s="46" t="s">
        <v>7</v>
      </c>
      <c r="G20" s="46" t="s">
        <v>118</v>
      </c>
      <c r="H20" s="49" t="s">
        <v>148</v>
      </c>
      <c r="I20" s="53">
        <v>55</v>
      </c>
      <c r="J20" s="53">
        <v>149</v>
      </c>
      <c r="K20" s="54">
        <v>2.70909090909091</v>
      </c>
    </row>
    <row r="21" spans="1:11">
      <c r="A21" s="46" t="s">
        <v>185</v>
      </c>
      <c r="B21" s="46" t="s">
        <v>243</v>
      </c>
      <c r="C21" s="46" t="s">
        <v>245</v>
      </c>
      <c r="D21" s="46" t="s">
        <v>82</v>
      </c>
      <c r="E21" s="46" t="s">
        <v>83</v>
      </c>
      <c r="F21" s="46" t="s">
        <v>7</v>
      </c>
      <c r="G21" s="46" t="s">
        <v>119</v>
      </c>
      <c r="H21" s="49" t="s">
        <v>148</v>
      </c>
      <c r="I21" s="53">
        <v>55</v>
      </c>
      <c r="J21" s="53">
        <v>57</v>
      </c>
      <c r="K21" s="54">
        <v>1.03636363636364</v>
      </c>
    </row>
    <row r="22" spans="1:11">
      <c r="A22" s="46" t="s">
        <v>185</v>
      </c>
      <c r="B22" s="46" t="s">
        <v>243</v>
      </c>
      <c r="C22" s="46" t="s">
        <v>245</v>
      </c>
      <c r="D22" s="46" t="s">
        <v>82</v>
      </c>
      <c r="E22" s="46" t="s">
        <v>83</v>
      </c>
      <c r="F22" s="46" t="s">
        <v>8</v>
      </c>
      <c r="G22" s="46" t="s">
        <v>116</v>
      </c>
      <c r="H22" s="49" t="s">
        <v>148</v>
      </c>
      <c r="I22" s="53">
        <v>37</v>
      </c>
      <c r="J22" s="53">
        <v>44</v>
      </c>
      <c r="K22" s="54">
        <v>1.18918918918919</v>
      </c>
    </row>
    <row r="23" spans="1:11">
      <c r="A23" s="46" t="s">
        <v>185</v>
      </c>
      <c r="B23" s="46" t="s">
        <v>243</v>
      </c>
      <c r="C23" s="46" t="s">
        <v>245</v>
      </c>
      <c r="D23" s="46" t="s">
        <v>82</v>
      </c>
      <c r="E23" s="46" t="s">
        <v>83</v>
      </c>
      <c r="F23" s="46" t="s">
        <v>8</v>
      </c>
      <c r="G23" s="46" t="s">
        <v>117</v>
      </c>
      <c r="H23" s="49" t="s">
        <v>148</v>
      </c>
      <c r="I23" s="53">
        <v>37</v>
      </c>
      <c r="J23" s="53">
        <v>22</v>
      </c>
      <c r="K23" s="54">
        <v>0.594594594594595</v>
      </c>
    </row>
    <row r="24" spans="1:11">
      <c r="A24" s="46" t="s">
        <v>185</v>
      </c>
      <c r="B24" s="46" t="s">
        <v>243</v>
      </c>
      <c r="C24" s="46" t="s">
        <v>245</v>
      </c>
      <c r="D24" s="46" t="s">
        <v>82</v>
      </c>
      <c r="E24" s="46" t="s">
        <v>83</v>
      </c>
      <c r="F24" s="46" t="s">
        <v>8</v>
      </c>
      <c r="G24" s="46" t="s">
        <v>118</v>
      </c>
      <c r="H24" s="49" t="s">
        <v>148</v>
      </c>
      <c r="I24" s="53">
        <v>37</v>
      </c>
      <c r="J24" s="53">
        <v>96</v>
      </c>
      <c r="K24" s="54">
        <v>2.59459459459459</v>
      </c>
    </row>
    <row r="25" spans="1:11">
      <c r="A25" s="46" t="s">
        <v>185</v>
      </c>
      <c r="B25" s="46" t="s">
        <v>243</v>
      </c>
      <c r="C25" s="46" t="s">
        <v>245</v>
      </c>
      <c r="D25" s="46" t="s">
        <v>82</v>
      </c>
      <c r="E25" s="46" t="s">
        <v>83</v>
      </c>
      <c r="F25" s="46" t="s">
        <v>8</v>
      </c>
      <c r="G25" s="46" t="s">
        <v>119</v>
      </c>
      <c r="H25" s="49" t="s">
        <v>148</v>
      </c>
      <c r="I25" s="53">
        <v>37</v>
      </c>
      <c r="J25" s="53">
        <v>24</v>
      </c>
      <c r="K25" s="54">
        <v>0.648648648648649</v>
      </c>
    </row>
    <row r="26" spans="1:11">
      <c r="A26" s="46" t="s">
        <v>185</v>
      </c>
      <c r="B26" s="46" t="s">
        <v>243</v>
      </c>
      <c r="C26" s="46" t="s">
        <v>245</v>
      </c>
      <c r="D26" s="46" t="s">
        <v>82</v>
      </c>
      <c r="E26" s="46" t="s">
        <v>83</v>
      </c>
      <c r="F26" s="46" t="s">
        <v>6</v>
      </c>
      <c r="G26" s="46" t="s">
        <v>116</v>
      </c>
      <c r="H26" s="49" t="s">
        <v>148</v>
      </c>
      <c r="I26" s="53">
        <v>70</v>
      </c>
      <c r="J26" s="53">
        <v>73</v>
      </c>
      <c r="K26" s="54">
        <v>1.04285714285714</v>
      </c>
    </row>
    <row r="27" spans="1:11">
      <c r="A27" s="46" t="s">
        <v>185</v>
      </c>
      <c r="B27" s="46" t="s">
        <v>243</v>
      </c>
      <c r="C27" s="46" t="s">
        <v>245</v>
      </c>
      <c r="D27" s="46" t="s">
        <v>82</v>
      </c>
      <c r="E27" s="46" t="s">
        <v>83</v>
      </c>
      <c r="F27" s="46" t="s">
        <v>6</v>
      </c>
      <c r="G27" s="46" t="s">
        <v>117</v>
      </c>
      <c r="H27" s="49" t="s">
        <v>148</v>
      </c>
      <c r="I27" s="53">
        <v>70</v>
      </c>
      <c r="J27" s="53">
        <v>58</v>
      </c>
      <c r="K27" s="54">
        <v>0.828571428571429</v>
      </c>
    </row>
    <row r="28" spans="1:11">
      <c r="A28" s="46" t="s">
        <v>185</v>
      </c>
      <c r="B28" s="46" t="s">
        <v>243</v>
      </c>
      <c r="C28" s="46" t="s">
        <v>245</v>
      </c>
      <c r="D28" s="46" t="s">
        <v>82</v>
      </c>
      <c r="E28" s="46" t="s">
        <v>83</v>
      </c>
      <c r="F28" s="46" t="s">
        <v>6</v>
      </c>
      <c r="G28" s="46" t="s">
        <v>118</v>
      </c>
      <c r="H28" s="49" t="s">
        <v>148</v>
      </c>
      <c r="I28" s="53">
        <v>70</v>
      </c>
      <c r="J28" s="53">
        <v>166</v>
      </c>
      <c r="K28" s="54">
        <v>2.37142857142857</v>
      </c>
    </row>
    <row r="29" spans="1:11">
      <c r="A29" s="46" t="s">
        <v>185</v>
      </c>
      <c r="B29" s="46" t="s">
        <v>243</v>
      </c>
      <c r="C29" s="46" t="s">
        <v>245</v>
      </c>
      <c r="D29" s="46" t="s">
        <v>82</v>
      </c>
      <c r="E29" s="46" t="s">
        <v>83</v>
      </c>
      <c r="F29" s="46" t="s">
        <v>6</v>
      </c>
      <c r="G29" s="46" t="s">
        <v>119</v>
      </c>
      <c r="H29" s="49" t="s">
        <v>148</v>
      </c>
      <c r="I29" s="53">
        <v>70</v>
      </c>
      <c r="J29" s="53">
        <v>80</v>
      </c>
      <c r="K29" s="54">
        <v>1.14285714285714</v>
      </c>
    </row>
    <row r="30" spans="1:11">
      <c r="A30" s="44" t="s">
        <v>157</v>
      </c>
      <c r="B30" s="44">
        <v>2025</v>
      </c>
      <c r="C30" s="44" t="s">
        <v>245</v>
      </c>
      <c r="D30" s="46" t="s">
        <v>82</v>
      </c>
      <c r="E30" s="46" t="s">
        <v>83</v>
      </c>
      <c r="F30" s="46" t="s">
        <v>3</v>
      </c>
      <c r="G30" s="46" t="s">
        <v>116</v>
      </c>
      <c r="H30" s="49" t="s">
        <v>159</v>
      </c>
      <c r="I30" s="53">
        <v>53</v>
      </c>
      <c r="J30" s="53">
        <v>35.5</v>
      </c>
      <c r="K30" s="54">
        <v>0.669811320754717</v>
      </c>
    </row>
    <row r="31" spans="1:11">
      <c r="A31" s="44" t="s">
        <v>157</v>
      </c>
      <c r="B31" s="44">
        <v>2025</v>
      </c>
      <c r="C31" s="44" t="s">
        <v>245</v>
      </c>
      <c r="D31" s="46" t="s">
        <v>82</v>
      </c>
      <c r="E31" s="46" t="s">
        <v>83</v>
      </c>
      <c r="F31" s="46" t="s">
        <v>3</v>
      </c>
      <c r="G31" s="46" t="s">
        <v>117</v>
      </c>
      <c r="H31" s="49" t="s">
        <v>159</v>
      </c>
      <c r="I31" s="53">
        <v>53</v>
      </c>
      <c r="J31" s="53">
        <v>22.5</v>
      </c>
      <c r="K31" s="54">
        <v>0.424528301886792</v>
      </c>
    </row>
    <row r="32" spans="1:11">
      <c r="A32" s="44" t="s">
        <v>157</v>
      </c>
      <c r="B32" s="44">
        <v>2025</v>
      </c>
      <c r="C32" s="44" t="s">
        <v>245</v>
      </c>
      <c r="D32" s="46" t="s">
        <v>82</v>
      </c>
      <c r="E32" s="46" t="s">
        <v>83</v>
      </c>
      <c r="F32" s="46" t="s">
        <v>3</v>
      </c>
      <c r="G32" s="46" t="s">
        <v>118</v>
      </c>
      <c r="H32" s="49" t="s">
        <v>159</v>
      </c>
      <c r="I32" s="53">
        <v>53</v>
      </c>
      <c r="J32" s="53">
        <v>104.7</v>
      </c>
      <c r="K32" s="54">
        <v>1.97547169811321</v>
      </c>
    </row>
    <row r="33" spans="1:11">
      <c r="A33" s="44" t="s">
        <v>157</v>
      </c>
      <c r="B33" s="44">
        <v>2025</v>
      </c>
      <c r="C33" s="44" t="s">
        <v>245</v>
      </c>
      <c r="D33" s="46" t="s">
        <v>82</v>
      </c>
      <c r="E33" s="46" t="s">
        <v>83</v>
      </c>
      <c r="F33" s="46" t="s">
        <v>3</v>
      </c>
      <c r="G33" s="46" t="s">
        <v>119</v>
      </c>
      <c r="H33" s="49" t="s">
        <v>159</v>
      </c>
      <c r="I33" s="53">
        <v>53</v>
      </c>
      <c r="J33" s="53">
        <v>42.6</v>
      </c>
      <c r="K33" s="54">
        <v>0.80377358490566</v>
      </c>
    </row>
    <row r="34" spans="1:11">
      <c r="A34" s="44" t="s">
        <v>157</v>
      </c>
      <c r="B34" s="44">
        <v>2025</v>
      </c>
      <c r="C34" s="44" t="s">
        <v>245</v>
      </c>
      <c r="D34" s="46" t="s">
        <v>82</v>
      </c>
      <c r="E34" s="46" t="s">
        <v>83</v>
      </c>
      <c r="F34" s="46" t="s">
        <v>9</v>
      </c>
      <c r="G34" s="46" t="s">
        <v>116</v>
      </c>
      <c r="H34" s="49" t="s">
        <v>159</v>
      </c>
      <c r="I34" s="53">
        <v>57</v>
      </c>
      <c r="J34" s="53">
        <v>41.3</v>
      </c>
      <c r="K34" s="54">
        <v>0.724561403508772</v>
      </c>
    </row>
    <row r="35" spans="1:11">
      <c r="A35" s="44" t="s">
        <v>157</v>
      </c>
      <c r="B35" s="44">
        <v>2025</v>
      </c>
      <c r="C35" s="44" t="s">
        <v>245</v>
      </c>
      <c r="D35" s="46" t="s">
        <v>82</v>
      </c>
      <c r="E35" s="46" t="s">
        <v>83</v>
      </c>
      <c r="F35" s="46" t="s">
        <v>9</v>
      </c>
      <c r="G35" s="46" t="s">
        <v>117</v>
      </c>
      <c r="H35" s="49" t="s">
        <v>159</v>
      </c>
      <c r="I35" s="53">
        <v>57</v>
      </c>
      <c r="J35" s="53">
        <v>29.8</v>
      </c>
      <c r="K35" s="54">
        <v>0.52280701754386</v>
      </c>
    </row>
    <row r="36" spans="1:11">
      <c r="A36" s="44" t="s">
        <v>157</v>
      </c>
      <c r="B36" s="44">
        <v>2025</v>
      </c>
      <c r="C36" s="44" t="s">
        <v>245</v>
      </c>
      <c r="D36" s="46" t="s">
        <v>82</v>
      </c>
      <c r="E36" s="46" t="s">
        <v>83</v>
      </c>
      <c r="F36" s="46" t="s">
        <v>9</v>
      </c>
      <c r="G36" s="46" t="s">
        <v>118</v>
      </c>
      <c r="H36" s="49" t="s">
        <v>159</v>
      </c>
      <c r="I36" s="53">
        <v>57</v>
      </c>
      <c r="J36" s="53">
        <v>85.4</v>
      </c>
      <c r="K36" s="54">
        <v>1.49824561403509</v>
      </c>
    </row>
    <row r="37" spans="1:11">
      <c r="A37" s="44" t="s">
        <v>157</v>
      </c>
      <c r="B37" s="44">
        <v>2025</v>
      </c>
      <c r="C37" s="44" t="s">
        <v>245</v>
      </c>
      <c r="D37" s="46" t="s">
        <v>82</v>
      </c>
      <c r="E37" s="46" t="s">
        <v>83</v>
      </c>
      <c r="F37" s="46" t="s">
        <v>9</v>
      </c>
      <c r="G37" s="46" t="s">
        <v>119</v>
      </c>
      <c r="H37" s="49" t="s">
        <v>159</v>
      </c>
      <c r="I37" s="53">
        <v>57</v>
      </c>
      <c r="J37" s="53">
        <v>40</v>
      </c>
      <c r="K37" s="54">
        <v>0.701754385964912</v>
      </c>
    </row>
    <row r="38" spans="1:11">
      <c r="A38" s="44" t="s">
        <v>157</v>
      </c>
      <c r="B38" s="44">
        <v>2025</v>
      </c>
      <c r="C38" s="44" t="s">
        <v>245</v>
      </c>
      <c r="D38" s="46" t="s">
        <v>82</v>
      </c>
      <c r="E38" s="46" t="s">
        <v>83</v>
      </c>
      <c r="F38" s="46" t="s">
        <v>5</v>
      </c>
      <c r="G38" s="46" t="s">
        <v>116</v>
      </c>
      <c r="H38" s="49" t="s">
        <v>159</v>
      </c>
      <c r="I38" s="53">
        <v>48</v>
      </c>
      <c r="J38" s="53">
        <v>56.8</v>
      </c>
      <c r="K38" s="54">
        <v>1.18333333333333</v>
      </c>
    </row>
    <row r="39" spans="1:11">
      <c r="A39" s="44" t="s">
        <v>157</v>
      </c>
      <c r="B39" s="44">
        <v>2025</v>
      </c>
      <c r="C39" s="44" t="s">
        <v>245</v>
      </c>
      <c r="D39" s="46" t="s">
        <v>82</v>
      </c>
      <c r="E39" s="46" t="s">
        <v>83</v>
      </c>
      <c r="F39" s="46" t="s">
        <v>5</v>
      </c>
      <c r="G39" s="46" t="s">
        <v>117</v>
      </c>
      <c r="H39" s="49" t="s">
        <v>159</v>
      </c>
      <c r="I39" s="53">
        <v>48</v>
      </c>
      <c r="J39" s="53">
        <v>47.1</v>
      </c>
      <c r="K39" s="54">
        <v>0.98125</v>
      </c>
    </row>
    <row r="40" spans="1:11">
      <c r="A40" s="44" t="s">
        <v>157</v>
      </c>
      <c r="B40" s="44">
        <v>2025</v>
      </c>
      <c r="C40" s="44" t="s">
        <v>245</v>
      </c>
      <c r="D40" s="46" t="s">
        <v>82</v>
      </c>
      <c r="E40" s="46" t="s">
        <v>83</v>
      </c>
      <c r="F40" s="46" t="s">
        <v>5</v>
      </c>
      <c r="G40" s="46" t="s">
        <v>118</v>
      </c>
      <c r="H40" s="49" t="s">
        <v>159</v>
      </c>
      <c r="I40" s="53">
        <v>48</v>
      </c>
      <c r="J40" s="53">
        <v>104.6</v>
      </c>
      <c r="K40" s="54">
        <v>2.17916666666667</v>
      </c>
    </row>
    <row r="41" spans="1:11">
      <c r="A41" s="44" t="s">
        <v>157</v>
      </c>
      <c r="B41" s="44">
        <v>2025</v>
      </c>
      <c r="C41" s="44" t="s">
        <v>245</v>
      </c>
      <c r="D41" s="46" t="s">
        <v>82</v>
      </c>
      <c r="E41" s="46" t="s">
        <v>83</v>
      </c>
      <c r="F41" s="46" t="s">
        <v>5</v>
      </c>
      <c r="G41" s="46" t="s">
        <v>119</v>
      </c>
      <c r="H41" s="49" t="s">
        <v>159</v>
      </c>
      <c r="I41" s="53">
        <v>48</v>
      </c>
      <c r="J41" s="53">
        <v>33.9</v>
      </c>
      <c r="K41" s="54">
        <v>0.70625</v>
      </c>
    </row>
    <row r="42" spans="1:11">
      <c r="A42" s="44" t="s">
        <v>157</v>
      </c>
      <c r="B42" s="44">
        <v>2025</v>
      </c>
      <c r="C42" s="44" t="s">
        <v>245</v>
      </c>
      <c r="D42" s="46" t="s">
        <v>82</v>
      </c>
      <c r="E42" s="46" t="s">
        <v>83</v>
      </c>
      <c r="F42" s="46" t="s">
        <v>4</v>
      </c>
      <c r="G42" s="46" t="s">
        <v>116</v>
      </c>
      <c r="H42" s="49" t="s">
        <v>159</v>
      </c>
      <c r="I42" s="53">
        <v>36</v>
      </c>
      <c r="J42" s="53">
        <v>21.6</v>
      </c>
      <c r="K42" s="54">
        <v>0.6</v>
      </c>
    </row>
    <row r="43" spans="1:11">
      <c r="A43" s="44" t="s">
        <v>157</v>
      </c>
      <c r="B43" s="44">
        <v>2025</v>
      </c>
      <c r="C43" s="44" t="s">
        <v>245</v>
      </c>
      <c r="D43" s="46" t="s">
        <v>82</v>
      </c>
      <c r="E43" s="46" t="s">
        <v>83</v>
      </c>
      <c r="F43" s="46" t="s">
        <v>4</v>
      </c>
      <c r="G43" s="46" t="s">
        <v>117</v>
      </c>
      <c r="H43" s="49" t="s">
        <v>159</v>
      </c>
      <c r="I43" s="53">
        <v>36</v>
      </c>
      <c r="J43" s="53">
        <v>10.8</v>
      </c>
      <c r="K43" s="54">
        <v>0.3</v>
      </c>
    </row>
    <row r="44" spans="1:11">
      <c r="A44" s="44" t="s">
        <v>157</v>
      </c>
      <c r="B44" s="44">
        <v>2025</v>
      </c>
      <c r="C44" s="44" t="s">
        <v>245</v>
      </c>
      <c r="D44" s="46" t="s">
        <v>82</v>
      </c>
      <c r="E44" s="46" t="s">
        <v>83</v>
      </c>
      <c r="F44" s="46" t="s">
        <v>4</v>
      </c>
      <c r="G44" s="46" t="s">
        <v>118</v>
      </c>
      <c r="H44" s="49" t="s">
        <v>159</v>
      </c>
      <c r="I44" s="53">
        <v>36</v>
      </c>
      <c r="J44" s="53">
        <v>54.8</v>
      </c>
      <c r="K44" s="54">
        <v>1.52222222222222</v>
      </c>
    </row>
    <row r="45" spans="1:11">
      <c r="A45" s="44" t="s">
        <v>157</v>
      </c>
      <c r="B45" s="44">
        <v>2025</v>
      </c>
      <c r="C45" s="44" t="s">
        <v>245</v>
      </c>
      <c r="D45" s="46" t="s">
        <v>82</v>
      </c>
      <c r="E45" s="46" t="s">
        <v>83</v>
      </c>
      <c r="F45" s="46" t="s">
        <v>4</v>
      </c>
      <c r="G45" s="46" t="s">
        <v>119</v>
      </c>
      <c r="H45" s="49" t="s">
        <v>159</v>
      </c>
      <c r="I45" s="53">
        <v>36</v>
      </c>
      <c r="J45" s="53">
        <v>15</v>
      </c>
      <c r="K45" s="54">
        <v>0.416666666666667</v>
      </c>
    </row>
    <row r="46" spans="1:11">
      <c r="A46" s="44" t="s">
        <v>157</v>
      </c>
      <c r="B46" s="44">
        <v>2025</v>
      </c>
      <c r="C46" s="44" t="s">
        <v>245</v>
      </c>
      <c r="D46" s="46" t="s">
        <v>82</v>
      </c>
      <c r="E46" s="46" t="s">
        <v>83</v>
      </c>
      <c r="F46" s="46" t="s">
        <v>7</v>
      </c>
      <c r="G46" s="46" t="s">
        <v>116</v>
      </c>
      <c r="H46" s="49" t="s">
        <v>159</v>
      </c>
      <c r="I46" s="53">
        <v>55</v>
      </c>
      <c r="J46" s="53">
        <v>57.7</v>
      </c>
      <c r="K46" s="54">
        <v>1.04909090909091</v>
      </c>
    </row>
    <row r="47" spans="1:11">
      <c r="A47" s="44" t="s">
        <v>157</v>
      </c>
      <c r="B47" s="44">
        <v>2025</v>
      </c>
      <c r="C47" s="44" t="s">
        <v>245</v>
      </c>
      <c r="D47" s="46" t="s">
        <v>82</v>
      </c>
      <c r="E47" s="46" t="s">
        <v>83</v>
      </c>
      <c r="F47" s="46" t="s">
        <v>7</v>
      </c>
      <c r="G47" s="46" t="s">
        <v>117</v>
      </c>
      <c r="H47" s="49" t="s">
        <v>159</v>
      </c>
      <c r="I47" s="53">
        <v>55</v>
      </c>
      <c r="J47" s="53">
        <v>36.6</v>
      </c>
      <c r="K47" s="54">
        <v>0.665454545454545</v>
      </c>
    </row>
    <row r="48" spans="1:11">
      <c r="A48" s="44" t="s">
        <v>157</v>
      </c>
      <c r="B48" s="44">
        <v>2025</v>
      </c>
      <c r="C48" s="44" t="s">
        <v>245</v>
      </c>
      <c r="D48" s="46" t="s">
        <v>82</v>
      </c>
      <c r="E48" s="46" t="s">
        <v>83</v>
      </c>
      <c r="F48" s="46" t="s">
        <v>7</v>
      </c>
      <c r="G48" s="46" t="s">
        <v>118</v>
      </c>
      <c r="H48" s="49" t="s">
        <v>159</v>
      </c>
      <c r="I48" s="53">
        <v>55</v>
      </c>
      <c r="J48" s="53">
        <v>135.8</v>
      </c>
      <c r="K48" s="54">
        <v>2.46909090909091</v>
      </c>
    </row>
    <row r="49" spans="1:11">
      <c r="A49" s="44" t="s">
        <v>157</v>
      </c>
      <c r="B49" s="44">
        <v>2025</v>
      </c>
      <c r="C49" s="44" t="s">
        <v>245</v>
      </c>
      <c r="D49" s="46" t="s">
        <v>82</v>
      </c>
      <c r="E49" s="46" t="s">
        <v>83</v>
      </c>
      <c r="F49" s="46" t="s">
        <v>7</v>
      </c>
      <c r="G49" s="46" t="s">
        <v>119</v>
      </c>
      <c r="H49" s="49" t="s">
        <v>159</v>
      </c>
      <c r="I49" s="53">
        <v>55</v>
      </c>
      <c r="J49" s="53">
        <v>57</v>
      </c>
      <c r="K49" s="54">
        <v>1.03636363636364</v>
      </c>
    </row>
    <row r="50" spans="1:11">
      <c r="A50" s="44" t="s">
        <v>157</v>
      </c>
      <c r="B50" s="44">
        <v>2025</v>
      </c>
      <c r="C50" s="44" t="s">
        <v>245</v>
      </c>
      <c r="D50" s="46" t="s">
        <v>82</v>
      </c>
      <c r="E50" s="46" t="s">
        <v>83</v>
      </c>
      <c r="F50" s="46" t="s">
        <v>8</v>
      </c>
      <c r="G50" s="46" t="s">
        <v>116</v>
      </c>
      <c r="H50" s="49" t="s">
        <v>159</v>
      </c>
      <c r="I50" s="53">
        <v>56</v>
      </c>
      <c r="J50" s="53">
        <v>45.6</v>
      </c>
      <c r="K50" s="54">
        <v>0.814285714285714</v>
      </c>
    </row>
    <row r="51" spans="1:11">
      <c r="A51" s="44" t="s">
        <v>157</v>
      </c>
      <c r="B51" s="44">
        <v>2025</v>
      </c>
      <c r="C51" s="44" t="s">
        <v>245</v>
      </c>
      <c r="D51" s="46" t="s">
        <v>82</v>
      </c>
      <c r="E51" s="46" t="s">
        <v>83</v>
      </c>
      <c r="F51" s="46" t="s">
        <v>8</v>
      </c>
      <c r="G51" s="46" t="s">
        <v>117</v>
      </c>
      <c r="H51" s="49" t="s">
        <v>159</v>
      </c>
      <c r="I51" s="53">
        <v>56</v>
      </c>
      <c r="J51" s="53">
        <v>16.8</v>
      </c>
      <c r="K51" s="54">
        <v>0.3</v>
      </c>
    </row>
    <row r="52" spans="1:11">
      <c r="A52" s="44" t="s">
        <v>157</v>
      </c>
      <c r="B52" s="44">
        <v>2025</v>
      </c>
      <c r="C52" s="44" t="s">
        <v>245</v>
      </c>
      <c r="D52" s="46" t="s">
        <v>82</v>
      </c>
      <c r="E52" s="46" t="s">
        <v>83</v>
      </c>
      <c r="F52" s="46" t="s">
        <v>8</v>
      </c>
      <c r="G52" s="46" t="s">
        <v>118</v>
      </c>
      <c r="H52" s="49" t="s">
        <v>159</v>
      </c>
      <c r="I52" s="53">
        <v>56</v>
      </c>
      <c r="J52" s="53">
        <v>106.3</v>
      </c>
      <c r="K52" s="54">
        <v>1.89821428571429</v>
      </c>
    </row>
    <row r="53" spans="1:11">
      <c r="A53" s="44" t="s">
        <v>157</v>
      </c>
      <c r="B53" s="44">
        <v>2025</v>
      </c>
      <c r="C53" s="44" t="s">
        <v>245</v>
      </c>
      <c r="D53" s="46" t="s">
        <v>82</v>
      </c>
      <c r="E53" s="46" t="s">
        <v>83</v>
      </c>
      <c r="F53" s="46" t="s">
        <v>8</v>
      </c>
      <c r="G53" s="46" t="s">
        <v>119</v>
      </c>
      <c r="H53" s="49" t="s">
        <v>159</v>
      </c>
      <c r="I53" s="53">
        <v>56</v>
      </c>
      <c r="J53" s="53">
        <v>26.9</v>
      </c>
      <c r="K53" s="54">
        <v>0.480357142857143</v>
      </c>
    </row>
    <row r="54" spans="1:11">
      <c r="A54" s="44" t="s">
        <v>157</v>
      </c>
      <c r="B54" s="44">
        <v>2025</v>
      </c>
      <c r="C54" s="44" t="s">
        <v>245</v>
      </c>
      <c r="D54" s="46" t="s">
        <v>82</v>
      </c>
      <c r="E54" s="46" t="s">
        <v>83</v>
      </c>
      <c r="F54" s="46" t="s">
        <v>6</v>
      </c>
      <c r="G54" s="46" t="s">
        <v>116</v>
      </c>
      <c r="H54" s="49" t="s">
        <v>159</v>
      </c>
      <c r="I54" s="53">
        <v>70</v>
      </c>
      <c r="J54" s="53">
        <v>38.7</v>
      </c>
      <c r="K54" s="54">
        <v>0.552857142857143</v>
      </c>
    </row>
    <row r="55" spans="1:11">
      <c r="A55" s="44" t="s">
        <v>157</v>
      </c>
      <c r="B55" s="44">
        <v>2025</v>
      </c>
      <c r="C55" s="44" t="s">
        <v>245</v>
      </c>
      <c r="D55" s="46" t="s">
        <v>82</v>
      </c>
      <c r="E55" s="46" t="s">
        <v>83</v>
      </c>
      <c r="F55" s="46" t="s">
        <v>6</v>
      </c>
      <c r="G55" s="46" t="s">
        <v>117</v>
      </c>
      <c r="H55" s="49" t="s">
        <v>159</v>
      </c>
      <c r="I55" s="53">
        <v>70</v>
      </c>
      <c r="J55" s="53">
        <v>33.4</v>
      </c>
      <c r="K55" s="54">
        <v>0.477142857142857</v>
      </c>
    </row>
    <row r="56" spans="1:11">
      <c r="A56" s="44" t="s">
        <v>157</v>
      </c>
      <c r="B56" s="44">
        <v>2025</v>
      </c>
      <c r="C56" s="44" t="s">
        <v>245</v>
      </c>
      <c r="D56" s="46" t="s">
        <v>82</v>
      </c>
      <c r="E56" s="46" t="s">
        <v>83</v>
      </c>
      <c r="F56" s="46" t="s">
        <v>6</v>
      </c>
      <c r="G56" s="46" t="s">
        <v>118</v>
      </c>
      <c r="H56" s="49" t="s">
        <v>159</v>
      </c>
      <c r="I56" s="53">
        <v>70</v>
      </c>
      <c r="J56" s="53">
        <v>89.7</v>
      </c>
      <c r="K56" s="54">
        <v>1.28142857142857</v>
      </c>
    </row>
    <row r="57" spans="1:11">
      <c r="A57" s="44" t="s">
        <v>157</v>
      </c>
      <c r="B57" s="44">
        <v>2025</v>
      </c>
      <c r="C57" s="44" t="s">
        <v>245</v>
      </c>
      <c r="D57" s="46" t="s">
        <v>82</v>
      </c>
      <c r="E57" s="46" t="s">
        <v>83</v>
      </c>
      <c r="F57" s="46" t="s">
        <v>6</v>
      </c>
      <c r="G57" s="46" t="s">
        <v>119</v>
      </c>
      <c r="H57" s="49" t="s">
        <v>159</v>
      </c>
      <c r="I57" s="53">
        <v>70</v>
      </c>
      <c r="J57" s="53">
        <v>59.6</v>
      </c>
      <c r="K57" s="54">
        <v>0.851428571428571</v>
      </c>
    </row>
    <row r="58" spans="1:11">
      <c r="A58" s="44" t="s">
        <v>166</v>
      </c>
      <c r="B58" s="44" t="s">
        <v>242</v>
      </c>
      <c r="C58" s="44" t="s">
        <v>245</v>
      </c>
      <c r="D58" s="46" t="s">
        <v>82</v>
      </c>
      <c r="E58" s="46" t="s">
        <v>83</v>
      </c>
      <c r="F58" s="46" t="s">
        <v>3</v>
      </c>
      <c r="G58" s="46" t="s">
        <v>116</v>
      </c>
      <c r="H58" s="49" t="s">
        <v>148</v>
      </c>
      <c r="I58" s="53">
        <v>53</v>
      </c>
      <c r="J58" s="53">
        <v>52.6</v>
      </c>
      <c r="K58" s="54">
        <v>0.992452830188679</v>
      </c>
    </row>
    <row r="59" spans="1:11">
      <c r="A59" s="44" t="s">
        <v>166</v>
      </c>
      <c r="B59" s="44" t="s">
        <v>242</v>
      </c>
      <c r="C59" s="44" t="s">
        <v>245</v>
      </c>
      <c r="D59" s="46" t="s">
        <v>82</v>
      </c>
      <c r="E59" s="46" t="s">
        <v>83</v>
      </c>
      <c r="F59" s="46" t="s">
        <v>3</v>
      </c>
      <c r="G59" s="46" t="s">
        <v>117</v>
      </c>
      <c r="H59" s="49" t="s">
        <v>148</v>
      </c>
      <c r="I59" s="53">
        <v>53</v>
      </c>
      <c r="J59" s="53">
        <v>38.2</v>
      </c>
      <c r="K59" s="54">
        <v>0.720754716981132</v>
      </c>
    </row>
    <row r="60" spans="1:11">
      <c r="A60" s="44" t="s">
        <v>166</v>
      </c>
      <c r="B60" s="44" t="s">
        <v>242</v>
      </c>
      <c r="C60" s="44" t="s">
        <v>245</v>
      </c>
      <c r="D60" s="46" t="s">
        <v>82</v>
      </c>
      <c r="E60" s="46" t="s">
        <v>83</v>
      </c>
      <c r="F60" s="46" t="s">
        <v>3</v>
      </c>
      <c r="G60" s="46" t="s">
        <v>118</v>
      </c>
      <c r="H60" s="49" t="s">
        <v>148</v>
      </c>
      <c r="I60" s="53">
        <v>53</v>
      </c>
      <c r="J60" s="53">
        <v>116.9</v>
      </c>
      <c r="K60" s="54">
        <v>2.20566037735849</v>
      </c>
    </row>
    <row r="61" spans="1:11">
      <c r="A61" s="44" t="s">
        <v>166</v>
      </c>
      <c r="B61" s="44" t="s">
        <v>242</v>
      </c>
      <c r="C61" s="44" t="s">
        <v>245</v>
      </c>
      <c r="D61" s="46" t="s">
        <v>82</v>
      </c>
      <c r="E61" s="46" t="s">
        <v>83</v>
      </c>
      <c r="F61" s="46" t="s">
        <v>3</v>
      </c>
      <c r="G61" s="46" t="s">
        <v>119</v>
      </c>
      <c r="H61" s="49" t="s">
        <v>148</v>
      </c>
      <c r="I61" s="53">
        <v>53</v>
      </c>
      <c r="J61" s="53">
        <v>31.7</v>
      </c>
      <c r="K61" s="54">
        <v>0.59811320754717</v>
      </c>
    </row>
    <row r="62" spans="1:11">
      <c r="A62" s="44" t="s">
        <v>166</v>
      </c>
      <c r="B62" s="44" t="s">
        <v>242</v>
      </c>
      <c r="C62" s="44" t="s">
        <v>245</v>
      </c>
      <c r="D62" s="46" t="s">
        <v>82</v>
      </c>
      <c r="E62" s="46" t="s">
        <v>83</v>
      </c>
      <c r="F62" s="46" t="s">
        <v>9</v>
      </c>
      <c r="G62" s="46" t="s">
        <v>116</v>
      </c>
      <c r="H62" s="49" t="s">
        <v>148</v>
      </c>
      <c r="I62" s="53">
        <v>57</v>
      </c>
      <c r="J62" s="53">
        <v>62.5</v>
      </c>
      <c r="K62" s="54">
        <v>1.09649122807018</v>
      </c>
    </row>
    <row r="63" spans="1:11">
      <c r="A63" s="44" t="s">
        <v>166</v>
      </c>
      <c r="B63" s="44" t="s">
        <v>242</v>
      </c>
      <c r="C63" s="44" t="s">
        <v>245</v>
      </c>
      <c r="D63" s="46" t="s">
        <v>82</v>
      </c>
      <c r="E63" s="46" t="s">
        <v>83</v>
      </c>
      <c r="F63" s="46" t="s">
        <v>9</v>
      </c>
      <c r="G63" s="46" t="s">
        <v>117</v>
      </c>
      <c r="H63" s="49" t="s">
        <v>148</v>
      </c>
      <c r="I63" s="53">
        <v>57</v>
      </c>
      <c r="J63" s="53">
        <v>41.4</v>
      </c>
      <c r="K63" s="54">
        <v>0.726315789473684</v>
      </c>
    </row>
    <row r="64" spans="1:11">
      <c r="A64" s="44" t="s">
        <v>166</v>
      </c>
      <c r="B64" s="44" t="s">
        <v>242</v>
      </c>
      <c r="C64" s="44" t="s">
        <v>245</v>
      </c>
      <c r="D64" s="46" t="s">
        <v>82</v>
      </c>
      <c r="E64" s="46" t="s">
        <v>83</v>
      </c>
      <c r="F64" s="46" t="s">
        <v>9</v>
      </c>
      <c r="G64" s="46" t="s">
        <v>118</v>
      </c>
      <c r="H64" s="49" t="s">
        <v>148</v>
      </c>
      <c r="I64" s="53">
        <v>57</v>
      </c>
      <c r="J64" s="53">
        <v>117.2</v>
      </c>
      <c r="K64" s="54">
        <v>2.05614035087719</v>
      </c>
    </row>
    <row r="65" spans="1:11">
      <c r="A65" s="44" t="s">
        <v>166</v>
      </c>
      <c r="B65" s="44" t="s">
        <v>242</v>
      </c>
      <c r="C65" s="44" t="s">
        <v>245</v>
      </c>
      <c r="D65" s="46" t="s">
        <v>82</v>
      </c>
      <c r="E65" s="46" t="s">
        <v>83</v>
      </c>
      <c r="F65" s="46" t="s">
        <v>9</v>
      </c>
      <c r="G65" s="46" t="s">
        <v>119</v>
      </c>
      <c r="H65" s="49" t="s">
        <v>148</v>
      </c>
      <c r="I65" s="53">
        <v>57</v>
      </c>
      <c r="J65" s="53">
        <v>26</v>
      </c>
      <c r="K65" s="54">
        <v>0.456140350877193</v>
      </c>
    </row>
    <row r="66" spans="1:11">
      <c r="A66" s="44" t="s">
        <v>166</v>
      </c>
      <c r="B66" s="44" t="s">
        <v>242</v>
      </c>
      <c r="C66" s="44" t="s">
        <v>245</v>
      </c>
      <c r="D66" s="46" t="s">
        <v>82</v>
      </c>
      <c r="E66" s="46" t="s">
        <v>83</v>
      </c>
      <c r="F66" s="46" t="s">
        <v>5</v>
      </c>
      <c r="G66" s="46" t="s">
        <v>116</v>
      </c>
      <c r="H66" s="49" t="s">
        <v>148</v>
      </c>
      <c r="I66" s="53">
        <v>48</v>
      </c>
      <c r="J66" s="53">
        <v>70.2</v>
      </c>
      <c r="K66" s="54">
        <v>1.4625</v>
      </c>
    </row>
    <row r="67" spans="1:11">
      <c r="A67" s="44" t="s">
        <v>166</v>
      </c>
      <c r="B67" s="44" t="s">
        <v>242</v>
      </c>
      <c r="C67" s="44" t="s">
        <v>245</v>
      </c>
      <c r="D67" s="46" t="s">
        <v>82</v>
      </c>
      <c r="E67" s="46" t="s">
        <v>83</v>
      </c>
      <c r="F67" s="46" t="s">
        <v>5</v>
      </c>
      <c r="G67" s="46" t="s">
        <v>117</v>
      </c>
      <c r="H67" s="49" t="s">
        <v>148</v>
      </c>
      <c r="I67" s="53">
        <v>48</v>
      </c>
      <c r="J67" s="53">
        <v>60.9</v>
      </c>
      <c r="K67" s="54">
        <v>1.26875</v>
      </c>
    </row>
    <row r="68" spans="1:11">
      <c r="A68" s="44" t="s">
        <v>166</v>
      </c>
      <c r="B68" s="44" t="s">
        <v>242</v>
      </c>
      <c r="C68" s="44" t="s">
        <v>245</v>
      </c>
      <c r="D68" s="46" t="s">
        <v>82</v>
      </c>
      <c r="E68" s="46" t="s">
        <v>83</v>
      </c>
      <c r="F68" s="46" t="s">
        <v>5</v>
      </c>
      <c r="G68" s="46" t="s">
        <v>118</v>
      </c>
      <c r="H68" s="49" t="s">
        <v>148</v>
      </c>
      <c r="I68" s="53">
        <v>48</v>
      </c>
      <c r="J68" s="53">
        <v>125.9</v>
      </c>
      <c r="K68" s="54">
        <v>2.62291666666667</v>
      </c>
    </row>
    <row r="69" spans="1:11">
      <c r="A69" s="44" t="s">
        <v>166</v>
      </c>
      <c r="B69" s="44" t="s">
        <v>242</v>
      </c>
      <c r="C69" s="44" t="s">
        <v>245</v>
      </c>
      <c r="D69" s="46" t="s">
        <v>82</v>
      </c>
      <c r="E69" s="46" t="s">
        <v>83</v>
      </c>
      <c r="F69" s="46" t="s">
        <v>5</v>
      </c>
      <c r="G69" s="46" t="s">
        <v>119</v>
      </c>
      <c r="H69" s="49" t="s">
        <v>148</v>
      </c>
      <c r="I69" s="53">
        <v>48</v>
      </c>
      <c r="J69" s="53">
        <v>43.7</v>
      </c>
      <c r="K69" s="54">
        <v>0.910416666666667</v>
      </c>
    </row>
    <row r="70" spans="1:11">
      <c r="A70" s="44" t="s">
        <v>166</v>
      </c>
      <c r="B70" s="44" t="s">
        <v>242</v>
      </c>
      <c r="C70" s="44" t="s">
        <v>245</v>
      </c>
      <c r="D70" s="46" t="s">
        <v>82</v>
      </c>
      <c r="E70" s="46" t="s">
        <v>83</v>
      </c>
      <c r="F70" s="46" t="s">
        <v>4</v>
      </c>
      <c r="G70" s="46" t="s">
        <v>116</v>
      </c>
      <c r="H70" s="49" t="s">
        <v>148</v>
      </c>
      <c r="I70" s="53">
        <v>36</v>
      </c>
      <c r="J70" s="53">
        <v>23.6</v>
      </c>
      <c r="K70" s="54">
        <v>0.655555555555555</v>
      </c>
    </row>
    <row r="71" spans="1:11">
      <c r="A71" s="44" t="s">
        <v>166</v>
      </c>
      <c r="B71" s="44" t="s">
        <v>242</v>
      </c>
      <c r="C71" s="44" t="s">
        <v>245</v>
      </c>
      <c r="D71" s="46" t="s">
        <v>82</v>
      </c>
      <c r="E71" s="46" t="s">
        <v>83</v>
      </c>
      <c r="F71" s="46" t="s">
        <v>4</v>
      </c>
      <c r="G71" s="46" t="s">
        <v>117</v>
      </c>
      <c r="H71" s="49" t="s">
        <v>148</v>
      </c>
      <c r="I71" s="53">
        <v>36</v>
      </c>
      <c r="J71" s="53">
        <v>13.6</v>
      </c>
      <c r="K71" s="54">
        <v>0.377777777777778</v>
      </c>
    </row>
    <row r="72" spans="1:11">
      <c r="A72" s="44" t="s">
        <v>166</v>
      </c>
      <c r="B72" s="44" t="s">
        <v>242</v>
      </c>
      <c r="C72" s="44" t="s">
        <v>245</v>
      </c>
      <c r="D72" s="46" t="s">
        <v>82</v>
      </c>
      <c r="E72" s="46" t="s">
        <v>83</v>
      </c>
      <c r="F72" s="46" t="s">
        <v>4</v>
      </c>
      <c r="G72" s="46" t="s">
        <v>118</v>
      </c>
      <c r="H72" s="49" t="s">
        <v>148</v>
      </c>
      <c r="I72" s="53">
        <v>36</v>
      </c>
      <c r="J72" s="53">
        <v>74.6</v>
      </c>
      <c r="K72" s="54">
        <v>2.07222222222222</v>
      </c>
    </row>
    <row r="73" spans="1:11">
      <c r="A73" s="44" t="s">
        <v>166</v>
      </c>
      <c r="B73" s="44" t="s">
        <v>242</v>
      </c>
      <c r="C73" s="44" t="s">
        <v>245</v>
      </c>
      <c r="D73" s="46" t="s">
        <v>82</v>
      </c>
      <c r="E73" s="46" t="s">
        <v>83</v>
      </c>
      <c r="F73" s="46" t="s">
        <v>4</v>
      </c>
      <c r="G73" s="46" t="s">
        <v>119</v>
      </c>
      <c r="H73" s="49" t="s">
        <v>148</v>
      </c>
      <c r="I73" s="53">
        <v>36</v>
      </c>
      <c r="J73" s="53">
        <v>14</v>
      </c>
      <c r="K73" s="54">
        <v>0.388888888888889</v>
      </c>
    </row>
    <row r="74" spans="1:11">
      <c r="A74" s="44" t="s">
        <v>166</v>
      </c>
      <c r="B74" s="44" t="s">
        <v>242</v>
      </c>
      <c r="C74" s="44" t="s">
        <v>245</v>
      </c>
      <c r="D74" s="46" t="s">
        <v>82</v>
      </c>
      <c r="E74" s="46" t="s">
        <v>83</v>
      </c>
      <c r="F74" s="46" t="s">
        <v>7</v>
      </c>
      <c r="G74" s="46" t="s">
        <v>116</v>
      </c>
      <c r="H74" s="49" t="s">
        <v>148</v>
      </c>
      <c r="I74" s="53">
        <v>55</v>
      </c>
      <c r="J74" s="53">
        <v>44.5</v>
      </c>
      <c r="K74" s="54">
        <v>0.809090909090909</v>
      </c>
    </row>
    <row r="75" spans="1:11">
      <c r="A75" s="44" t="s">
        <v>166</v>
      </c>
      <c r="B75" s="44" t="s">
        <v>242</v>
      </c>
      <c r="C75" s="44" t="s">
        <v>245</v>
      </c>
      <c r="D75" s="46" t="s">
        <v>82</v>
      </c>
      <c r="E75" s="46" t="s">
        <v>83</v>
      </c>
      <c r="F75" s="46" t="s">
        <v>7</v>
      </c>
      <c r="G75" s="46" t="s">
        <v>117</v>
      </c>
      <c r="H75" s="49" t="s">
        <v>148</v>
      </c>
      <c r="I75" s="53">
        <v>55</v>
      </c>
      <c r="J75" s="53">
        <v>40.1</v>
      </c>
      <c r="K75" s="54">
        <v>0.729090909090909</v>
      </c>
    </row>
    <row r="76" spans="1:11">
      <c r="A76" s="44" t="s">
        <v>166</v>
      </c>
      <c r="B76" s="44" t="s">
        <v>242</v>
      </c>
      <c r="C76" s="44" t="s">
        <v>245</v>
      </c>
      <c r="D76" s="46" t="s">
        <v>82</v>
      </c>
      <c r="E76" s="46" t="s">
        <v>83</v>
      </c>
      <c r="F76" s="46" t="s">
        <v>7</v>
      </c>
      <c r="G76" s="46" t="s">
        <v>118</v>
      </c>
      <c r="H76" s="49" t="s">
        <v>148</v>
      </c>
      <c r="I76" s="53">
        <v>55</v>
      </c>
      <c r="J76" s="53">
        <v>122.4</v>
      </c>
      <c r="K76" s="54">
        <v>2.22545454545455</v>
      </c>
    </row>
    <row r="77" spans="1:11">
      <c r="A77" s="44" t="s">
        <v>166</v>
      </c>
      <c r="B77" s="44" t="s">
        <v>242</v>
      </c>
      <c r="C77" s="44" t="s">
        <v>245</v>
      </c>
      <c r="D77" s="46" t="s">
        <v>82</v>
      </c>
      <c r="E77" s="46" t="s">
        <v>83</v>
      </c>
      <c r="F77" s="46" t="s">
        <v>7</v>
      </c>
      <c r="G77" s="46" t="s">
        <v>119</v>
      </c>
      <c r="H77" s="49" t="s">
        <v>148</v>
      </c>
      <c r="I77" s="53">
        <v>55</v>
      </c>
      <c r="J77" s="53">
        <v>52.5</v>
      </c>
      <c r="K77" s="54">
        <v>0.954545454545455</v>
      </c>
    </row>
    <row r="78" spans="1:11">
      <c r="A78" s="44" t="s">
        <v>166</v>
      </c>
      <c r="B78" s="44" t="s">
        <v>242</v>
      </c>
      <c r="C78" s="44" t="s">
        <v>245</v>
      </c>
      <c r="D78" s="46" t="s">
        <v>82</v>
      </c>
      <c r="E78" s="46" t="s">
        <v>83</v>
      </c>
      <c r="F78" s="46" t="s">
        <v>8</v>
      </c>
      <c r="G78" s="46" t="s">
        <v>116</v>
      </c>
      <c r="H78" s="49" t="s">
        <v>148</v>
      </c>
      <c r="I78" s="53">
        <v>56</v>
      </c>
      <c r="J78" s="53">
        <v>63.7</v>
      </c>
      <c r="K78" s="54">
        <v>1.1375</v>
      </c>
    </row>
    <row r="79" spans="1:11">
      <c r="A79" s="44" t="s">
        <v>166</v>
      </c>
      <c r="B79" s="44" t="s">
        <v>242</v>
      </c>
      <c r="C79" s="44" t="s">
        <v>245</v>
      </c>
      <c r="D79" s="46" t="s">
        <v>82</v>
      </c>
      <c r="E79" s="46" t="s">
        <v>83</v>
      </c>
      <c r="F79" s="46" t="s">
        <v>8</v>
      </c>
      <c r="G79" s="46" t="s">
        <v>117</v>
      </c>
      <c r="H79" s="49" t="s">
        <v>148</v>
      </c>
      <c r="I79" s="53">
        <v>56</v>
      </c>
      <c r="J79" s="53">
        <v>43.2</v>
      </c>
      <c r="K79" s="54">
        <v>0.771428571428571</v>
      </c>
    </row>
    <row r="80" spans="1:11">
      <c r="A80" s="44" t="s">
        <v>166</v>
      </c>
      <c r="B80" s="44" t="s">
        <v>242</v>
      </c>
      <c r="C80" s="44" t="s">
        <v>245</v>
      </c>
      <c r="D80" s="46" t="s">
        <v>82</v>
      </c>
      <c r="E80" s="46" t="s">
        <v>83</v>
      </c>
      <c r="F80" s="46" t="s">
        <v>8</v>
      </c>
      <c r="G80" s="46" t="s">
        <v>118</v>
      </c>
      <c r="H80" s="49" t="s">
        <v>148</v>
      </c>
      <c r="I80" s="53">
        <v>56</v>
      </c>
      <c r="J80" s="53">
        <v>112.6</v>
      </c>
      <c r="K80" s="54">
        <v>2.01071428571429</v>
      </c>
    </row>
    <row r="81" spans="1:11">
      <c r="A81" s="44" t="s">
        <v>166</v>
      </c>
      <c r="B81" s="44" t="s">
        <v>242</v>
      </c>
      <c r="C81" s="44" t="s">
        <v>245</v>
      </c>
      <c r="D81" s="46" t="s">
        <v>82</v>
      </c>
      <c r="E81" s="46" t="s">
        <v>83</v>
      </c>
      <c r="F81" s="46" t="s">
        <v>8</v>
      </c>
      <c r="G81" s="46" t="s">
        <v>119</v>
      </c>
      <c r="H81" s="49" t="s">
        <v>148</v>
      </c>
      <c r="I81" s="53">
        <v>56</v>
      </c>
      <c r="J81" s="53">
        <v>33</v>
      </c>
      <c r="K81" s="54">
        <v>0.589285714285714</v>
      </c>
    </row>
    <row r="82" spans="1:11">
      <c r="A82" s="44" t="s">
        <v>166</v>
      </c>
      <c r="B82" s="44" t="s">
        <v>242</v>
      </c>
      <c r="C82" s="44" t="s">
        <v>245</v>
      </c>
      <c r="D82" s="46" t="s">
        <v>82</v>
      </c>
      <c r="E82" s="46" t="s">
        <v>83</v>
      </c>
      <c r="F82" s="46" t="s">
        <v>6</v>
      </c>
      <c r="G82" s="46" t="s">
        <v>116</v>
      </c>
      <c r="H82" s="49" t="s">
        <v>148</v>
      </c>
      <c r="I82" s="53">
        <v>70</v>
      </c>
      <c r="J82" s="53">
        <v>60.7</v>
      </c>
      <c r="K82" s="54">
        <v>0.867142857142857</v>
      </c>
    </row>
    <row r="83" spans="1:11">
      <c r="A83" s="44" t="s">
        <v>166</v>
      </c>
      <c r="B83" s="44" t="s">
        <v>242</v>
      </c>
      <c r="C83" s="44" t="s">
        <v>245</v>
      </c>
      <c r="D83" s="46" t="s">
        <v>82</v>
      </c>
      <c r="E83" s="46" t="s">
        <v>83</v>
      </c>
      <c r="F83" s="46" t="s">
        <v>6</v>
      </c>
      <c r="G83" s="46" t="s">
        <v>117</v>
      </c>
      <c r="H83" s="49" t="s">
        <v>148</v>
      </c>
      <c r="I83" s="53">
        <v>70</v>
      </c>
      <c r="J83" s="53">
        <v>58.9</v>
      </c>
      <c r="K83" s="54">
        <v>0.841428571428571</v>
      </c>
    </row>
    <row r="84" spans="1:11">
      <c r="A84" s="44" t="s">
        <v>166</v>
      </c>
      <c r="B84" s="44" t="s">
        <v>242</v>
      </c>
      <c r="C84" s="44" t="s">
        <v>245</v>
      </c>
      <c r="D84" s="46" t="s">
        <v>82</v>
      </c>
      <c r="E84" s="46" t="s">
        <v>83</v>
      </c>
      <c r="F84" s="46" t="s">
        <v>6</v>
      </c>
      <c r="G84" s="46" t="s">
        <v>118</v>
      </c>
      <c r="H84" s="49" t="s">
        <v>148</v>
      </c>
      <c r="I84" s="53">
        <v>70</v>
      </c>
      <c r="J84" s="53">
        <v>186.2</v>
      </c>
      <c r="K84" s="54">
        <v>2.66</v>
      </c>
    </row>
    <row r="85" spans="1:11">
      <c r="A85" s="44" t="s">
        <v>166</v>
      </c>
      <c r="B85" s="44" t="s">
        <v>242</v>
      </c>
      <c r="C85" s="44" t="s">
        <v>245</v>
      </c>
      <c r="D85" s="46" t="s">
        <v>82</v>
      </c>
      <c r="E85" s="46" t="s">
        <v>83</v>
      </c>
      <c r="F85" s="46" t="s">
        <v>6</v>
      </c>
      <c r="G85" s="46" t="s">
        <v>119</v>
      </c>
      <c r="H85" s="49" t="s">
        <v>148</v>
      </c>
      <c r="I85" s="53">
        <v>70</v>
      </c>
      <c r="J85" s="53">
        <v>58.2</v>
      </c>
      <c r="K85" s="54">
        <v>0.831428571428571</v>
      </c>
    </row>
    <row r="86" spans="1:11">
      <c r="A86" s="46" t="s">
        <v>168</v>
      </c>
      <c r="B86" s="46" t="s">
        <v>242</v>
      </c>
      <c r="C86" s="46" t="s">
        <v>246</v>
      </c>
      <c r="D86" s="46" t="s">
        <v>82</v>
      </c>
      <c r="E86" s="46" t="s">
        <v>83</v>
      </c>
      <c r="F86" s="46" t="s">
        <v>3</v>
      </c>
      <c r="G86" s="46" t="s">
        <v>116</v>
      </c>
      <c r="H86" s="49" t="s">
        <v>159</v>
      </c>
      <c r="I86" s="53">
        <v>53</v>
      </c>
      <c r="J86" s="53">
        <v>27.2</v>
      </c>
      <c r="K86" s="54">
        <v>0.513207547169811</v>
      </c>
    </row>
    <row r="87" spans="1:11">
      <c r="A87" s="46" t="s">
        <v>168</v>
      </c>
      <c r="B87" s="46" t="s">
        <v>242</v>
      </c>
      <c r="C87" s="46" t="s">
        <v>246</v>
      </c>
      <c r="D87" s="46" t="s">
        <v>82</v>
      </c>
      <c r="E87" s="46" t="s">
        <v>83</v>
      </c>
      <c r="F87" s="46" t="s">
        <v>3</v>
      </c>
      <c r="G87" s="46" t="s">
        <v>117</v>
      </c>
      <c r="H87" s="49" t="s">
        <v>159</v>
      </c>
      <c r="I87" s="53">
        <v>53</v>
      </c>
      <c r="J87" s="53">
        <v>17.3</v>
      </c>
      <c r="K87" s="54">
        <v>0.326415094339623</v>
      </c>
    </row>
    <row r="88" spans="1:11">
      <c r="A88" s="46" t="s">
        <v>168</v>
      </c>
      <c r="B88" s="46" t="s">
        <v>242</v>
      </c>
      <c r="C88" s="46" t="s">
        <v>246</v>
      </c>
      <c r="D88" s="46" t="s">
        <v>82</v>
      </c>
      <c r="E88" s="46" t="s">
        <v>83</v>
      </c>
      <c r="F88" s="46" t="s">
        <v>3</v>
      </c>
      <c r="G88" s="46" t="s">
        <v>118</v>
      </c>
      <c r="H88" s="49" t="s">
        <v>159</v>
      </c>
      <c r="I88" s="53">
        <v>53</v>
      </c>
      <c r="J88" s="53">
        <v>78.8</v>
      </c>
      <c r="K88" s="54">
        <v>1.48679245283019</v>
      </c>
    </row>
    <row r="89" spans="1:11">
      <c r="A89" s="46" t="s">
        <v>168</v>
      </c>
      <c r="B89" s="46" t="s">
        <v>242</v>
      </c>
      <c r="C89" s="46" t="s">
        <v>246</v>
      </c>
      <c r="D89" s="46" t="s">
        <v>82</v>
      </c>
      <c r="E89" s="46" t="s">
        <v>83</v>
      </c>
      <c r="F89" s="46" t="s">
        <v>3</v>
      </c>
      <c r="G89" s="46" t="s">
        <v>119</v>
      </c>
      <c r="H89" s="49" t="s">
        <v>159</v>
      </c>
      <c r="I89" s="53">
        <v>53</v>
      </c>
      <c r="J89" s="53">
        <v>30.2</v>
      </c>
      <c r="K89" s="54">
        <v>0.569811320754717</v>
      </c>
    </row>
    <row r="90" spans="1:11">
      <c r="A90" s="46" t="s">
        <v>168</v>
      </c>
      <c r="B90" s="46" t="s">
        <v>242</v>
      </c>
      <c r="C90" s="46" t="s">
        <v>246</v>
      </c>
      <c r="D90" s="46" t="s">
        <v>82</v>
      </c>
      <c r="E90" s="46" t="s">
        <v>83</v>
      </c>
      <c r="F90" s="46" t="s">
        <v>9</v>
      </c>
      <c r="G90" s="46" t="s">
        <v>116</v>
      </c>
      <c r="H90" s="49" t="s">
        <v>159</v>
      </c>
      <c r="I90" s="53">
        <v>57</v>
      </c>
      <c r="J90" s="53">
        <v>31.6</v>
      </c>
      <c r="K90" s="54">
        <v>0.554385964912281</v>
      </c>
    </row>
    <row r="91" spans="1:11">
      <c r="A91" s="46" t="s">
        <v>168</v>
      </c>
      <c r="B91" s="46" t="s">
        <v>242</v>
      </c>
      <c r="C91" s="46" t="s">
        <v>246</v>
      </c>
      <c r="D91" s="46" t="s">
        <v>82</v>
      </c>
      <c r="E91" s="46" t="s">
        <v>83</v>
      </c>
      <c r="F91" s="46" t="s">
        <v>9</v>
      </c>
      <c r="G91" s="46" t="s">
        <v>117</v>
      </c>
      <c r="H91" s="49" t="s">
        <v>159</v>
      </c>
      <c r="I91" s="53">
        <v>57</v>
      </c>
      <c r="J91" s="53">
        <v>19</v>
      </c>
      <c r="K91" s="54">
        <v>0.333333333333333</v>
      </c>
    </row>
    <row r="92" spans="1:11">
      <c r="A92" s="46" t="s">
        <v>168</v>
      </c>
      <c r="B92" s="46" t="s">
        <v>242</v>
      </c>
      <c r="C92" s="46" t="s">
        <v>246</v>
      </c>
      <c r="D92" s="46" t="s">
        <v>82</v>
      </c>
      <c r="E92" s="46" t="s">
        <v>83</v>
      </c>
      <c r="F92" s="46" t="s">
        <v>9</v>
      </c>
      <c r="G92" s="46" t="s">
        <v>118</v>
      </c>
      <c r="H92" s="49" t="s">
        <v>159</v>
      </c>
      <c r="I92" s="53">
        <v>57</v>
      </c>
      <c r="J92" s="53">
        <v>68.3</v>
      </c>
      <c r="K92" s="54">
        <v>1.19824561403509</v>
      </c>
    </row>
    <row r="93" spans="1:11">
      <c r="A93" s="46" t="s">
        <v>168</v>
      </c>
      <c r="B93" s="46" t="s">
        <v>242</v>
      </c>
      <c r="C93" s="46" t="s">
        <v>246</v>
      </c>
      <c r="D93" s="46" t="s">
        <v>82</v>
      </c>
      <c r="E93" s="46" t="s">
        <v>83</v>
      </c>
      <c r="F93" s="46" t="s">
        <v>9</v>
      </c>
      <c r="G93" s="46" t="s">
        <v>119</v>
      </c>
      <c r="H93" s="49" t="s">
        <v>159</v>
      </c>
      <c r="I93" s="53">
        <v>57</v>
      </c>
      <c r="J93" s="53">
        <v>21.4</v>
      </c>
      <c r="K93" s="54">
        <v>0.375438596491228</v>
      </c>
    </row>
    <row r="94" spans="1:11">
      <c r="A94" s="46" t="s">
        <v>168</v>
      </c>
      <c r="B94" s="46" t="s">
        <v>242</v>
      </c>
      <c r="C94" s="46" t="s">
        <v>246</v>
      </c>
      <c r="D94" s="46" t="s">
        <v>82</v>
      </c>
      <c r="E94" s="46" t="s">
        <v>83</v>
      </c>
      <c r="F94" s="46" t="s">
        <v>5</v>
      </c>
      <c r="G94" s="46" t="s">
        <v>116</v>
      </c>
      <c r="H94" s="49" t="s">
        <v>159</v>
      </c>
      <c r="I94" s="53">
        <v>48</v>
      </c>
      <c r="J94" s="53">
        <v>38</v>
      </c>
      <c r="K94" s="54">
        <v>0.791666666666667</v>
      </c>
    </row>
    <row r="95" spans="1:11">
      <c r="A95" s="46" t="s">
        <v>168</v>
      </c>
      <c r="B95" s="46" t="s">
        <v>242</v>
      </c>
      <c r="C95" s="46" t="s">
        <v>246</v>
      </c>
      <c r="D95" s="46" t="s">
        <v>82</v>
      </c>
      <c r="E95" s="46" t="s">
        <v>83</v>
      </c>
      <c r="F95" s="46" t="s">
        <v>5</v>
      </c>
      <c r="G95" s="46" t="s">
        <v>117</v>
      </c>
      <c r="H95" s="49" t="s">
        <v>159</v>
      </c>
      <c r="I95" s="53">
        <v>48</v>
      </c>
      <c r="J95" s="53">
        <v>23.3</v>
      </c>
      <c r="K95" s="54">
        <v>0.485416666666667</v>
      </c>
    </row>
    <row r="96" spans="1:11">
      <c r="A96" s="46" t="s">
        <v>168</v>
      </c>
      <c r="B96" s="46" t="s">
        <v>242</v>
      </c>
      <c r="C96" s="46" t="s">
        <v>246</v>
      </c>
      <c r="D96" s="46" t="s">
        <v>82</v>
      </c>
      <c r="E96" s="46" t="s">
        <v>83</v>
      </c>
      <c r="F96" s="46" t="s">
        <v>5</v>
      </c>
      <c r="G96" s="46" t="s">
        <v>118</v>
      </c>
      <c r="H96" s="49" t="s">
        <v>159</v>
      </c>
      <c r="I96" s="53">
        <v>48</v>
      </c>
      <c r="J96" s="53">
        <v>88.3</v>
      </c>
      <c r="K96" s="54">
        <v>1.83958333333333</v>
      </c>
    </row>
    <row r="97" spans="1:11">
      <c r="A97" s="46" t="s">
        <v>168</v>
      </c>
      <c r="B97" s="46" t="s">
        <v>242</v>
      </c>
      <c r="C97" s="46" t="s">
        <v>246</v>
      </c>
      <c r="D97" s="46" t="s">
        <v>82</v>
      </c>
      <c r="E97" s="46" t="s">
        <v>83</v>
      </c>
      <c r="F97" s="46" t="s">
        <v>5</v>
      </c>
      <c r="G97" s="46" t="s">
        <v>119</v>
      </c>
      <c r="H97" s="49" t="s">
        <v>159</v>
      </c>
      <c r="I97" s="53">
        <v>48</v>
      </c>
      <c r="J97" s="53">
        <v>32.8</v>
      </c>
      <c r="K97" s="54">
        <v>0.683333333333333</v>
      </c>
    </row>
    <row r="98" spans="1:11">
      <c r="A98" s="46" t="s">
        <v>168</v>
      </c>
      <c r="B98" s="46" t="s">
        <v>242</v>
      </c>
      <c r="C98" s="46" t="s">
        <v>246</v>
      </c>
      <c r="D98" s="46" t="s">
        <v>82</v>
      </c>
      <c r="E98" s="46" t="s">
        <v>83</v>
      </c>
      <c r="F98" s="46" t="s">
        <v>4</v>
      </c>
      <c r="G98" s="46" t="s">
        <v>116</v>
      </c>
      <c r="H98" s="49" t="s">
        <v>159</v>
      </c>
      <c r="I98" s="53">
        <v>36</v>
      </c>
      <c r="J98" s="53">
        <v>19.6</v>
      </c>
      <c r="K98" s="54">
        <v>0.544444444444444</v>
      </c>
    </row>
    <row r="99" spans="1:11">
      <c r="A99" s="46" t="s">
        <v>168</v>
      </c>
      <c r="B99" s="46" t="s">
        <v>242</v>
      </c>
      <c r="C99" s="46" t="s">
        <v>246</v>
      </c>
      <c r="D99" s="46" t="s">
        <v>82</v>
      </c>
      <c r="E99" s="46" t="s">
        <v>83</v>
      </c>
      <c r="F99" s="46" t="s">
        <v>4</v>
      </c>
      <c r="G99" s="46" t="s">
        <v>117</v>
      </c>
      <c r="H99" s="49" t="s">
        <v>159</v>
      </c>
      <c r="I99" s="53">
        <v>36</v>
      </c>
      <c r="J99" s="53">
        <v>19.8</v>
      </c>
      <c r="K99" s="54">
        <v>0.55</v>
      </c>
    </row>
    <row r="100" spans="1:11">
      <c r="A100" s="46" t="s">
        <v>168</v>
      </c>
      <c r="B100" s="46" t="s">
        <v>242</v>
      </c>
      <c r="C100" s="46" t="s">
        <v>246</v>
      </c>
      <c r="D100" s="46" t="s">
        <v>82</v>
      </c>
      <c r="E100" s="46" t="s">
        <v>83</v>
      </c>
      <c r="F100" s="46" t="s">
        <v>4</v>
      </c>
      <c r="G100" s="46" t="s">
        <v>118</v>
      </c>
      <c r="H100" s="49" t="s">
        <v>159</v>
      </c>
      <c r="I100" s="53">
        <v>36</v>
      </c>
      <c r="J100" s="53">
        <v>34</v>
      </c>
      <c r="K100" s="54">
        <v>0.944444444444444</v>
      </c>
    </row>
    <row r="101" spans="1:11">
      <c r="A101" s="46" t="s">
        <v>168</v>
      </c>
      <c r="B101" s="46" t="s">
        <v>242</v>
      </c>
      <c r="C101" s="46" t="s">
        <v>246</v>
      </c>
      <c r="D101" s="46" t="s">
        <v>82</v>
      </c>
      <c r="E101" s="46" t="s">
        <v>83</v>
      </c>
      <c r="F101" s="46" t="s">
        <v>4</v>
      </c>
      <c r="G101" s="46" t="s">
        <v>119</v>
      </c>
      <c r="H101" s="49" t="s">
        <v>159</v>
      </c>
      <c r="I101" s="53">
        <v>36</v>
      </c>
      <c r="J101" s="53">
        <v>9</v>
      </c>
      <c r="K101" s="54">
        <v>0.25</v>
      </c>
    </row>
    <row r="102" spans="1:11">
      <c r="A102" s="46" t="s">
        <v>168</v>
      </c>
      <c r="B102" s="46" t="s">
        <v>242</v>
      </c>
      <c r="C102" s="46" t="s">
        <v>246</v>
      </c>
      <c r="D102" s="46" t="s">
        <v>82</v>
      </c>
      <c r="E102" s="46" t="s">
        <v>83</v>
      </c>
      <c r="F102" s="46" t="s">
        <v>7</v>
      </c>
      <c r="G102" s="46" t="s">
        <v>116</v>
      </c>
      <c r="H102" s="49" t="s">
        <v>159</v>
      </c>
      <c r="I102" s="53">
        <v>55</v>
      </c>
      <c r="J102" s="53">
        <v>23.8</v>
      </c>
      <c r="K102" s="54">
        <v>0.432727272727273</v>
      </c>
    </row>
    <row r="103" spans="1:11">
      <c r="A103" s="46" t="s">
        <v>168</v>
      </c>
      <c r="B103" s="46" t="s">
        <v>242</v>
      </c>
      <c r="C103" s="46" t="s">
        <v>246</v>
      </c>
      <c r="D103" s="46" t="s">
        <v>82</v>
      </c>
      <c r="E103" s="46" t="s">
        <v>83</v>
      </c>
      <c r="F103" s="46" t="s">
        <v>7</v>
      </c>
      <c r="G103" s="46" t="s">
        <v>117</v>
      </c>
      <c r="H103" s="49" t="s">
        <v>159</v>
      </c>
      <c r="I103" s="53">
        <v>55</v>
      </c>
      <c r="J103" s="53">
        <v>34.5</v>
      </c>
      <c r="K103" s="54">
        <v>0.627272727272727</v>
      </c>
    </row>
    <row r="104" spans="1:11">
      <c r="A104" s="46" t="s">
        <v>168</v>
      </c>
      <c r="B104" s="46" t="s">
        <v>242</v>
      </c>
      <c r="C104" s="46" t="s">
        <v>246</v>
      </c>
      <c r="D104" s="46" t="s">
        <v>82</v>
      </c>
      <c r="E104" s="46" t="s">
        <v>83</v>
      </c>
      <c r="F104" s="46" t="s">
        <v>7</v>
      </c>
      <c r="G104" s="46" t="s">
        <v>118</v>
      </c>
      <c r="H104" s="49" t="s">
        <v>159</v>
      </c>
      <c r="I104" s="53">
        <v>55</v>
      </c>
      <c r="J104" s="53">
        <v>101.8</v>
      </c>
      <c r="K104" s="54">
        <v>1.85090909090909</v>
      </c>
    </row>
    <row r="105" spans="1:11">
      <c r="A105" s="46" t="s">
        <v>168</v>
      </c>
      <c r="B105" s="46" t="s">
        <v>242</v>
      </c>
      <c r="C105" s="46" t="s">
        <v>246</v>
      </c>
      <c r="D105" s="46" t="s">
        <v>82</v>
      </c>
      <c r="E105" s="46" t="s">
        <v>83</v>
      </c>
      <c r="F105" s="46" t="s">
        <v>7</v>
      </c>
      <c r="G105" s="46" t="s">
        <v>119</v>
      </c>
      <c r="H105" s="49" t="s">
        <v>159</v>
      </c>
      <c r="I105" s="53">
        <v>55</v>
      </c>
      <c r="J105" s="53">
        <v>23.9</v>
      </c>
      <c r="K105" s="54">
        <v>0.434545454545455</v>
      </c>
    </row>
    <row r="106" spans="1:11">
      <c r="A106" s="46" t="s">
        <v>168</v>
      </c>
      <c r="B106" s="46" t="s">
        <v>242</v>
      </c>
      <c r="C106" s="46" t="s">
        <v>246</v>
      </c>
      <c r="D106" s="46" t="s">
        <v>82</v>
      </c>
      <c r="E106" s="46" t="s">
        <v>83</v>
      </c>
      <c r="F106" s="46" t="s">
        <v>8</v>
      </c>
      <c r="G106" s="46" t="s">
        <v>116</v>
      </c>
      <c r="H106" s="49" t="s">
        <v>159</v>
      </c>
      <c r="I106" s="53">
        <v>56</v>
      </c>
      <c r="J106" s="53">
        <v>30.7</v>
      </c>
      <c r="K106" s="54">
        <v>0.548214285714286</v>
      </c>
    </row>
    <row r="107" spans="1:11">
      <c r="A107" s="46" t="s">
        <v>168</v>
      </c>
      <c r="B107" s="46" t="s">
        <v>242</v>
      </c>
      <c r="C107" s="46" t="s">
        <v>246</v>
      </c>
      <c r="D107" s="46" t="s">
        <v>82</v>
      </c>
      <c r="E107" s="46" t="s">
        <v>83</v>
      </c>
      <c r="F107" s="46" t="s">
        <v>8</v>
      </c>
      <c r="G107" s="46" t="s">
        <v>117</v>
      </c>
      <c r="H107" s="49" t="s">
        <v>159</v>
      </c>
      <c r="I107" s="53">
        <v>56</v>
      </c>
      <c r="J107" s="53">
        <v>19</v>
      </c>
      <c r="K107" s="54">
        <v>0.339285714285714</v>
      </c>
    </row>
    <row r="108" spans="1:11">
      <c r="A108" s="46" t="s">
        <v>168</v>
      </c>
      <c r="B108" s="46" t="s">
        <v>242</v>
      </c>
      <c r="C108" s="46" t="s">
        <v>246</v>
      </c>
      <c r="D108" s="46" t="s">
        <v>82</v>
      </c>
      <c r="E108" s="46" t="s">
        <v>83</v>
      </c>
      <c r="F108" s="46" t="s">
        <v>8</v>
      </c>
      <c r="G108" s="46" t="s">
        <v>118</v>
      </c>
      <c r="H108" s="49" t="s">
        <v>159</v>
      </c>
      <c r="I108" s="53">
        <v>56</v>
      </c>
      <c r="J108" s="53">
        <v>77.8</v>
      </c>
      <c r="K108" s="54">
        <v>1.38928571428571</v>
      </c>
    </row>
    <row r="109" spans="1:11">
      <c r="A109" s="46" t="s">
        <v>168</v>
      </c>
      <c r="B109" s="46" t="s">
        <v>242</v>
      </c>
      <c r="C109" s="46" t="s">
        <v>246</v>
      </c>
      <c r="D109" s="46" t="s">
        <v>82</v>
      </c>
      <c r="E109" s="46" t="s">
        <v>83</v>
      </c>
      <c r="F109" s="46" t="s">
        <v>8</v>
      </c>
      <c r="G109" s="46" t="s">
        <v>119</v>
      </c>
      <c r="H109" s="49" t="s">
        <v>159</v>
      </c>
      <c r="I109" s="53">
        <v>56</v>
      </c>
      <c r="J109" s="53">
        <v>27.3</v>
      </c>
      <c r="K109" s="54">
        <v>0.4875</v>
      </c>
    </row>
    <row r="110" spans="1:11">
      <c r="A110" s="46" t="s">
        <v>168</v>
      </c>
      <c r="B110" s="46" t="s">
        <v>242</v>
      </c>
      <c r="C110" s="46" t="s">
        <v>246</v>
      </c>
      <c r="D110" s="46" t="s">
        <v>82</v>
      </c>
      <c r="E110" s="46" t="s">
        <v>83</v>
      </c>
      <c r="F110" s="46" t="s">
        <v>6</v>
      </c>
      <c r="G110" s="46" t="s">
        <v>116</v>
      </c>
      <c r="H110" s="49" t="s">
        <v>159</v>
      </c>
      <c r="I110" s="53">
        <v>70</v>
      </c>
      <c r="J110" s="53">
        <v>32</v>
      </c>
      <c r="K110" s="54">
        <v>0.457142857142857</v>
      </c>
    </row>
    <row r="111" spans="1:11">
      <c r="A111" s="46" t="s">
        <v>168</v>
      </c>
      <c r="B111" s="46" t="s">
        <v>242</v>
      </c>
      <c r="C111" s="46" t="s">
        <v>246</v>
      </c>
      <c r="D111" s="46" t="s">
        <v>82</v>
      </c>
      <c r="E111" s="46" t="s">
        <v>83</v>
      </c>
      <c r="F111" s="46" t="s">
        <v>6</v>
      </c>
      <c r="G111" s="46" t="s">
        <v>117</v>
      </c>
      <c r="H111" s="49" t="s">
        <v>159</v>
      </c>
      <c r="I111" s="53">
        <v>70</v>
      </c>
      <c r="J111" s="53">
        <v>18.6</v>
      </c>
      <c r="K111" s="54">
        <v>0.265714285714286</v>
      </c>
    </row>
    <row r="112" spans="1:11">
      <c r="A112" s="46" t="s">
        <v>168</v>
      </c>
      <c r="B112" s="46" t="s">
        <v>242</v>
      </c>
      <c r="C112" s="46" t="s">
        <v>246</v>
      </c>
      <c r="D112" s="46" t="s">
        <v>82</v>
      </c>
      <c r="E112" s="46" t="s">
        <v>83</v>
      </c>
      <c r="F112" s="46" t="s">
        <v>6</v>
      </c>
      <c r="G112" s="46" t="s">
        <v>118</v>
      </c>
      <c r="H112" s="49" t="s">
        <v>159</v>
      </c>
      <c r="I112" s="53">
        <v>70</v>
      </c>
      <c r="J112" s="53">
        <v>70.2</v>
      </c>
      <c r="K112" s="54">
        <v>1.00285714285714</v>
      </c>
    </row>
    <row r="113" spans="1:11">
      <c r="A113" s="46" t="s">
        <v>168</v>
      </c>
      <c r="B113" s="46" t="s">
        <v>242</v>
      </c>
      <c r="C113" s="46" t="s">
        <v>246</v>
      </c>
      <c r="D113" s="46" t="s">
        <v>82</v>
      </c>
      <c r="E113" s="46" t="s">
        <v>83</v>
      </c>
      <c r="F113" s="46" t="s">
        <v>6</v>
      </c>
      <c r="G113" s="46" t="s">
        <v>119</v>
      </c>
      <c r="H113" s="49" t="s">
        <v>159</v>
      </c>
      <c r="I113" s="53">
        <v>70</v>
      </c>
      <c r="J113" s="53">
        <v>59.5</v>
      </c>
      <c r="K113" s="54">
        <v>0.85</v>
      </c>
    </row>
    <row r="114" spans="1:11">
      <c r="A114" s="44" t="s">
        <v>186</v>
      </c>
      <c r="B114" s="44" t="s">
        <v>243</v>
      </c>
      <c r="C114" s="44" t="s">
        <v>246</v>
      </c>
      <c r="D114" s="46" t="s">
        <v>82</v>
      </c>
      <c r="E114" s="46" t="s">
        <v>83</v>
      </c>
      <c r="F114" s="46" t="s">
        <v>3</v>
      </c>
      <c r="G114" s="46" t="s">
        <v>116</v>
      </c>
      <c r="H114" s="49" t="s">
        <v>148</v>
      </c>
      <c r="I114" s="53">
        <v>53</v>
      </c>
      <c r="J114" s="53">
        <v>58</v>
      </c>
      <c r="K114" s="54">
        <v>1.09433962264151</v>
      </c>
    </row>
    <row r="115" spans="1:11">
      <c r="A115" s="44" t="s">
        <v>186</v>
      </c>
      <c r="B115" s="44" t="s">
        <v>243</v>
      </c>
      <c r="C115" s="44" t="s">
        <v>246</v>
      </c>
      <c r="D115" s="46" t="s">
        <v>82</v>
      </c>
      <c r="E115" s="46" t="s">
        <v>83</v>
      </c>
      <c r="F115" s="46" t="s">
        <v>3</v>
      </c>
      <c r="G115" s="46" t="s">
        <v>117</v>
      </c>
      <c r="H115" s="49" t="s">
        <v>148</v>
      </c>
      <c r="I115" s="53">
        <v>53</v>
      </c>
      <c r="J115" s="53">
        <v>48</v>
      </c>
      <c r="K115" s="54">
        <v>0.905660377358491</v>
      </c>
    </row>
    <row r="116" spans="1:11">
      <c r="A116" s="44" t="s">
        <v>186</v>
      </c>
      <c r="B116" s="44" t="s">
        <v>243</v>
      </c>
      <c r="C116" s="44" t="s">
        <v>246</v>
      </c>
      <c r="D116" s="46" t="s">
        <v>82</v>
      </c>
      <c r="E116" s="46" t="s">
        <v>83</v>
      </c>
      <c r="F116" s="46" t="s">
        <v>3</v>
      </c>
      <c r="G116" s="46" t="s">
        <v>118</v>
      </c>
      <c r="H116" s="49" t="s">
        <v>148</v>
      </c>
      <c r="I116" s="53">
        <v>53</v>
      </c>
      <c r="J116" s="53">
        <v>125</v>
      </c>
      <c r="K116" s="54">
        <v>2.35849056603774</v>
      </c>
    </row>
    <row r="117" spans="1:11">
      <c r="A117" s="44" t="s">
        <v>186</v>
      </c>
      <c r="B117" s="44" t="s">
        <v>243</v>
      </c>
      <c r="C117" s="44" t="s">
        <v>246</v>
      </c>
      <c r="D117" s="46" t="s">
        <v>82</v>
      </c>
      <c r="E117" s="46" t="s">
        <v>83</v>
      </c>
      <c r="F117" s="46" t="s">
        <v>3</v>
      </c>
      <c r="G117" s="46" t="s">
        <v>119</v>
      </c>
      <c r="H117" s="49" t="s">
        <v>148</v>
      </c>
      <c r="I117" s="53">
        <v>53</v>
      </c>
      <c r="J117" s="53">
        <v>48</v>
      </c>
      <c r="K117" s="54">
        <v>0.905660377358491</v>
      </c>
    </row>
    <row r="118" spans="1:11">
      <c r="A118" s="44" t="s">
        <v>186</v>
      </c>
      <c r="B118" s="44" t="s">
        <v>243</v>
      </c>
      <c r="C118" s="44" t="s">
        <v>246</v>
      </c>
      <c r="D118" s="46" t="s">
        <v>82</v>
      </c>
      <c r="E118" s="46" t="s">
        <v>83</v>
      </c>
      <c r="F118" s="46" t="s">
        <v>9</v>
      </c>
      <c r="G118" s="46" t="s">
        <v>116</v>
      </c>
      <c r="H118" s="49" t="s">
        <v>148</v>
      </c>
      <c r="I118" s="53">
        <v>57</v>
      </c>
      <c r="J118" s="53">
        <v>63</v>
      </c>
      <c r="K118" s="54">
        <v>1.10526315789474</v>
      </c>
    </row>
    <row r="119" spans="1:11">
      <c r="A119" s="44" t="s">
        <v>186</v>
      </c>
      <c r="B119" s="44" t="s">
        <v>243</v>
      </c>
      <c r="C119" s="44" t="s">
        <v>246</v>
      </c>
      <c r="D119" s="46" t="s">
        <v>82</v>
      </c>
      <c r="E119" s="46" t="s">
        <v>83</v>
      </c>
      <c r="F119" s="46" t="s">
        <v>9</v>
      </c>
      <c r="G119" s="46" t="s">
        <v>117</v>
      </c>
      <c r="H119" s="49" t="s">
        <v>148</v>
      </c>
      <c r="I119" s="53">
        <v>57</v>
      </c>
      <c r="J119" s="53">
        <v>58</v>
      </c>
      <c r="K119" s="54">
        <v>1.01754385964912</v>
      </c>
    </row>
    <row r="120" spans="1:11">
      <c r="A120" s="44" t="s">
        <v>186</v>
      </c>
      <c r="B120" s="44" t="s">
        <v>243</v>
      </c>
      <c r="C120" s="44" t="s">
        <v>246</v>
      </c>
      <c r="D120" s="46" t="s">
        <v>82</v>
      </c>
      <c r="E120" s="46" t="s">
        <v>83</v>
      </c>
      <c r="F120" s="46" t="s">
        <v>9</v>
      </c>
      <c r="G120" s="46" t="s">
        <v>118</v>
      </c>
      <c r="H120" s="49" t="s">
        <v>148</v>
      </c>
      <c r="I120" s="53">
        <v>57</v>
      </c>
      <c r="J120" s="53">
        <v>118</v>
      </c>
      <c r="K120" s="54">
        <v>2.07017543859649</v>
      </c>
    </row>
    <row r="121" spans="1:11">
      <c r="A121" s="44" t="s">
        <v>186</v>
      </c>
      <c r="B121" s="44" t="s">
        <v>243</v>
      </c>
      <c r="C121" s="44" t="s">
        <v>246</v>
      </c>
      <c r="D121" s="46" t="s">
        <v>82</v>
      </c>
      <c r="E121" s="46" t="s">
        <v>83</v>
      </c>
      <c r="F121" s="46" t="s">
        <v>9</v>
      </c>
      <c r="G121" s="46" t="s">
        <v>119</v>
      </c>
      <c r="H121" s="49" t="s">
        <v>148</v>
      </c>
      <c r="I121" s="53">
        <v>57</v>
      </c>
      <c r="J121" s="53">
        <v>1</v>
      </c>
      <c r="K121" s="54">
        <v>0.0175438596491228</v>
      </c>
    </row>
    <row r="122" spans="1:11">
      <c r="A122" s="44" t="s">
        <v>186</v>
      </c>
      <c r="B122" s="44" t="s">
        <v>243</v>
      </c>
      <c r="C122" s="44" t="s">
        <v>246</v>
      </c>
      <c r="D122" s="46" t="s">
        <v>82</v>
      </c>
      <c r="E122" s="46" t="s">
        <v>83</v>
      </c>
      <c r="F122" s="46" t="s">
        <v>5</v>
      </c>
      <c r="G122" s="46" t="s">
        <v>116</v>
      </c>
      <c r="H122" s="49" t="s">
        <v>148</v>
      </c>
      <c r="I122" s="53">
        <v>48</v>
      </c>
      <c r="J122" s="53">
        <v>82</v>
      </c>
      <c r="K122" s="54">
        <v>1.70833333333333</v>
      </c>
    </row>
    <row r="123" spans="1:11">
      <c r="A123" s="44" t="s">
        <v>186</v>
      </c>
      <c r="B123" s="44" t="s">
        <v>243</v>
      </c>
      <c r="C123" s="44" t="s">
        <v>246</v>
      </c>
      <c r="D123" s="46" t="s">
        <v>82</v>
      </c>
      <c r="E123" s="46" t="s">
        <v>83</v>
      </c>
      <c r="F123" s="46" t="s">
        <v>5</v>
      </c>
      <c r="G123" s="46" t="s">
        <v>117</v>
      </c>
      <c r="H123" s="49" t="s">
        <v>148</v>
      </c>
      <c r="I123" s="53">
        <v>48</v>
      </c>
      <c r="J123" s="53">
        <v>61</v>
      </c>
      <c r="K123" s="54">
        <v>1.27083333333333</v>
      </c>
    </row>
    <row r="124" spans="1:11">
      <c r="A124" s="44" t="s">
        <v>186</v>
      </c>
      <c r="B124" s="44" t="s">
        <v>243</v>
      </c>
      <c r="C124" s="44" t="s">
        <v>246</v>
      </c>
      <c r="D124" s="46" t="s">
        <v>82</v>
      </c>
      <c r="E124" s="46" t="s">
        <v>83</v>
      </c>
      <c r="F124" s="46" t="s">
        <v>5</v>
      </c>
      <c r="G124" s="46" t="s">
        <v>118</v>
      </c>
      <c r="H124" s="49" t="s">
        <v>148</v>
      </c>
      <c r="I124" s="53">
        <v>48</v>
      </c>
      <c r="J124" s="53">
        <v>132</v>
      </c>
      <c r="K124" s="54">
        <v>2.75</v>
      </c>
    </row>
    <row r="125" spans="1:11">
      <c r="A125" s="44" t="s">
        <v>186</v>
      </c>
      <c r="B125" s="44" t="s">
        <v>243</v>
      </c>
      <c r="C125" s="44" t="s">
        <v>246</v>
      </c>
      <c r="D125" s="46" t="s">
        <v>82</v>
      </c>
      <c r="E125" s="46" t="s">
        <v>83</v>
      </c>
      <c r="F125" s="46" t="s">
        <v>5</v>
      </c>
      <c r="G125" s="46" t="s">
        <v>119</v>
      </c>
      <c r="H125" s="49" t="s">
        <v>148</v>
      </c>
      <c r="I125" s="53">
        <v>48</v>
      </c>
      <c r="J125" s="53">
        <v>30</v>
      </c>
      <c r="K125" s="54">
        <v>0.625</v>
      </c>
    </row>
    <row r="126" spans="1:11">
      <c r="A126" s="44" t="s">
        <v>186</v>
      </c>
      <c r="B126" s="44" t="s">
        <v>243</v>
      </c>
      <c r="C126" s="44" t="s">
        <v>246</v>
      </c>
      <c r="D126" s="46" t="s">
        <v>82</v>
      </c>
      <c r="E126" s="46" t="s">
        <v>83</v>
      </c>
      <c r="F126" s="46" t="s">
        <v>4</v>
      </c>
      <c r="G126" s="46" t="s">
        <v>116</v>
      </c>
      <c r="H126" s="49" t="s">
        <v>148</v>
      </c>
      <c r="I126" s="53">
        <v>36</v>
      </c>
      <c r="J126" s="53">
        <v>42</v>
      </c>
      <c r="K126" s="54">
        <v>1.16666666666667</v>
      </c>
    </row>
    <row r="127" spans="1:11">
      <c r="A127" s="44" t="s">
        <v>186</v>
      </c>
      <c r="B127" s="44" t="s">
        <v>243</v>
      </c>
      <c r="C127" s="44" t="s">
        <v>246</v>
      </c>
      <c r="D127" s="46" t="s">
        <v>82</v>
      </c>
      <c r="E127" s="46" t="s">
        <v>83</v>
      </c>
      <c r="F127" s="46" t="s">
        <v>4</v>
      </c>
      <c r="G127" s="46" t="s">
        <v>117</v>
      </c>
      <c r="H127" s="49" t="s">
        <v>148</v>
      </c>
      <c r="I127" s="53">
        <v>36</v>
      </c>
      <c r="J127" s="53">
        <v>28</v>
      </c>
      <c r="K127" s="54">
        <v>0.777777777777778</v>
      </c>
    </row>
    <row r="128" spans="1:11">
      <c r="A128" s="44" t="s">
        <v>186</v>
      </c>
      <c r="B128" s="44" t="s">
        <v>243</v>
      </c>
      <c r="C128" s="44" t="s">
        <v>246</v>
      </c>
      <c r="D128" s="46" t="s">
        <v>82</v>
      </c>
      <c r="E128" s="46" t="s">
        <v>83</v>
      </c>
      <c r="F128" s="46" t="s">
        <v>4</v>
      </c>
      <c r="G128" s="46" t="s">
        <v>118</v>
      </c>
      <c r="H128" s="49" t="s">
        <v>148</v>
      </c>
      <c r="I128" s="53">
        <v>36</v>
      </c>
      <c r="J128" s="53">
        <v>79</v>
      </c>
      <c r="K128" s="54">
        <v>2.19444444444444</v>
      </c>
    </row>
    <row r="129" spans="1:11">
      <c r="A129" s="44" t="s">
        <v>186</v>
      </c>
      <c r="B129" s="44" t="s">
        <v>243</v>
      </c>
      <c r="C129" s="44" t="s">
        <v>246</v>
      </c>
      <c r="D129" s="46" t="s">
        <v>82</v>
      </c>
      <c r="E129" s="46" t="s">
        <v>83</v>
      </c>
      <c r="F129" s="46" t="s">
        <v>4</v>
      </c>
      <c r="G129" s="46" t="s">
        <v>119</v>
      </c>
      <c r="H129" s="49" t="s">
        <v>148</v>
      </c>
      <c r="I129" s="53">
        <v>36</v>
      </c>
      <c r="J129" s="53">
        <v>8</v>
      </c>
      <c r="K129" s="54">
        <v>0.222222222222222</v>
      </c>
    </row>
    <row r="130" spans="1:11">
      <c r="A130" s="44" t="s">
        <v>186</v>
      </c>
      <c r="B130" s="44" t="s">
        <v>243</v>
      </c>
      <c r="C130" s="44" t="s">
        <v>246</v>
      </c>
      <c r="D130" s="46" t="s">
        <v>82</v>
      </c>
      <c r="E130" s="46" t="s">
        <v>83</v>
      </c>
      <c r="F130" s="46" t="s">
        <v>7</v>
      </c>
      <c r="G130" s="46" t="s">
        <v>116</v>
      </c>
      <c r="H130" s="49" t="s">
        <v>148</v>
      </c>
      <c r="I130" s="53">
        <v>55</v>
      </c>
      <c r="J130" s="53">
        <v>67</v>
      </c>
      <c r="K130" s="54">
        <v>1.21818181818182</v>
      </c>
    </row>
    <row r="131" spans="1:11">
      <c r="A131" s="44" t="s">
        <v>186</v>
      </c>
      <c r="B131" s="44" t="s">
        <v>243</v>
      </c>
      <c r="C131" s="44" t="s">
        <v>246</v>
      </c>
      <c r="D131" s="46" t="s">
        <v>82</v>
      </c>
      <c r="E131" s="46" t="s">
        <v>83</v>
      </c>
      <c r="F131" s="46" t="s">
        <v>7</v>
      </c>
      <c r="G131" s="46" t="s">
        <v>117</v>
      </c>
      <c r="H131" s="49" t="s">
        <v>148</v>
      </c>
      <c r="I131" s="53">
        <v>55</v>
      </c>
      <c r="J131" s="53">
        <v>56</v>
      </c>
      <c r="K131" s="54">
        <v>1.01818181818182</v>
      </c>
    </row>
    <row r="132" spans="1:11">
      <c r="A132" s="44" t="s">
        <v>186</v>
      </c>
      <c r="B132" s="44" t="s">
        <v>243</v>
      </c>
      <c r="C132" s="44" t="s">
        <v>246</v>
      </c>
      <c r="D132" s="46" t="s">
        <v>82</v>
      </c>
      <c r="E132" s="46" t="s">
        <v>83</v>
      </c>
      <c r="F132" s="46" t="s">
        <v>7</v>
      </c>
      <c r="G132" s="46" t="s">
        <v>118</v>
      </c>
      <c r="H132" s="49" t="s">
        <v>148</v>
      </c>
      <c r="I132" s="53">
        <v>55</v>
      </c>
      <c r="J132" s="53">
        <v>131</v>
      </c>
      <c r="K132" s="54">
        <v>2.38181818181818</v>
      </c>
    </row>
    <row r="133" spans="1:11">
      <c r="A133" s="44" t="s">
        <v>186</v>
      </c>
      <c r="B133" s="44" t="s">
        <v>243</v>
      </c>
      <c r="C133" s="44" t="s">
        <v>246</v>
      </c>
      <c r="D133" s="46" t="s">
        <v>82</v>
      </c>
      <c r="E133" s="46" t="s">
        <v>83</v>
      </c>
      <c r="F133" s="46" t="s">
        <v>7</v>
      </c>
      <c r="G133" s="46" t="s">
        <v>119</v>
      </c>
      <c r="H133" s="49" t="s">
        <v>148</v>
      </c>
      <c r="I133" s="53">
        <v>55</v>
      </c>
      <c r="J133" s="53">
        <v>28</v>
      </c>
      <c r="K133" s="54">
        <v>0.509090909090909</v>
      </c>
    </row>
    <row r="134" spans="1:11">
      <c r="A134" s="44" t="s">
        <v>186</v>
      </c>
      <c r="B134" s="44" t="s">
        <v>243</v>
      </c>
      <c r="C134" s="44" t="s">
        <v>246</v>
      </c>
      <c r="D134" s="46" t="s">
        <v>82</v>
      </c>
      <c r="E134" s="46" t="s">
        <v>83</v>
      </c>
      <c r="F134" s="46" t="s">
        <v>8</v>
      </c>
      <c r="G134" s="46" t="s">
        <v>116</v>
      </c>
      <c r="H134" s="49" t="s">
        <v>148</v>
      </c>
      <c r="I134" s="53">
        <v>37</v>
      </c>
      <c r="J134" s="53">
        <v>34</v>
      </c>
      <c r="K134" s="54">
        <v>0.918918918918919</v>
      </c>
    </row>
    <row r="135" spans="1:11">
      <c r="A135" s="44" t="s">
        <v>186</v>
      </c>
      <c r="B135" s="44" t="s">
        <v>243</v>
      </c>
      <c r="C135" s="44" t="s">
        <v>246</v>
      </c>
      <c r="D135" s="46" t="s">
        <v>82</v>
      </c>
      <c r="E135" s="46" t="s">
        <v>83</v>
      </c>
      <c r="F135" s="46" t="s">
        <v>8</v>
      </c>
      <c r="G135" s="46" t="s">
        <v>117</v>
      </c>
      <c r="H135" s="49" t="s">
        <v>148</v>
      </c>
      <c r="I135" s="53">
        <v>37</v>
      </c>
      <c r="J135" s="53">
        <v>24</v>
      </c>
      <c r="K135" s="54">
        <v>0.648648648648649</v>
      </c>
    </row>
    <row r="136" spans="1:11">
      <c r="A136" s="44" t="s">
        <v>186</v>
      </c>
      <c r="B136" s="44" t="s">
        <v>243</v>
      </c>
      <c r="C136" s="44" t="s">
        <v>246</v>
      </c>
      <c r="D136" s="46" t="s">
        <v>82</v>
      </c>
      <c r="E136" s="46" t="s">
        <v>83</v>
      </c>
      <c r="F136" s="46" t="s">
        <v>8</v>
      </c>
      <c r="G136" s="46" t="s">
        <v>118</v>
      </c>
      <c r="H136" s="49" t="s">
        <v>148</v>
      </c>
      <c r="I136" s="53">
        <v>37</v>
      </c>
      <c r="J136" s="53">
        <v>92</v>
      </c>
      <c r="K136" s="54">
        <v>2.48648648648649</v>
      </c>
    </row>
    <row r="137" spans="1:11">
      <c r="A137" s="44" t="s">
        <v>186</v>
      </c>
      <c r="B137" s="44" t="s">
        <v>243</v>
      </c>
      <c r="C137" s="44" t="s">
        <v>246</v>
      </c>
      <c r="D137" s="46" t="s">
        <v>82</v>
      </c>
      <c r="E137" s="46" t="s">
        <v>83</v>
      </c>
      <c r="F137" s="46" t="s">
        <v>8</v>
      </c>
      <c r="G137" s="46" t="s">
        <v>119</v>
      </c>
      <c r="H137" s="49" t="s">
        <v>148</v>
      </c>
      <c r="I137" s="53">
        <v>37</v>
      </c>
      <c r="J137" s="53">
        <v>17</v>
      </c>
      <c r="K137" s="54">
        <v>0.459459459459459</v>
      </c>
    </row>
    <row r="138" spans="1:11">
      <c r="A138" s="44" t="s">
        <v>186</v>
      </c>
      <c r="B138" s="44" t="s">
        <v>243</v>
      </c>
      <c r="C138" s="44" t="s">
        <v>246</v>
      </c>
      <c r="D138" s="46" t="s">
        <v>82</v>
      </c>
      <c r="E138" s="46" t="s">
        <v>83</v>
      </c>
      <c r="F138" s="46" t="s">
        <v>6</v>
      </c>
      <c r="G138" s="46" t="s">
        <v>116</v>
      </c>
      <c r="H138" s="49" t="s">
        <v>148</v>
      </c>
      <c r="I138" s="53">
        <v>70</v>
      </c>
      <c r="J138" s="53">
        <v>61</v>
      </c>
      <c r="K138" s="54">
        <v>0.871428571428571</v>
      </c>
    </row>
    <row r="139" spans="1:11">
      <c r="A139" s="44" t="s">
        <v>186</v>
      </c>
      <c r="B139" s="44" t="s">
        <v>243</v>
      </c>
      <c r="C139" s="44" t="s">
        <v>246</v>
      </c>
      <c r="D139" s="46" t="s">
        <v>82</v>
      </c>
      <c r="E139" s="46" t="s">
        <v>83</v>
      </c>
      <c r="F139" s="46" t="s">
        <v>6</v>
      </c>
      <c r="G139" s="46" t="s">
        <v>117</v>
      </c>
      <c r="H139" s="49" t="s">
        <v>148</v>
      </c>
      <c r="I139" s="53">
        <v>70</v>
      </c>
      <c r="J139" s="53">
        <v>56</v>
      </c>
      <c r="K139" s="54">
        <v>0.8</v>
      </c>
    </row>
    <row r="140" spans="1:11">
      <c r="A140" s="44" t="s">
        <v>186</v>
      </c>
      <c r="B140" s="44" t="s">
        <v>243</v>
      </c>
      <c r="C140" s="44" t="s">
        <v>246</v>
      </c>
      <c r="D140" s="46" t="s">
        <v>82</v>
      </c>
      <c r="E140" s="46" t="s">
        <v>83</v>
      </c>
      <c r="F140" s="46" t="s">
        <v>6</v>
      </c>
      <c r="G140" s="46" t="s">
        <v>118</v>
      </c>
      <c r="H140" s="49" t="s">
        <v>148</v>
      </c>
      <c r="I140" s="53">
        <v>70</v>
      </c>
      <c r="J140" s="53">
        <v>150</v>
      </c>
      <c r="K140" s="54">
        <v>2.14285714285714</v>
      </c>
    </row>
    <row r="141" spans="1:11">
      <c r="A141" s="44" t="s">
        <v>186</v>
      </c>
      <c r="B141" s="44" t="s">
        <v>243</v>
      </c>
      <c r="C141" s="44" t="s">
        <v>246</v>
      </c>
      <c r="D141" s="46" t="s">
        <v>82</v>
      </c>
      <c r="E141" s="46" t="s">
        <v>83</v>
      </c>
      <c r="F141" s="46" t="s">
        <v>6</v>
      </c>
      <c r="G141" s="46" t="s">
        <v>119</v>
      </c>
      <c r="H141" s="49" t="s">
        <v>148</v>
      </c>
      <c r="I141" s="53">
        <v>70</v>
      </c>
      <c r="J141" s="53">
        <v>71</v>
      </c>
      <c r="K141" s="54">
        <v>1.01428571428571</v>
      </c>
    </row>
    <row r="142" spans="1:11">
      <c r="A142" s="46" t="s">
        <v>167</v>
      </c>
      <c r="B142" s="46">
        <v>2025</v>
      </c>
      <c r="C142" s="46" t="s">
        <v>246</v>
      </c>
      <c r="D142" s="46" t="s">
        <v>82</v>
      </c>
      <c r="E142" s="46" t="s">
        <v>83</v>
      </c>
      <c r="F142" s="46" t="s">
        <v>3</v>
      </c>
      <c r="G142" s="46" t="s">
        <v>116</v>
      </c>
      <c r="H142" s="49" t="s">
        <v>148</v>
      </c>
      <c r="I142" s="53">
        <v>53</v>
      </c>
      <c r="J142" s="53">
        <v>56.3</v>
      </c>
      <c r="K142" s="54">
        <v>1.0622641509434</v>
      </c>
    </row>
    <row r="143" spans="1:11">
      <c r="A143" s="46" t="s">
        <v>167</v>
      </c>
      <c r="B143" s="46">
        <v>2025</v>
      </c>
      <c r="C143" s="46" t="s">
        <v>246</v>
      </c>
      <c r="D143" s="46" t="s">
        <v>82</v>
      </c>
      <c r="E143" s="46" t="s">
        <v>83</v>
      </c>
      <c r="F143" s="46" t="s">
        <v>3</v>
      </c>
      <c r="G143" s="46" t="s">
        <v>117</v>
      </c>
      <c r="H143" s="49" t="s">
        <v>148</v>
      </c>
      <c r="I143" s="53">
        <v>53</v>
      </c>
      <c r="J143" s="53">
        <v>32.5</v>
      </c>
      <c r="K143" s="54">
        <v>0.613207547169811</v>
      </c>
    </row>
    <row r="144" spans="1:11">
      <c r="A144" s="46" t="s">
        <v>167</v>
      </c>
      <c r="B144" s="46">
        <v>2025</v>
      </c>
      <c r="C144" s="46" t="s">
        <v>246</v>
      </c>
      <c r="D144" s="46" t="s">
        <v>82</v>
      </c>
      <c r="E144" s="46" t="s">
        <v>83</v>
      </c>
      <c r="F144" s="46" t="s">
        <v>3</v>
      </c>
      <c r="G144" s="46" t="s">
        <v>118</v>
      </c>
      <c r="H144" s="49" t="s">
        <v>148</v>
      </c>
      <c r="I144" s="53">
        <v>53</v>
      </c>
      <c r="J144" s="53">
        <v>114.8</v>
      </c>
      <c r="K144" s="54">
        <v>2.16603773584906</v>
      </c>
    </row>
    <row r="145" spans="1:11">
      <c r="A145" s="46" t="s">
        <v>167</v>
      </c>
      <c r="B145" s="46">
        <v>2025</v>
      </c>
      <c r="C145" s="46" t="s">
        <v>246</v>
      </c>
      <c r="D145" s="46" t="s">
        <v>82</v>
      </c>
      <c r="E145" s="46" t="s">
        <v>83</v>
      </c>
      <c r="F145" s="46" t="s">
        <v>3</v>
      </c>
      <c r="G145" s="46" t="s">
        <v>119</v>
      </c>
      <c r="H145" s="49" t="s">
        <v>148</v>
      </c>
      <c r="I145" s="53">
        <v>53</v>
      </c>
      <c r="J145" s="53">
        <v>38</v>
      </c>
      <c r="K145" s="54">
        <v>0.716981132075472</v>
      </c>
    </row>
    <row r="146" spans="1:11">
      <c r="A146" s="46" t="s">
        <v>167</v>
      </c>
      <c r="B146" s="46">
        <v>2025</v>
      </c>
      <c r="C146" s="46" t="s">
        <v>246</v>
      </c>
      <c r="D146" s="46" t="s">
        <v>82</v>
      </c>
      <c r="E146" s="46" t="s">
        <v>83</v>
      </c>
      <c r="F146" s="46" t="s">
        <v>9</v>
      </c>
      <c r="G146" s="46" t="s">
        <v>116</v>
      </c>
      <c r="H146" s="49" t="s">
        <v>148</v>
      </c>
      <c r="I146" s="53">
        <v>57</v>
      </c>
      <c r="J146" s="53">
        <v>61.7</v>
      </c>
      <c r="K146" s="54">
        <v>1.08245614035088</v>
      </c>
    </row>
    <row r="147" spans="1:11">
      <c r="A147" s="46" t="s">
        <v>167</v>
      </c>
      <c r="B147" s="46">
        <v>2025</v>
      </c>
      <c r="C147" s="46" t="s">
        <v>246</v>
      </c>
      <c r="D147" s="46" t="s">
        <v>82</v>
      </c>
      <c r="E147" s="46" t="s">
        <v>83</v>
      </c>
      <c r="F147" s="46" t="s">
        <v>9</v>
      </c>
      <c r="G147" s="46" t="s">
        <v>117</v>
      </c>
      <c r="H147" s="49" t="s">
        <v>148</v>
      </c>
      <c r="I147" s="53">
        <v>57</v>
      </c>
      <c r="J147" s="53">
        <v>25</v>
      </c>
      <c r="K147" s="54">
        <v>0.43859649122807</v>
      </c>
    </row>
    <row r="148" spans="1:11">
      <c r="A148" s="46" t="s">
        <v>167</v>
      </c>
      <c r="B148" s="46">
        <v>2025</v>
      </c>
      <c r="C148" s="46" t="s">
        <v>246</v>
      </c>
      <c r="D148" s="46" t="s">
        <v>82</v>
      </c>
      <c r="E148" s="46" t="s">
        <v>83</v>
      </c>
      <c r="F148" s="46" t="s">
        <v>9</v>
      </c>
      <c r="G148" s="46" t="s">
        <v>118</v>
      </c>
      <c r="H148" s="49" t="s">
        <v>148</v>
      </c>
      <c r="I148" s="53">
        <v>57</v>
      </c>
      <c r="J148" s="53">
        <v>123.4</v>
      </c>
      <c r="K148" s="54">
        <v>2.16491228070175</v>
      </c>
    </row>
    <row r="149" spans="1:11">
      <c r="A149" s="46" t="s">
        <v>167</v>
      </c>
      <c r="B149" s="46">
        <v>2025</v>
      </c>
      <c r="C149" s="46" t="s">
        <v>246</v>
      </c>
      <c r="D149" s="46" t="s">
        <v>82</v>
      </c>
      <c r="E149" s="46" t="s">
        <v>83</v>
      </c>
      <c r="F149" s="46" t="s">
        <v>9</v>
      </c>
      <c r="G149" s="46" t="s">
        <v>119</v>
      </c>
      <c r="H149" s="49" t="s">
        <v>148</v>
      </c>
      <c r="I149" s="53">
        <v>57</v>
      </c>
      <c r="J149" s="53">
        <v>44.8</v>
      </c>
      <c r="K149" s="54">
        <v>0.785964912280702</v>
      </c>
    </row>
    <row r="150" spans="1:11">
      <c r="A150" s="46" t="s">
        <v>167</v>
      </c>
      <c r="B150" s="46">
        <v>2025</v>
      </c>
      <c r="C150" s="46" t="s">
        <v>246</v>
      </c>
      <c r="D150" s="46" t="s">
        <v>82</v>
      </c>
      <c r="E150" s="46" t="s">
        <v>83</v>
      </c>
      <c r="F150" s="46" t="s">
        <v>5</v>
      </c>
      <c r="G150" s="46" t="s">
        <v>116</v>
      </c>
      <c r="H150" s="49" t="s">
        <v>148</v>
      </c>
      <c r="I150" s="53">
        <v>48</v>
      </c>
      <c r="J150" s="53">
        <v>56.2</v>
      </c>
      <c r="K150" s="54">
        <v>1.17083333333333</v>
      </c>
    </row>
    <row r="151" spans="1:11">
      <c r="A151" s="46" t="s">
        <v>167</v>
      </c>
      <c r="B151" s="46">
        <v>2025</v>
      </c>
      <c r="C151" s="46" t="s">
        <v>246</v>
      </c>
      <c r="D151" s="46" t="s">
        <v>82</v>
      </c>
      <c r="E151" s="46" t="s">
        <v>83</v>
      </c>
      <c r="F151" s="46" t="s">
        <v>5</v>
      </c>
      <c r="G151" s="46" t="s">
        <v>117</v>
      </c>
      <c r="H151" s="49" t="s">
        <v>148</v>
      </c>
      <c r="I151" s="53">
        <v>48</v>
      </c>
      <c r="J151" s="53">
        <v>48.4</v>
      </c>
      <c r="K151" s="54">
        <v>1.00833333333333</v>
      </c>
    </row>
    <row r="152" spans="1:11">
      <c r="A152" s="46" t="s">
        <v>167</v>
      </c>
      <c r="B152" s="46">
        <v>2025</v>
      </c>
      <c r="C152" s="46" t="s">
        <v>246</v>
      </c>
      <c r="D152" s="46" t="s">
        <v>82</v>
      </c>
      <c r="E152" s="46" t="s">
        <v>83</v>
      </c>
      <c r="F152" s="46" t="s">
        <v>5</v>
      </c>
      <c r="G152" s="46" t="s">
        <v>118</v>
      </c>
      <c r="H152" s="49" t="s">
        <v>148</v>
      </c>
      <c r="I152" s="53">
        <v>48</v>
      </c>
      <c r="J152" s="53">
        <v>121.8</v>
      </c>
      <c r="K152" s="54">
        <v>2.5375</v>
      </c>
    </row>
    <row r="153" spans="1:11">
      <c r="A153" s="46" t="s">
        <v>167</v>
      </c>
      <c r="B153" s="46">
        <v>2025</v>
      </c>
      <c r="C153" s="46" t="s">
        <v>246</v>
      </c>
      <c r="D153" s="46" t="s">
        <v>82</v>
      </c>
      <c r="E153" s="46" t="s">
        <v>83</v>
      </c>
      <c r="F153" s="46" t="s">
        <v>5</v>
      </c>
      <c r="G153" s="46" t="s">
        <v>119</v>
      </c>
      <c r="H153" s="49" t="s">
        <v>148</v>
      </c>
      <c r="I153" s="53">
        <v>48</v>
      </c>
      <c r="J153" s="53">
        <v>51.5</v>
      </c>
      <c r="K153" s="54">
        <v>1.07291666666667</v>
      </c>
    </row>
    <row r="154" spans="1:11">
      <c r="A154" s="46" t="s">
        <v>167</v>
      </c>
      <c r="B154" s="46">
        <v>2025</v>
      </c>
      <c r="C154" s="46" t="s">
        <v>246</v>
      </c>
      <c r="D154" s="46" t="s">
        <v>82</v>
      </c>
      <c r="E154" s="46" t="s">
        <v>83</v>
      </c>
      <c r="F154" s="46" t="s">
        <v>4</v>
      </c>
      <c r="G154" s="46" t="s">
        <v>116</v>
      </c>
      <c r="H154" s="49" t="s">
        <v>148</v>
      </c>
      <c r="I154" s="53">
        <v>36</v>
      </c>
      <c r="J154" s="53">
        <v>22.7</v>
      </c>
      <c r="K154" s="54">
        <v>0.630555555555556</v>
      </c>
    </row>
    <row r="155" spans="1:11">
      <c r="A155" s="46" t="s">
        <v>167</v>
      </c>
      <c r="B155" s="46">
        <v>2025</v>
      </c>
      <c r="C155" s="46" t="s">
        <v>246</v>
      </c>
      <c r="D155" s="46" t="s">
        <v>82</v>
      </c>
      <c r="E155" s="46" t="s">
        <v>83</v>
      </c>
      <c r="F155" s="46" t="s">
        <v>4</v>
      </c>
      <c r="G155" s="46" t="s">
        <v>117</v>
      </c>
      <c r="H155" s="49" t="s">
        <v>148</v>
      </c>
      <c r="I155" s="53">
        <v>36</v>
      </c>
      <c r="J155" s="53">
        <v>13.6</v>
      </c>
      <c r="K155" s="54">
        <v>0.377777777777778</v>
      </c>
    </row>
    <row r="156" spans="1:11">
      <c r="A156" s="46" t="s">
        <v>167</v>
      </c>
      <c r="B156" s="46">
        <v>2025</v>
      </c>
      <c r="C156" s="46" t="s">
        <v>246</v>
      </c>
      <c r="D156" s="46" t="s">
        <v>82</v>
      </c>
      <c r="E156" s="46" t="s">
        <v>83</v>
      </c>
      <c r="F156" s="46" t="s">
        <v>4</v>
      </c>
      <c r="G156" s="46" t="s">
        <v>118</v>
      </c>
      <c r="H156" s="49" t="s">
        <v>148</v>
      </c>
      <c r="I156" s="53">
        <v>36</v>
      </c>
      <c r="J156" s="53">
        <v>71.4</v>
      </c>
      <c r="K156" s="54">
        <v>1.98333333333333</v>
      </c>
    </row>
    <row r="157" spans="1:11">
      <c r="A157" s="46" t="s">
        <v>167</v>
      </c>
      <c r="B157" s="46">
        <v>2025</v>
      </c>
      <c r="C157" s="46" t="s">
        <v>246</v>
      </c>
      <c r="D157" s="46" t="s">
        <v>82</v>
      </c>
      <c r="E157" s="46" t="s">
        <v>83</v>
      </c>
      <c r="F157" s="46" t="s">
        <v>4</v>
      </c>
      <c r="G157" s="46" t="s">
        <v>119</v>
      </c>
      <c r="H157" s="49" t="s">
        <v>148</v>
      </c>
      <c r="I157" s="53">
        <v>36</v>
      </c>
      <c r="J157" s="53">
        <v>14.4</v>
      </c>
      <c r="K157" s="54">
        <v>0.4</v>
      </c>
    </row>
    <row r="158" spans="1:11">
      <c r="A158" s="46" t="s">
        <v>167</v>
      </c>
      <c r="B158" s="46">
        <v>2025</v>
      </c>
      <c r="C158" s="46" t="s">
        <v>246</v>
      </c>
      <c r="D158" s="46" t="s">
        <v>82</v>
      </c>
      <c r="E158" s="46" t="s">
        <v>83</v>
      </c>
      <c r="F158" s="46" t="s">
        <v>7</v>
      </c>
      <c r="G158" s="46" t="s">
        <v>116</v>
      </c>
      <c r="H158" s="49" t="s">
        <v>148</v>
      </c>
      <c r="I158" s="53">
        <v>55</v>
      </c>
      <c r="J158" s="53">
        <v>47.8</v>
      </c>
      <c r="K158" s="54">
        <v>0.869090909090909</v>
      </c>
    </row>
    <row r="159" spans="1:11">
      <c r="A159" s="46" t="s">
        <v>167</v>
      </c>
      <c r="B159" s="46">
        <v>2025</v>
      </c>
      <c r="C159" s="46" t="s">
        <v>246</v>
      </c>
      <c r="D159" s="46" t="s">
        <v>82</v>
      </c>
      <c r="E159" s="46" t="s">
        <v>83</v>
      </c>
      <c r="F159" s="46" t="s">
        <v>7</v>
      </c>
      <c r="G159" s="46" t="s">
        <v>117</v>
      </c>
      <c r="H159" s="49" t="s">
        <v>148</v>
      </c>
      <c r="I159" s="53">
        <v>55</v>
      </c>
      <c r="J159" s="53">
        <v>42.7</v>
      </c>
      <c r="K159" s="54">
        <v>0.776363636363636</v>
      </c>
    </row>
    <row r="160" spans="1:11">
      <c r="A160" s="46" t="s">
        <v>167</v>
      </c>
      <c r="B160" s="46">
        <v>2025</v>
      </c>
      <c r="C160" s="46" t="s">
        <v>246</v>
      </c>
      <c r="D160" s="46" t="s">
        <v>82</v>
      </c>
      <c r="E160" s="46" t="s">
        <v>83</v>
      </c>
      <c r="F160" s="46" t="s">
        <v>7</v>
      </c>
      <c r="G160" s="46" t="s">
        <v>118</v>
      </c>
      <c r="H160" s="49" t="s">
        <v>148</v>
      </c>
      <c r="I160" s="53">
        <v>55</v>
      </c>
      <c r="J160" s="53">
        <v>141.2</v>
      </c>
      <c r="K160" s="54">
        <v>2.56727272727273</v>
      </c>
    </row>
    <row r="161" spans="1:11">
      <c r="A161" s="46" t="s">
        <v>167</v>
      </c>
      <c r="B161" s="46">
        <v>2025</v>
      </c>
      <c r="C161" s="46" t="s">
        <v>246</v>
      </c>
      <c r="D161" s="46" t="s">
        <v>82</v>
      </c>
      <c r="E161" s="46" t="s">
        <v>83</v>
      </c>
      <c r="F161" s="46" t="s">
        <v>7</v>
      </c>
      <c r="G161" s="46" t="s">
        <v>119</v>
      </c>
      <c r="H161" s="49" t="s">
        <v>148</v>
      </c>
      <c r="I161" s="53">
        <v>55</v>
      </c>
      <c r="J161" s="53">
        <v>84.9</v>
      </c>
      <c r="K161" s="54">
        <v>1.54363636363636</v>
      </c>
    </row>
    <row r="162" spans="1:11">
      <c r="A162" s="46" t="s">
        <v>167</v>
      </c>
      <c r="B162" s="46">
        <v>2025</v>
      </c>
      <c r="C162" s="46" t="s">
        <v>246</v>
      </c>
      <c r="D162" s="46" t="s">
        <v>82</v>
      </c>
      <c r="E162" s="46" t="s">
        <v>83</v>
      </c>
      <c r="F162" s="46" t="s">
        <v>8</v>
      </c>
      <c r="G162" s="46" t="s">
        <v>116</v>
      </c>
      <c r="H162" s="49" t="s">
        <v>148</v>
      </c>
      <c r="I162" s="53">
        <v>56</v>
      </c>
      <c r="J162" s="53">
        <v>44.9</v>
      </c>
      <c r="K162" s="54">
        <v>0.801785714285714</v>
      </c>
    </row>
    <row r="163" spans="1:11">
      <c r="A163" s="46" t="s">
        <v>167</v>
      </c>
      <c r="B163" s="46">
        <v>2025</v>
      </c>
      <c r="C163" s="46" t="s">
        <v>246</v>
      </c>
      <c r="D163" s="46" t="s">
        <v>82</v>
      </c>
      <c r="E163" s="46" t="s">
        <v>83</v>
      </c>
      <c r="F163" s="46" t="s">
        <v>8</v>
      </c>
      <c r="G163" s="46" t="s">
        <v>117</v>
      </c>
      <c r="H163" s="49" t="s">
        <v>148</v>
      </c>
      <c r="I163" s="53">
        <v>56</v>
      </c>
      <c r="J163" s="53">
        <v>30.1</v>
      </c>
      <c r="K163" s="54">
        <v>0.5375</v>
      </c>
    </row>
    <row r="164" spans="1:11">
      <c r="A164" s="46" t="s">
        <v>167</v>
      </c>
      <c r="B164" s="46">
        <v>2025</v>
      </c>
      <c r="C164" s="46" t="s">
        <v>246</v>
      </c>
      <c r="D164" s="46" t="s">
        <v>82</v>
      </c>
      <c r="E164" s="46" t="s">
        <v>83</v>
      </c>
      <c r="F164" s="46" t="s">
        <v>8</v>
      </c>
      <c r="G164" s="46" t="s">
        <v>118</v>
      </c>
      <c r="H164" s="49" t="s">
        <v>148</v>
      </c>
      <c r="I164" s="53">
        <v>56</v>
      </c>
      <c r="J164" s="53">
        <v>129.7</v>
      </c>
      <c r="K164" s="54">
        <v>2.31607142857143</v>
      </c>
    </row>
    <row r="165" spans="1:11">
      <c r="A165" s="46" t="s">
        <v>167</v>
      </c>
      <c r="B165" s="46">
        <v>2025</v>
      </c>
      <c r="C165" s="46" t="s">
        <v>246</v>
      </c>
      <c r="D165" s="46" t="s">
        <v>82</v>
      </c>
      <c r="E165" s="46" t="s">
        <v>83</v>
      </c>
      <c r="F165" s="46" t="s">
        <v>8</v>
      </c>
      <c r="G165" s="46" t="s">
        <v>119</v>
      </c>
      <c r="H165" s="49" t="s">
        <v>148</v>
      </c>
      <c r="I165" s="53">
        <v>56</v>
      </c>
      <c r="J165" s="53">
        <v>65.3</v>
      </c>
      <c r="K165" s="54">
        <v>1.16607142857143</v>
      </c>
    </row>
    <row r="166" spans="1:11">
      <c r="A166" s="46" t="s">
        <v>167</v>
      </c>
      <c r="B166" s="46">
        <v>2025</v>
      </c>
      <c r="C166" s="46" t="s">
        <v>246</v>
      </c>
      <c r="D166" s="46" t="s">
        <v>82</v>
      </c>
      <c r="E166" s="46" t="s">
        <v>83</v>
      </c>
      <c r="F166" s="46" t="s">
        <v>6</v>
      </c>
      <c r="G166" s="46" t="s">
        <v>116</v>
      </c>
      <c r="H166" s="49" t="s">
        <v>148</v>
      </c>
      <c r="I166" s="53">
        <v>70</v>
      </c>
      <c r="J166" s="53">
        <v>41.6</v>
      </c>
      <c r="K166" s="54">
        <v>0.594285714285714</v>
      </c>
    </row>
    <row r="167" spans="1:11">
      <c r="A167" s="46" t="s">
        <v>167</v>
      </c>
      <c r="B167" s="46">
        <v>2025</v>
      </c>
      <c r="C167" s="46" t="s">
        <v>246</v>
      </c>
      <c r="D167" s="46" t="s">
        <v>82</v>
      </c>
      <c r="E167" s="46" t="s">
        <v>83</v>
      </c>
      <c r="F167" s="46" t="s">
        <v>6</v>
      </c>
      <c r="G167" s="46" t="s">
        <v>117</v>
      </c>
      <c r="H167" s="49" t="s">
        <v>148</v>
      </c>
      <c r="I167" s="53">
        <v>70</v>
      </c>
      <c r="J167" s="53">
        <v>40.2</v>
      </c>
      <c r="K167" s="54">
        <v>0.574285714285714</v>
      </c>
    </row>
    <row r="168" spans="1:11">
      <c r="A168" s="46" t="s">
        <v>167</v>
      </c>
      <c r="B168" s="46">
        <v>2025</v>
      </c>
      <c r="C168" s="46" t="s">
        <v>246</v>
      </c>
      <c r="D168" s="46" t="s">
        <v>82</v>
      </c>
      <c r="E168" s="46" t="s">
        <v>83</v>
      </c>
      <c r="F168" s="46" t="s">
        <v>6</v>
      </c>
      <c r="G168" s="46" t="s">
        <v>118</v>
      </c>
      <c r="H168" s="49" t="s">
        <v>148</v>
      </c>
      <c r="I168" s="53">
        <v>70</v>
      </c>
      <c r="J168" s="53">
        <v>159</v>
      </c>
      <c r="K168" s="54">
        <v>2.27142857142857</v>
      </c>
    </row>
    <row r="169" spans="1:11">
      <c r="A169" s="46" t="s">
        <v>167</v>
      </c>
      <c r="B169" s="46">
        <v>2025</v>
      </c>
      <c r="C169" s="46" t="s">
        <v>246</v>
      </c>
      <c r="D169" s="46" t="s">
        <v>82</v>
      </c>
      <c r="E169" s="46" t="s">
        <v>83</v>
      </c>
      <c r="F169" s="46" t="s">
        <v>6</v>
      </c>
      <c r="G169" s="46" t="s">
        <v>119</v>
      </c>
      <c r="H169" s="49" t="s">
        <v>148</v>
      </c>
      <c r="I169" s="53">
        <v>70</v>
      </c>
      <c r="J169" s="53">
        <v>123.5</v>
      </c>
      <c r="K169" s="54">
        <v>1.76428571428571</v>
      </c>
    </row>
    <row r="170" spans="1:11">
      <c r="A170" s="44" t="s">
        <v>170</v>
      </c>
      <c r="B170" s="44" t="s">
        <v>242</v>
      </c>
      <c r="C170" s="44" t="s">
        <v>247</v>
      </c>
      <c r="D170" s="46" t="s">
        <v>82</v>
      </c>
      <c r="E170" s="46" t="s">
        <v>83</v>
      </c>
      <c r="F170" s="46" t="s">
        <v>3</v>
      </c>
      <c r="G170" s="46" t="s">
        <v>116</v>
      </c>
      <c r="H170" s="49" t="s">
        <v>159</v>
      </c>
      <c r="I170" s="53">
        <v>53</v>
      </c>
      <c r="J170" s="53">
        <v>38.7</v>
      </c>
      <c r="K170" s="54">
        <v>0.730188679245283</v>
      </c>
    </row>
    <row r="171" spans="1:11">
      <c r="A171" s="44" t="s">
        <v>170</v>
      </c>
      <c r="B171" s="44" t="s">
        <v>242</v>
      </c>
      <c r="C171" s="44" t="s">
        <v>247</v>
      </c>
      <c r="D171" s="46" t="s">
        <v>82</v>
      </c>
      <c r="E171" s="46" t="s">
        <v>83</v>
      </c>
      <c r="F171" s="46" t="s">
        <v>3</v>
      </c>
      <c r="G171" s="46" t="s">
        <v>117</v>
      </c>
      <c r="H171" s="49" t="s">
        <v>159</v>
      </c>
      <c r="I171" s="53">
        <v>53</v>
      </c>
      <c r="J171" s="53">
        <v>16.6</v>
      </c>
      <c r="K171" s="54">
        <v>0.313207547169811</v>
      </c>
    </row>
    <row r="172" spans="1:11">
      <c r="A172" s="44" t="s">
        <v>170</v>
      </c>
      <c r="B172" s="44" t="s">
        <v>242</v>
      </c>
      <c r="C172" s="44" t="s">
        <v>247</v>
      </c>
      <c r="D172" s="46" t="s">
        <v>82</v>
      </c>
      <c r="E172" s="46" t="s">
        <v>83</v>
      </c>
      <c r="F172" s="46" t="s">
        <v>3</v>
      </c>
      <c r="G172" s="46" t="s">
        <v>118</v>
      </c>
      <c r="H172" s="49" t="s">
        <v>159</v>
      </c>
      <c r="I172" s="53">
        <v>53</v>
      </c>
      <c r="J172" s="53">
        <v>70.8</v>
      </c>
      <c r="K172" s="54">
        <v>1.33584905660377</v>
      </c>
    </row>
    <row r="173" spans="1:11">
      <c r="A173" s="44" t="s">
        <v>170</v>
      </c>
      <c r="B173" s="44" t="s">
        <v>242</v>
      </c>
      <c r="C173" s="44" t="s">
        <v>247</v>
      </c>
      <c r="D173" s="46" t="s">
        <v>82</v>
      </c>
      <c r="E173" s="46" t="s">
        <v>83</v>
      </c>
      <c r="F173" s="46" t="s">
        <v>3</v>
      </c>
      <c r="G173" s="46" t="s">
        <v>119</v>
      </c>
      <c r="H173" s="49" t="s">
        <v>159</v>
      </c>
      <c r="I173" s="53">
        <v>53</v>
      </c>
      <c r="J173" s="53">
        <v>38.6</v>
      </c>
      <c r="K173" s="54">
        <v>0.728301886792453</v>
      </c>
    </row>
    <row r="174" spans="1:11">
      <c r="A174" s="44" t="s">
        <v>170</v>
      </c>
      <c r="B174" s="44" t="s">
        <v>242</v>
      </c>
      <c r="C174" s="44" t="s">
        <v>247</v>
      </c>
      <c r="D174" s="46" t="s">
        <v>82</v>
      </c>
      <c r="E174" s="46" t="s">
        <v>83</v>
      </c>
      <c r="F174" s="46" t="s">
        <v>9</v>
      </c>
      <c r="G174" s="46" t="s">
        <v>116</v>
      </c>
      <c r="H174" s="49" t="s">
        <v>159</v>
      </c>
      <c r="I174" s="53">
        <v>57</v>
      </c>
      <c r="J174" s="53">
        <v>48.9</v>
      </c>
      <c r="K174" s="54">
        <v>0.857894736842105</v>
      </c>
    </row>
    <row r="175" spans="1:11">
      <c r="A175" s="44" t="s">
        <v>170</v>
      </c>
      <c r="B175" s="44" t="s">
        <v>242</v>
      </c>
      <c r="C175" s="44" t="s">
        <v>247</v>
      </c>
      <c r="D175" s="46" t="s">
        <v>82</v>
      </c>
      <c r="E175" s="46" t="s">
        <v>83</v>
      </c>
      <c r="F175" s="46" t="s">
        <v>9</v>
      </c>
      <c r="G175" s="46" t="s">
        <v>117</v>
      </c>
      <c r="H175" s="49" t="s">
        <v>159</v>
      </c>
      <c r="I175" s="53">
        <v>57</v>
      </c>
      <c r="J175" s="53">
        <v>16.7</v>
      </c>
      <c r="K175" s="54">
        <v>0.292982456140351</v>
      </c>
    </row>
    <row r="176" spans="1:11">
      <c r="A176" s="44" t="s">
        <v>170</v>
      </c>
      <c r="B176" s="44" t="s">
        <v>242</v>
      </c>
      <c r="C176" s="44" t="s">
        <v>247</v>
      </c>
      <c r="D176" s="46" t="s">
        <v>82</v>
      </c>
      <c r="E176" s="46" t="s">
        <v>83</v>
      </c>
      <c r="F176" s="46" t="s">
        <v>9</v>
      </c>
      <c r="G176" s="46" t="s">
        <v>118</v>
      </c>
      <c r="H176" s="49" t="s">
        <v>159</v>
      </c>
      <c r="I176" s="53">
        <v>57</v>
      </c>
      <c r="J176" s="53">
        <v>82.9</v>
      </c>
      <c r="K176" s="54">
        <v>1.45438596491228</v>
      </c>
    </row>
    <row r="177" spans="1:11">
      <c r="A177" s="44" t="s">
        <v>170</v>
      </c>
      <c r="B177" s="44" t="s">
        <v>242</v>
      </c>
      <c r="C177" s="44" t="s">
        <v>247</v>
      </c>
      <c r="D177" s="46" t="s">
        <v>82</v>
      </c>
      <c r="E177" s="46" t="s">
        <v>83</v>
      </c>
      <c r="F177" s="46" t="s">
        <v>9</v>
      </c>
      <c r="G177" s="46" t="s">
        <v>119</v>
      </c>
      <c r="H177" s="49" t="s">
        <v>159</v>
      </c>
      <c r="I177" s="53">
        <v>57</v>
      </c>
      <c r="J177" s="53">
        <v>29.9</v>
      </c>
      <c r="K177" s="54">
        <v>0.524561403508772</v>
      </c>
    </row>
    <row r="178" spans="1:11">
      <c r="A178" s="44" t="s">
        <v>170</v>
      </c>
      <c r="B178" s="44" t="s">
        <v>242</v>
      </c>
      <c r="C178" s="44" t="s">
        <v>247</v>
      </c>
      <c r="D178" s="46" t="s">
        <v>82</v>
      </c>
      <c r="E178" s="46" t="s">
        <v>83</v>
      </c>
      <c r="F178" s="46" t="s">
        <v>5</v>
      </c>
      <c r="G178" s="46" t="s">
        <v>116</v>
      </c>
      <c r="H178" s="49" t="s">
        <v>159</v>
      </c>
      <c r="I178" s="53">
        <v>48</v>
      </c>
      <c r="J178" s="53">
        <v>32.2</v>
      </c>
      <c r="K178" s="54">
        <v>0.670833333333333</v>
      </c>
    </row>
    <row r="179" spans="1:11">
      <c r="A179" s="44" t="s">
        <v>170</v>
      </c>
      <c r="B179" s="44" t="s">
        <v>242</v>
      </c>
      <c r="C179" s="44" t="s">
        <v>247</v>
      </c>
      <c r="D179" s="46" t="s">
        <v>82</v>
      </c>
      <c r="E179" s="46" t="s">
        <v>83</v>
      </c>
      <c r="F179" s="46" t="s">
        <v>5</v>
      </c>
      <c r="G179" s="46" t="s">
        <v>117</v>
      </c>
      <c r="H179" s="49" t="s">
        <v>159</v>
      </c>
      <c r="I179" s="53">
        <v>48</v>
      </c>
      <c r="J179" s="53">
        <v>20.4</v>
      </c>
      <c r="K179" s="54">
        <v>0.425</v>
      </c>
    </row>
    <row r="180" spans="1:11">
      <c r="A180" s="44" t="s">
        <v>170</v>
      </c>
      <c r="B180" s="44" t="s">
        <v>242</v>
      </c>
      <c r="C180" s="44" t="s">
        <v>247</v>
      </c>
      <c r="D180" s="46" t="s">
        <v>82</v>
      </c>
      <c r="E180" s="46" t="s">
        <v>83</v>
      </c>
      <c r="F180" s="46" t="s">
        <v>5</v>
      </c>
      <c r="G180" s="46" t="s">
        <v>118</v>
      </c>
      <c r="H180" s="49" t="s">
        <v>159</v>
      </c>
      <c r="I180" s="53">
        <v>48</v>
      </c>
      <c r="J180" s="53">
        <v>80</v>
      </c>
      <c r="K180" s="54">
        <v>1.66666666666667</v>
      </c>
    </row>
    <row r="181" spans="1:11">
      <c r="A181" s="44" t="s">
        <v>170</v>
      </c>
      <c r="B181" s="44" t="s">
        <v>242</v>
      </c>
      <c r="C181" s="44" t="s">
        <v>247</v>
      </c>
      <c r="D181" s="46" t="s">
        <v>82</v>
      </c>
      <c r="E181" s="46" t="s">
        <v>83</v>
      </c>
      <c r="F181" s="46" t="s">
        <v>5</v>
      </c>
      <c r="G181" s="46" t="s">
        <v>119</v>
      </c>
      <c r="H181" s="49" t="s">
        <v>159</v>
      </c>
      <c r="I181" s="53">
        <v>48</v>
      </c>
      <c r="J181" s="53">
        <v>33.6</v>
      </c>
      <c r="K181" s="54">
        <v>0.7</v>
      </c>
    </row>
    <row r="182" spans="1:11">
      <c r="A182" s="44" t="s">
        <v>170</v>
      </c>
      <c r="B182" s="44" t="s">
        <v>242</v>
      </c>
      <c r="C182" s="44" t="s">
        <v>247</v>
      </c>
      <c r="D182" s="46" t="s">
        <v>82</v>
      </c>
      <c r="E182" s="46" t="s">
        <v>83</v>
      </c>
      <c r="F182" s="46" t="s">
        <v>4</v>
      </c>
      <c r="G182" s="46" t="s">
        <v>116</v>
      </c>
      <c r="H182" s="49" t="s">
        <v>159</v>
      </c>
      <c r="I182" s="53">
        <v>36</v>
      </c>
      <c r="J182" s="53">
        <v>14.1</v>
      </c>
      <c r="K182" s="54">
        <v>0.391666666666667</v>
      </c>
    </row>
    <row r="183" spans="1:11">
      <c r="A183" s="44" t="s">
        <v>170</v>
      </c>
      <c r="B183" s="44" t="s">
        <v>242</v>
      </c>
      <c r="C183" s="44" t="s">
        <v>247</v>
      </c>
      <c r="D183" s="46" t="s">
        <v>82</v>
      </c>
      <c r="E183" s="46" t="s">
        <v>83</v>
      </c>
      <c r="F183" s="46" t="s">
        <v>4</v>
      </c>
      <c r="G183" s="46" t="s">
        <v>117</v>
      </c>
      <c r="H183" s="49" t="s">
        <v>159</v>
      </c>
      <c r="I183" s="53">
        <v>36</v>
      </c>
      <c r="J183" s="53">
        <v>8.8</v>
      </c>
      <c r="K183" s="54">
        <v>0.244444444444444</v>
      </c>
    </row>
    <row r="184" spans="1:11">
      <c r="A184" s="44" t="s">
        <v>170</v>
      </c>
      <c r="B184" s="44" t="s">
        <v>242</v>
      </c>
      <c r="C184" s="44" t="s">
        <v>247</v>
      </c>
      <c r="D184" s="46" t="s">
        <v>82</v>
      </c>
      <c r="E184" s="46" t="s">
        <v>83</v>
      </c>
      <c r="F184" s="46" t="s">
        <v>4</v>
      </c>
      <c r="G184" s="46" t="s">
        <v>118</v>
      </c>
      <c r="H184" s="49" t="s">
        <v>159</v>
      </c>
      <c r="I184" s="53">
        <v>36</v>
      </c>
      <c r="J184" s="53">
        <v>52.9</v>
      </c>
      <c r="K184" s="54">
        <v>1.46944444444444</v>
      </c>
    </row>
    <row r="185" spans="1:11">
      <c r="A185" s="44" t="s">
        <v>170</v>
      </c>
      <c r="B185" s="44" t="s">
        <v>242</v>
      </c>
      <c r="C185" s="44" t="s">
        <v>247</v>
      </c>
      <c r="D185" s="46" t="s">
        <v>82</v>
      </c>
      <c r="E185" s="46" t="s">
        <v>83</v>
      </c>
      <c r="F185" s="46" t="s">
        <v>4</v>
      </c>
      <c r="G185" s="46" t="s">
        <v>119</v>
      </c>
      <c r="H185" s="49" t="s">
        <v>159</v>
      </c>
      <c r="I185" s="53">
        <v>36</v>
      </c>
      <c r="J185" s="53">
        <v>13.5</v>
      </c>
      <c r="K185" s="54">
        <v>0.375</v>
      </c>
    </row>
    <row r="186" spans="1:11">
      <c r="A186" s="44" t="s">
        <v>170</v>
      </c>
      <c r="B186" s="44" t="s">
        <v>242</v>
      </c>
      <c r="C186" s="44" t="s">
        <v>247</v>
      </c>
      <c r="D186" s="46" t="s">
        <v>82</v>
      </c>
      <c r="E186" s="46" t="s">
        <v>83</v>
      </c>
      <c r="F186" s="46" t="s">
        <v>7</v>
      </c>
      <c r="G186" s="46" t="s">
        <v>116</v>
      </c>
      <c r="H186" s="49" t="s">
        <v>159</v>
      </c>
      <c r="I186" s="53">
        <v>55</v>
      </c>
      <c r="J186" s="53">
        <v>24.9</v>
      </c>
      <c r="K186" s="54">
        <v>0.452727272727273</v>
      </c>
    </row>
    <row r="187" spans="1:11">
      <c r="A187" s="44" t="s">
        <v>170</v>
      </c>
      <c r="B187" s="44" t="s">
        <v>242</v>
      </c>
      <c r="C187" s="44" t="s">
        <v>247</v>
      </c>
      <c r="D187" s="46" t="s">
        <v>82</v>
      </c>
      <c r="E187" s="46" t="s">
        <v>83</v>
      </c>
      <c r="F187" s="46" t="s">
        <v>7</v>
      </c>
      <c r="G187" s="46" t="s">
        <v>117</v>
      </c>
      <c r="H187" s="49" t="s">
        <v>159</v>
      </c>
      <c r="I187" s="53">
        <v>55</v>
      </c>
      <c r="J187" s="53">
        <v>28</v>
      </c>
      <c r="K187" s="54">
        <v>0.509090909090909</v>
      </c>
    </row>
    <row r="188" spans="1:11">
      <c r="A188" s="44" t="s">
        <v>170</v>
      </c>
      <c r="B188" s="44" t="s">
        <v>242</v>
      </c>
      <c r="C188" s="44" t="s">
        <v>247</v>
      </c>
      <c r="D188" s="46" t="s">
        <v>82</v>
      </c>
      <c r="E188" s="46" t="s">
        <v>83</v>
      </c>
      <c r="F188" s="46" t="s">
        <v>7</v>
      </c>
      <c r="G188" s="46" t="s">
        <v>118</v>
      </c>
      <c r="H188" s="49" t="s">
        <v>159</v>
      </c>
      <c r="I188" s="53">
        <v>55</v>
      </c>
      <c r="J188" s="53">
        <v>100.4</v>
      </c>
      <c r="K188" s="54">
        <v>1.82545454545455</v>
      </c>
    </row>
    <row r="189" spans="1:11">
      <c r="A189" s="44" t="s">
        <v>170</v>
      </c>
      <c r="B189" s="44" t="s">
        <v>242</v>
      </c>
      <c r="C189" s="44" t="s">
        <v>247</v>
      </c>
      <c r="D189" s="46" t="s">
        <v>82</v>
      </c>
      <c r="E189" s="46" t="s">
        <v>83</v>
      </c>
      <c r="F189" s="46" t="s">
        <v>7</v>
      </c>
      <c r="G189" s="46" t="s">
        <v>119</v>
      </c>
      <c r="H189" s="49" t="s">
        <v>159</v>
      </c>
      <c r="I189" s="53">
        <v>55</v>
      </c>
      <c r="J189" s="53">
        <v>45.5</v>
      </c>
      <c r="K189" s="54">
        <v>0.827272727272727</v>
      </c>
    </row>
    <row r="190" spans="1:11">
      <c r="A190" s="44" t="s">
        <v>170</v>
      </c>
      <c r="B190" s="44" t="s">
        <v>242</v>
      </c>
      <c r="C190" s="44" t="s">
        <v>247</v>
      </c>
      <c r="D190" s="46" t="s">
        <v>82</v>
      </c>
      <c r="E190" s="46" t="s">
        <v>83</v>
      </c>
      <c r="F190" s="46" t="s">
        <v>8</v>
      </c>
      <c r="G190" s="46" t="s">
        <v>116</v>
      </c>
      <c r="H190" s="49" t="s">
        <v>159</v>
      </c>
      <c r="I190" s="53">
        <v>56</v>
      </c>
      <c r="J190" s="53">
        <v>25.9</v>
      </c>
      <c r="K190" s="54">
        <v>0.4625</v>
      </c>
    </row>
    <row r="191" spans="1:11">
      <c r="A191" s="44" t="s">
        <v>170</v>
      </c>
      <c r="B191" s="44" t="s">
        <v>242</v>
      </c>
      <c r="C191" s="44" t="s">
        <v>247</v>
      </c>
      <c r="D191" s="46" t="s">
        <v>82</v>
      </c>
      <c r="E191" s="46" t="s">
        <v>83</v>
      </c>
      <c r="F191" s="46" t="s">
        <v>8</v>
      </c>
      <c r="G191" s="46" t="s">
        <v>117</v>
      </c>
      <c r="H191" s="49" t="s">
        <v>159</v>
      </c>
      <c r="I191" s="53">
        <v>56</v>
      </c>
      <c r="J191" s="53">
        <v>15.9</v>
      </c>
      <c r="K191" s="54">
        <v>0.283928571428571</v>
      </c>
    </row>
    <row r="192" spans="1:11">
      <c r="A192" s="44" t="s">
        <v>170</v>
      </c>
      <c r="B192" s="44" t="s">
        <v>242</v>
      </c>
      <c r="C192" s="44" t="s">
        <v>247</v>
      </c>
      <c r="D192" s="46" t="s">
        <v>82</v>
      </c>
      <c r="E192" s="46" t="s">
        <v>83</v>
      </c>
      <c r="F192" s="46" t="s">
        <v>8</v>
      </c>
      <c r="G192" s="46" t="s">
        <v>118</v>
      </c>
      <c r="H192" s="49" t="s">
        <v>159</v>
      </c>
      <c r="I192" s="53">
        <v>56</v>
      </c>
      <c r="J192" s="53">
        <v>54.8</v>
      </c>
      <c r="K192" s="54">
        <v>0.978571428571429</v>
      </c>
    </row>
    <row r="193" spans="1:11">
      <c r="A193" s="44" t="s">
        <v>170</v>
      </c>
      <c r="B193" s="44" t="s">
        <v>242</v>
      </c>
      <c r="C193" s="44" t="s">
        <v>247</v>
      </c>
      <c r="D193" s="46" t="s">
        <v>82</v>
      </c>
      <c r="E193" s="46" t="s">
        <v>83</v>
      </c>
      <c r="F193" s="46" t="s">
        <v>8</v>
      </c>
      <c r="G193" s="46" t="s">
        <v>119</v>
      </c>
      <c r="H193" s="49" t="s">
        <v>159</v>
      </c>
      <c r="I193" s="53">
        <v>56</v>
      </c>
      <c r="J193" s="53">
        <v>24.6</v>
      </c>
      <c r="K193" s="54">
        <v>0.439285714285714</v>
      </c>
    </row>
    <row r="194" spans="1:11">
      <c r="A194" s="44" t="s">
        <v>170</v>
      </c>
      <c r="B194" s="44" t="s">
        <v>242</v>
      </c>
      <c r="C194" s="44" t="s">
        <v>247</v>
      </c>
      <c r="D194" s="46" t="s">
        <v>82</v>
      </c>
      <c r="E194" s="46" t="s">
        <v>83</v>
      </c>
      <c r="F194" s="46" t="s">
        <v>6</v>
      </c>
      <c r="G194" s="46" t="s">
        <v>116</v>
      </c>
      <c r="H194" s="49" t="s">
        <v>159</v>
      </c>
      <c r="I194" s="53">
        <v>70</v>
      </c>
      <c r="J194" s="53">
        <v>38.4</v>
      </c>
      <c r="K194" s="54">
        <v>0.548571428571429</v>
      </c>
    </row>
    <row r="195" spans="1:11">
      <c r="A195" s="44" t="s">
        <v>170</v>
      </c>
      <c r="B195" s="44" t="s">
        <v>242</v>
      </c>
      <c r="C195" s="44" t="s">
        <v>247</v>
      </c>
      <c r="D195" s="46" t="s">
        <v>82</v>
      </c>
      <c r="E195" s="46" t="s">
        <v>83</v>
      </c>
      <c r="F195" s="46" t="s">
        <v>6</v>
      </c>
      <c r="G195" s="46" t="s">
        <v>117</v>
      </c>
      <c r="H195" s="49" t="s">
        <v>159</v>
      </c>
      <c r="I195" s="53">
        <v>70</v>
      </c>
      <c r="J195" s="53">
        <v>22.7</v>
      </c>
      <c r="K195" s="54">
        <v>0.324285714285714</v>
      </c>
    </row>
    <row r="196" spans="1:11">
      <c r="A196" s="44" t="s">
        <v>170</v>
      </c>
      <c r="B196" s="44" t="s">
        <v>242</v>
      </c>
      <c r="C196" s="44" t="s">
        <v>247</v>
      </c>
      <c r="D196" s="46" t="s">
        <v>82</v>
      </c>
      <c r="E196" s="46" t="s">
        <v>83</v>
      </c>
      <c r="F196" s="46" t="s">
        <v>6</v>
      </c>
      <c r="G196" s="46" t="s">
        <v>118</v>
      </c>
      <c r="H196" s="49" t="s">
        <v>159</v>
      </c>
      <c r="I196" s="53">
        <v>70</v>
      </c>
      <c r="J196" s="53">
        <v>63.9</v>
      </c>
      <c r="K196" s="54">
        <v>0.912857142857143</v>
      </c>
    </row>
    <row r="197" spans="1:11">
      <c r="A197" s="44" t="s">
        <v>170</v>
      </c>
      <c r="B197" s="44" t="s">
        <v>242</v>
      </c>
      <c r="C197" s="44" t="s">
        <v>247</v>
      </c>
      <c r="D197" s="46" t="s">
        <v>82</v>
      </c>
      <c r="E197" s="46" t="s">
        <v>83</v>
      </c>
      <c r="F197" s="46" t="s">
        <v>6</v>
      </c>
      <c r="G197" s="46" t="s">
        <v>119</v>
      </c>
      <c r="H197" s="49" t="s">
        <v>159</v>
      </c>
      <c r="I197" s="53">
        <v>70</v>
      </c>
      <c r="J197" s="53">
        <v>35.5</v>
      </c>
      <c r="K197" s="54">
        <v>0.507142857142857</v>
      </c>
    </row>
    <row r="198" spans="1:11">
      <c r="A198" s="46" t="s">
        <v>187</v>
      </c>
      <c r="B198" s="46" t="s">
        <v>243</v>
      </c>
      <c r="C198" s="46" t="s">
        <v>247</v>
      </c>
      <c r="D198" s="46" t="s">
        <v>82</v>
      </c>
      <c r="E198" s="46" t="s">
        <v>83</v>
      </c>
      <c r="F198" s="46" t="s">
        <v>3</v>
      </c>
      <c r="G198" s="46" t="s">
        <v>116</v>
      </c>
      <c r="H198" s="49" t="s">
        <v>159</v>
      </c>
      <c r="I198" s="53">
        <v>53</v>
      </c>
      <c r="J198" s="53">
        <v>33</v>
      </c>
      <c r="K198" s="54">
        <v>0.622641509433962</v>
      </c>
    </row>
    <row r="199" spans="1:11">
      <c r="A199" s="46" t="s">
        <v>187</v>
      </c>
      <c r="B199" s="46" t="s">
        <v>243</v>
      </c>
      <c r="C199" s="46" t="s">
        <v>247</v>
      </c>
      <c r="D199" s="46" t="s">
        <v>82</v>
      </c>
      <c r="E199" s="46" t="s">
        <v>83</v>
      </c>
      <c r="F199" s="46" t="s">
        <v>3</v>
      </c>
      <c r="G199" s="46" t="s">
        <v>117</v>
      </c>
      <c r="H199" s="49" t="s">
        <v>159</v>
      </c>
      <c r="I199" s="53">
        <v>53</v>
      </c>
      <c r="J199" s="53">
        <v>30</v>
      </c>
      <c r="K199" s="54">
        <v>0.566037735849057</v>
      </c>
    </row>
    <row r="200" spans="1:11">
      <c r="A200" s="46" t="s">
        <v>187</v>
      </c>
      <c r="B200" s="46" t="s">
        <v>243</v>
      </c>
      <c r="C200" s="46" t="s">
        <v>247</v>
      </c>
      <c r="D200" s="46" t="s">
        <v>82</v>
      </c>
      <c r="E200" s="46" t="s">
        <v>83</v>
      </c>
      <c r="F200" s="46" t="s">
        <v>3</v>
      </c>
      <c r="G200" s="46" t="s">
        <v>118</v>
      </c>
      <c r="H200" s="49" t="s">
        <v>159</v>
      </c>
      <c r="I200" s="53">
        <v>53</v>
      </c>
      <c r="J200" s="53">
        <v>102</v>
      </c>
      <c r="K200" s="54">
        <v>1.92452830188679</v>
      </c>
    </row>
    <row r="201" spans="1:11">
      <c r="A201" s="46" t="s">
        <v>187</v>
      </c>
      <c r="B201" s="46" t="s">
        <v>243</v>
      </c>
      <c r="C201" s="46" t="s">
        <v>247</v>
      </c>
      <c r="D201" s="46" t="s">
        <v>82</v>
      </c>
      <c r="E201" s="46" t="s">
        <v>83</v>
      </c>
      <c r="F201" s="46" t="s">
        <v>3</v>
      </c>
      <c r="G201" s="46" t="s">
        <v>119</v>
      </c>
      <c r="H201" s="49" t="s">
        <v>159</v>
      </c>
      <c r="I201" s="53">
        <v>53</v>
      </c>
      <c r="J201" s="53">
        <v>34</v>
      </c>
      <c r="K201" s="54">
        <v>0.641509433962264</v>
      </c>
    </row>
    <row r="202" spans="1:11">
      <c r="A202" s="46" t="s">
        <v>187</v>
      </c>
      <c r="B202" s="46" t="s">
        <v>243</v>
      </c>
      <c r="C202" s="46" t="s">
        <v>247</v>
      </c>
      <c r="D202" s="46" t="s">
        <v>82</v>
      </c>
      <c r="E202" s="46" t="s">
        <v>83</v>
      </c>
      <c r="F202" s="46" t="s">
        <v>9</v>
      </c>
      <c r="G202" s="46" t="s">
        <v>116</v>
      </c>
      <c r="H202" s="49" t="s">
        <v>159</v>
      </c>
      <c r="I202" s="53">
        <v>57</v>
      </c>
      <c r="J202" s="53">
        <v>28</v>
      </c>
      <c r="K202" s="54">
        <v>0.491228070175439</v>
      </c>
    </row>
    <row r="203" spans="1:11">
      <c r="A203" s="46" t="s">
        <v>187</v>
      </c>
      <c r="B203" s="46" t="s">
        <v>243</v>
      </c>
      <c r="C203" s="46" t="s">
        <v>247</v>
      </c>
      <c r="D203" s="46" t="s">
        <v>82</v>
      </c>
      <c r="E203" s="46" t="s">
        <v>83</v>
      </c>
      <c r="F203" s="46" t="s">
        <v>9</v>
      </c>
      <c r="G203" s="46" t="s">
        <v>117</v>
      </c>
      <c r="H203" s="49" t="s">
        <v>159</v>
      </c>
      <c r="I203" s="53">
        <v>57</v>
      </c>
      <c r="J203" s="53">
        <v>28</v>
      </c>
      <c r="K203" s="54">
        <v>0.491228070175439</v>
      </c>
    </row>
    <row r="204" spans="1:11">
      <c r="A204" s="46" t="s">
        <v>187</v>
      </c>
      <c r="B204" s="46" t="s">
        <v>243</v>
      </c>
      <c r="C204" s="46" t="s">
        <v>247</v>
      </c>
      <c r="D204" s="46" t="s">
        <v>82</v>
      </c>
      <c r="E204" s="46" t="s">
        <v>83</v>
      </c>
      <c r="F204" s="46" t="s">
        <v>9</v>
      </c>
      <c r="G204" s="46" t="s">
        <v>118</v>
      </c>
      <c r="H204" s="49" t="s">
        <v>159</v>
      </c>
      <c r="I204" s="53">
        <v>57</v>
      </c>
      <c r="J204" s="53">
        <v>87</v>
      </c>
      <c r="K204" s="54">
        <v>1.52631578947368</v>
      </c>
    </row>
    <row r="205" spans="1:11">
      <c r="A205" s="46" t="s">
        <v>187</v>
      </c>
      <c r="B205" s="46" t="s">
        <v>243</v>
      </c>
      <c r="C205" s="46" t="s">
        <v>247</v>
      </c>
      <c r="D205" s="46" t="s">
        <v>82</v>
      </c>
      <c r="E205" s="46" t="s">
        <v>83</v>
      </c>
      <c r="F205" s="46" t="s">
        <v>9</v>
      </c>
      <c r="G205" s="46" t="s">
        <v>119</v>
      </c>
      <c r="H205" s="49" t="s">
        <v>159</v>
      </c>
      <c r="I205" s="53">
        <v>57</v>
      </c>
      <c r="J205" s="53">
        <v>12</v>
      </c>
      <c r="K205" s="54">
        <v>0.210526315789474</v>
      </c>
    </row>
    <row r="206" spans="1:11">
      <c r="A206" s="46" t="s">
        <v>187</v>
      </c>
      <c r="B206" s="46" t="s">
        <v>243</v>
      </c>
      <c r="C206" s="46" t="s">
        <v>247</v>
      </c>
      <c r="D206" s="46" t="s">
        <v>82</v>
      </c>
      <c r="E206" s="46" t="s">
        <v>83</v>
      </c>
      <c r="F206" s="46" t="s">
        <v>5</v>
      </c>
      <c r="G206" s="46" t="s">
        <v>116</v>
      </c>
      <c r="H206" s="49" t="s">
        <v>159</v>
      </c>
      <c r="I206" s="53">
        <v>48</v>
      </c>
      <c r="J206" s="53">
        <v>66</v>
      </c>
      <c r="K206" s="54">
        <v>1.375</v>
      </c>
    </row>
    <row r="207" spans="1:11">
      <c r="A207" s="46" t="s">
        <v>187</v>
      </c>
      <c r="B207" s="46" t="s">
        <v>243</v>
      </c>
      <c r="C207" s="46" t="s">
        <v>247</v>
      </c>
      <c r="D207" s="46" t="s">
        <v>82</v>
      </c>
      <c r="E207" s="46" t="s">
        <v>83</v>
      </c>
      <c r="F207" s="46" t="s">
        <v>5</v>
      </c>
      <c r="G207" s="46" t="s">
        <v>117</v>
      </c>
      <c r="H207" s="49" t="s">
        <v>159</v>
      </c>
      <c r="I207" s="53">
        <v>48</v>
      </c>
      <c r="J207" s="53">
        <v>52</v>
      </c>
      <c r="K207" s="54">
        <v>1.08333333333333</v>
      </c>
    </row>
    <row r="208" spans="1:11">
      <c r="A208" s="46" t="s">
        <v>187</v>
      </c>
      <c r="B208" s="46" t="s">
        <v>243</v>
      </c>
      <c r="C208" s="46" t="s">
        <v>247</v>
      </c>
      <c r="D208" s="46" t="s">
        <v>82</v>
      </c>
      <c r="E208" s="46" t="s">
        <v>83</v>
      </c>
      <c r="F208" s="46" t="s">
        <v>5</v>
      </c>
      <c r="G208" s="46" t="s">
        <v>118</v>
      </c>
      <c r="H208" s="49" t="s">
        <v>159</v>
      </c>
      <c r="I208" s="53">
        <v>48</v>
      </c>
      <c r="J208" s="53">
        <v>100</v>
      </c>
      <c r="K208" s="54">
        <v>2.08333333333333</v>
      </c>
    </row>
    <row r="209" spans="1:11">
      <c r="A209" s="46" t="s">
        <v>187</v>
      </c>
      <c r="B209" s="46" t="s">
        <v>243</v>
      </c>
      <c r="C209" s="46" t="s">
        <v>247</v>
      </c>
      <c r="D209" s="46" t="s">
        <v>82</v>
      </c>
      <c r="E209" s="46" t="s">
        <v>83</v>
      </c>
      <c r="F209" s="46" t="s">
        <v>5</v>
      </c>
      <c r="G209" s="46" t="s">
        <v>119</v>
      </c>
      <c r="H209" s="49" t="s">
        <v>159</v>
      </c>
      <c r="I209" s="53">
        <v>48</v>
      </c>
      <c r="J209" s="53">
        <v>26</v>
      </c>
      <c r="K209" s="54">
        <v>0.541666666666667</v>
      </c>
    </row>
    <row r="210" spans="1:11">
      <c r="A210" s="46" t="s">
        <v>187</v>
      </c>
      <c r="B210" s="46" t="s">
        <v>243</v>
      </c>
      <c r="C210" s="46" t="s">
        <v>247</v>
      </c>
      <c r="D210" s="46" t="s">
        <v>82</v>
      </c>
      <c r="E210" s="46" t="s">
        <v>83</v>
      </c>
      <c r="F210" s="46" t="s">
        <v>4</v>
      </c>
      <c r="G210" s="46" t="s">
        <v>116</v>
      </c>
      <c r="H210" s="49" t="s">
        <v>159</v>
      </c>
      <c r="I210" s="53">
        <v>36</v>
      </c>
      <c r="J210" s="53">
        <v>24</v>
      </c>
      <c r="K210" s="54">
        <v>0.666666666666667</v>
      </c>
    </row>
    <row r="211" spans="1:11">
      <c r="A211" s="46" t="s">
        <v>187</v>
      </c>
      <c r="B211" s="46" t="s">
        <v>243</v>
      </c>
      <c r="C211" s="46" t="s">
        <v>247</v>
      </c>
      <c r="D211" s="46" t="s">
        <v>82</v>
      </c>
      <c r="E211" s="46" t="s">
        <v>83</v>
      </c>
      <c r="F211" s="46" t="s">
        <v>4</v>
      </c>
      <c r="G211" s="46" t="s">
        <v>117</v>
      </c>
      <c r="H211" s="49" t="s">
        <v>159</v>
      </c>
      <c r="I211" s="53">
        <v>36</v>
      </c>
      <c r="J211" s="53">
        <v>22</v>
      </c>
      <c r="K211" s="54">
        <v>0.611111111111111</v>
      </c>
    </row>
    <row r="212" spans="1:11">
      <c r="A212" s="46" t="s">
        <v>187</v>
      </c>
      <c r="B212" s="46" t="s">
        <v>243</v>
      </c>
      <c r="C212" s="46" t="s">
        <v>247</v>
      </c>
      <c r="D212" s="46" t="s">
        <v>82</v>
      </c>
      <c r="E212" s="46" t="s">
        <v>83</v>
      </c>
      <c r="F212" s="46" t="s">
        <v>4</v>
      </c>
      <c r="G212" s="46" t="s">
        <v>118</v>
      </c>
      <c r="H212" s="49" t="s">
        <v>159</v>
      </c>
      <c r="I212" s="53">
        <v>36</v>
      </c>
      <c r="J212" s="53">
        <v>55</v>
      </c>
      <c r="K212" s="54">
        <v>1.52777777777778</v>
      </c>
    </row>
    <row r="213" spans="1:11">
      <c r="A213" s="46" t="s">
        <v>187</v>
      </c>
      <c r="B213" s="46" t="s">
        <v>243</v>
      </c>
      <c r="C213" s="46" t="s">
        <v>247</v>
      </c>
      <c r="D213" s="46" t="s">
        <v>82</v>
      </c>
      <c r="E213" s="46" t="s">
        <v>83</v>
      </c>
      <c r="F213" s="46" t="s">
        <v>4</v>
      </c>
      <c r="G213" s="46" t="s">
        <v>119</v>
      </c>
      <c r="H213" s="49" t="s">
        <v>159</v>
      </c>
      <c r="I213" s="53">
        <v>36</v>
      </c>
      <c r="J213" s="53">
        <v>6</v>
      </c>
      <c r="K213" s="54">
        <v>0.166666666666667</v>
      </c>
    </row>
    <row r="214" spans="1:11">
      <c r="A214" s="46" t="s">
        <v>187</v>
      </c>
      <c r="B214" s="46" t="s">
        <v>243</v>
      </c>
      <c r="C214" s="46" t="s">
        <v>247</v>
      </c>
      <c r="D214" s="46" t="s">
        <v>82</v>
      </c>
      <c r="E214" s="46" t="s">
        <v>83</v>
      </c>
      <c r="F214" s="46" t="s">
        <v>7</v>
      </c>
      <c r="G214" s="46" t="s">
        <v>116</v>
      </c>
      <c r="H214" s="49" t="s">
        <v>159</v>
      </c>
      <c r="I214" s="53">
        <v>55</v>
      </c>
      <c r="J214" s="53">
        <v>23</v>
      </c>
      <c r="K214" s="54">
        <v>0.418181818181818</v>
      </c>
    </row>
    <row r="215" spans="1:11">
      <c r="A215" s="46" t="s">
        <v>187</v>
      </c>
      <c r="B215" s="46" t="s">
        <v>243</v>
      </c>
      <c r="C215" s="46" t="s">
        <v>247</v>
      </c>
      <c r="D215" s="46" t="s">
        <v>82</v>
      </c>
      <c r="E215" s="46" t="s">
        <v>83</v>
      </c>
      <c r="F215" s="46" t="s">
        <v>7</v>
      </c>
      <c r="G215" s="46" t="s">
        <v>117</v>
      </c>
      <c r="H215" s="49" t="s">
        <v>159</v>
      </c>
      <c r="I215" s="53">
        <v>55</v>
      </c>
      <c r="J215" s="53">
        <v>34</v>
      </c>
      <c r="K215" s="54">
        <v>0.618181818181818</v>
      </c>
    </row>
    <row r="216" spans="1:11">
      <c r="A216" s="46" t="s">
        <v>187</v>
      </c>
      <c r="B216" s="46" t="s">
        <v>243</v>
      </c>
      <c r="C216" s="46" t="s">
        <v>247</v>
      </c>
      <c r="D216" s="46" t="s">
        <v>82</v>
      </c>
      <c r="E216" s="46" t="s">
        <v>83</v>
      </c>
      <c r="F216" s="46" t="s">
        <v>7</v>
      </c>
      <c r="G216" s="46" t="s">
        <v>118</v>
      </c>
      <c r="H216" s="49" t="s">
        <v>159</v>
      </c>
      <c r="I216" s="53">
        <v>55</v>
      </c>
      <c r="J216" s="53">
        <v>123</v>
      </c>
      <c r="K216" s="54">
        <v>2.23636363636364</v>
      </c>
    </row>
    <row r="217" spans="1:11">
      <c r="A217" s="46" t="s">
        <v>187</v>
      </c>
      <c r="B217" s="46" t="s">
        <v>243</v>
      </c>
      <c r="C217" s="46" t="s">
        <v>247</v>
      </c>
      <c r="D217" s="46" t="s">
        <v>82</v>
      </c>
      <c r="E217" s="46" t="s">
        <v>83</v>
      </c>
      <c r="F217" s="46" t="s">
        <v>7</v>
      </c>
      <c r="G217" s="46" t="s">
        <v>119</v>
      </c>
      <c r="H217" s="49" t="s">
        <v>159</v>
      </c>
      <c r="I217" s="53">
        <v>55</v>
      </c>
      <c r="J217" s="53">
        <v>31</v>
      </c>
      <c r="K217" s="54">
        <v>0.563636363636364</v>
      </c>
    </row>
    <row r="218" spans="1:11">
      <c r="A218" s="46" t="s">
        <v>187</v>
      </c>
      <c r="B218" s="46" t="s">
        <v>243</v>
      </c>
      <c r="C218" s="46" t="s">
        <v>247</v>
      </c>
      <c r="D218" s="46" t="s">
        <v>82</v>
      </c>
      <c r="E218" s="46" t="s">
        <v>83</v>
      </c>
      <c r="F218" s="46" t="s">
        <v>8</v>
      </c>
      <c r="G218" s="46" t="s">
        <v>116</v>
      </c>
      <c r="H218" s="49" t="s">
        <v>159</v>
      </c>
      <c r="I218" s="53">
        <v>37</v>
      </c>
      <c r="J218" s="53">
        <v>21</v>
      </c>
      <c r="K218" s="54">
        <v>0.567567567567568</v>
      </c>
    </row>
    <row r="219" spans="1:11">
      <c r="A219" s="46" t="s">
        <v>187</v>
      </c>
      <c r="B219" s="46" t="s">
        <v>243</v>
      </c>
      <c r="C219" s="46" t="s">
        <v>247</v>
      </c>
      <c r="D219" s="46" t="s">
        <v>82</v>
      </c>
      <c r="E219" s="46" t="s">
        <v>83</v>
      </c>
      <c r="F219" s="46" t="s">
        <v>8</v>
      </c>
      <c r="G219" s="46" t="s">
        <v>117</v>
      </c>
      <c r="H219" s="49" t="s">
        <v>159</v>
      </c>
      <c r="I219" s="53">
        <v>37</v>
      </c>
      <c r="J219" s="53">
        <v>19</v>
      </c>
      <c r="K219" s="54">
        <v>0.513513513513513</v>
      </c>
    </row>
    <row r="220" spans="1:11">
      <c r="A220" s="46" t="s">
        <v>187</v>
      </c>
      <c r="B220" s="46" t="s">
        <v>243</v>
      </c>
      <c r="C220" s="46" t="s">
        <v>247</v>
      </c>
      <c r="D220" s="46" t="s">
        <v>82</v>
      </c>
      <c r="E220" s="46" t="s">
        <v>83</v>
      </c>
      <c r="F220" s="46" t="s">
        <v>8</v>
      </c>
      <c r="G220" s="46" t="s">
        <v>118</v>
      </c>
      <c r="H220" s="49" t="s">
        <v>159</v>
      </c>
      <c r="I220" s="53">
        <v>37</v>
      </c>
      <c r="J220" s="53">
        <v>62</v>
      </c>
      <c r="K220" s="54">
        <v>1.67567567567568</v>
      </c>
    </row>
    <row r="221" spans="1:11">
      <c r="A221" s="46" t="s">
        <v>187</v>
      </c>
      <c r="B221" s="46" t="s">
        <v>243</v>
      </c>
      <c r="C221" s="46" t="s">
        <v>247</v>
      </c>
      <c r="D221" s="46" t="s">
        <v>82</v>
      </c>
      <c r="E221" s="46" t="s">
        <v>83</v>
      </c>
      <c r="F221" s="46" t="s">
        <v>8</v>
      </c>
      <c r="G221" s="46" t="s">
        <v>119</v>
      </c>
      <c r="H221" s="49" t="s">
        <v>159</v>
      </c>
      <c r="I221" s="53">
        <v>37</v>
      </c>
      <c r="J221" s="53">
        <v>13</v>
      </c>
      <c r="K221" s="54">
        <v>0.351351351351351</v>
      </c>
    </row>
    <row r="222" spans="1:11">
      <c r="A222" s="46" t="s">
        <v>187</v>
      </c>
      <c r="B222" s="46" t="s">
        <v>243</v>
      </c>
      <c r="C222" s="46" t="s">
        <v>247</v>
      </c>
      <c r="D222" s="46" t="s">
        <v>82</v>
      </c>
      <c r="E222" s="46" t="s">
        <v>83</v>
      </c>
      <c r="F222" s="46" t="s">
        <v>6</v>
      </c>
      <c r="G222" s="46" t="s">
        <v>116</v>
      </c>
      <c r="H222" s="49" t="s">
        <v>159</v>
      </c>
      <c r="I222" s="53">
        <v>70</v>
      </c>
      <c r="J222" s="53">
        <v>43</v>
      </c>
      <c r="K222" s="54">
        <v>0.614285714285714</v>
      </c>
    </row>
    <row r="223" spans="1:11">
      <c r="A223" s="46" t="s">
        <v>187</v>
      </c>
      <c r="B223" s="46" t="s">
        <v>243</v>
      </c>
      <c r="C223" s="46" t="s">
        <v>247</v>
      </c>
      <c r="D223" s="46" t="s">
        <v>82</v>
      </c>
      <c r="E223" s="46" t="s">
        <v>83</v>
      </c>
      <c r="F223" s="46" t="s">
        <v>6</v>
      </c>
      <c r="G223" s="46" t="s">
        <v>117</v>
      </c>
      <c r="H223" s="49" t="s">
        <v>159</v>
      </c>
      <c r="I223" s="53">
        <v>70</v>
      </c>
      <c r="J223" s="53">
        <v>31</v>
      </c>
      <c r="K223" s="54">
        <v>0.442857142857143</v>
      </c>
    </row>
    <row r="224" spans="1:11">
      <c r="A224" s="46" t="s">
        <v>187</v>
      </c>
      <c r="B224" s="46" t="s">
        <v>243</v>
      </c>
      <c r="C224" s="46" t="s">
        <v>247</v>
      </c>
      <c r="D224" s="46" t="s">
        <v>82</v>
      </c>
      <c r="E224" s="46" t="s">
        <v>83</v>
      </c>
      <c r="F224" s="46" t="s">
        <v>6</v>
      </c>
      <c r="G224" s="46" t="s">
        <v>118</v>
      </c>
      <c r="H224" s="49" t="s">
        <v>159</v>
      </c>
      <c r="I224" s="53">
        <v>70</v>
      </c>
      <c r="J224" s="53">
        <v>82</v>
      </c>
      <c r="K224" s="54">
        <v>1.17142857142857</v>
      </c>
    </row>
    <row r="225" spans="1:11">
      <c r="A225" s="46" t="s">
        <v>187</v>
      </c>
      <c r="B225" s="46" t="s">
        <v>243</v>
      </c>
      <c r="C225" s="46" t="s">
        <v>247</v>
      </c>
      <c r="D225" s="46" t="s">
        <v>82</v>
      </c>
      <c r="E225" s="46" t="s">
        <v>83</v>
      </c>
      <c r="F225" s="46" t="s">
        <v>6</v>
      </c>
      <c r="G225" s="46" t="s">
        <v>119</v>
      </c>
      <c r="H225" s="49" t="s">
        <v>159</v>
      </c>
      <c r="I225" s="53">
        <v>70</v>
      </c>
      <c r="J225" s="53">
        <v>51</v>
      </c>
      <c r="K225" s="54">
        <v>0.728571428571429</v>
      </c>
    </row>
    <row r="226" spans="1:11">
      <c r="A226" s="44" t="s">
        <v>169</v>
      </c>
      <c r="B226" s="44">
        <v>2025</v>
      </c>
      <c r="C226" s="44" t="s">
        <v>247</v>
      </c>
      <c r="D226" s="46" t="s">
        <v>82</v>
      </c>
      <c r="E226" s="46" t="s">
        <v>83</v>
      </c>
      <c r="F226" s="46" t="s">
        <v>3</v>
      </c>
      <c r="G226" s="46" t="s">
        <v>116</v>
      </c>
      <c r="H226" s="49" t="s">
        <v>148</v>
      </c>
      <c r="I226" s="53">
        <v>53</v>
      </c>
      <c r="J226" s="53">
        <v>51.5</v>
      </c>
      <c r="K226" s="54">
        <v>0.971698113207547</v>
      </c>
    </row>
    <row r="227" spans="1:11">
      <c r="A227" s="44" t="s">
        <v>169</v>
      </c>
      <c r="B227" s="44">
        <v>2025</v>
      </c>
      <c r="C227" s="44" t="s">
        <v>247</v>
      </c>
      <c r="D227" s="46" t="s">
        <v>82</v>
      </c>
      <c r="E227" s="46" t="s">
        <v>83</v>
      </c>
      <c r="F227" s="46" t="s">
        <v>3</v>
      </c>
      <c r="G227" s="46" t="s">
        <v>117</v>
      </c>
      <c r="H227" s="49" t="s">
        <v>148</v>
      </c>
      <c r="I227" s="53">
        <v>53</v>
      </c>
      <c r="J227" s="53">
        <v>37.7</v>
      </c>
      <c r="K227" s="54">
        <v>0.711320754716981</v>
      </c>
    </row>
    <row r="228" spans="1:11">
      <c r="A228" s="44" t="s">
        <v>169</v>
      </c>
      <c r="B228" s="44">
        <v>2025</v>
      </c>
      <c r="C228" s="44" t="s">
        <v>247</v>
      </c>
      <c r="D228" s="46" t="s">
        <v>82</v>
      </c>
      <c r="E228" s="46" t="s">
        <v>83</v>
      </c>
      <c r="F228" s="46" t="s">
        <v>3</v>
      </c>
      <c r="G228" s="46" t="s">
        <v>118</v>
      </c>
      <c r="H228" s="49" t="s">
        <v>148</v>
      </c>
      <c r="I228" s="53">
        <v>53</v>
      </c>
      <c r="J228" s="53">
        <v>123.5</v>
      </c>
      <c r="K228" s="54">
        <v>2.33018867924528</v>
      </c>
    </row>
    <row r="229" spans="1:11">
      <c r="A229" s="44" t="s">
        <v>169</v>
      </c>
      <c r="B229" s="44">
        <v>2025</v>
      </c>
      <c r="C229" s="44" t="s">
        <v>247</v>
      </c>
      <c r="D229" s="46" t="s">
        <v>82</v>
      </c>
      <c r="E229" s="46" t="s">
        <v>83</v>
      </c>
      <c r="F229" s="46" t="s">
        <v>3</v>
      </c>
      <c r="G229" s="46" t="s">
        <v>119</v>
      </c>
      <c r="H229" s="49" t="s">
        <v>148</v>
      </c>
      <c r="I229" s="53">
        <v>53</v>
      </c>
      <c r="J229" s="53">
        <v>40.1</v>
      </c>
      <c r="K229" s="54">
        <v>0.756603773584906</v>
      </c>
    </row>
    <row r="230" spans="1:11">
      <c r="A230" s="44" t="s">
        <v>169</v>
      </c>
      <c r="B230" s="44">
        <v>2025</v>
      </c>
      <c r="C230" s="44" t="s">
        <v>247</v>
      </c>
      <c r="D230" s="46" t="s">
        <v>82</v>
      </c>
      <c r="E230" s="46" t="s">
        <v>83</v>
      </c>
      <c r="F230" s="46" t="s">
        <v>9</v>
      </c>
      <c r="G230" s="46" t="s">
        <v>116</v>
      </c>
      <c r="H230" s="49" t="s">
        <v>148</v>
      </c>
      <c r="I230" s="53">
        <v>57</v>
      </c>
      <c r="J230" s="53">
        <v>63.5</v>
      </c>
      <c r="K230" s="54">
        <v>1.1140350877193</v>
      </c>
    </row>
    <row r="231" spans="1:11">
      <c r="A231" s="44" t="s">
        <v>169</v>
      </c>
      <c r="B231" s="44">
        <v>2025</v>
      </c>
      <c r="C231" s="44" t="s">
        <v>247</v>
      </c>
      <c r="D231" s="46" t="s">
        <v>82</v>
      </c>
      <c r="E231" s="46" t="s">
        <v>83</v>
      </c>
      <c r="F231" s="46" t="s">
        <v>9</v>
      </c>
      <c r="G231" s="46" t="s">
        <v>117</v>
      </c>
      <c r="H231" s="49" t="s">
        <v>148</v>
      </c>
      <c r="I231" s="53">
        <v>57</v>
      </c>
      <c r="J231" s="53">
        <v>47.3</v>
      </c>
      <c r="K231" s="54">
        <v>0.829824561403509</v>
      </c>
    </row>
    <row r="232" spans="1:11">
      <c r="A232" s="44" t="s">
        <v>169</v>
      </c>
      <c r="B232" s="44">
        <v>2025</v>
      </c>
      <c r="C232" s="44" t="s">
        <v>247</v>
      </c>
      <c r="D232" s="46" t="s">
        <v>82</v>
      </c>
      <c r="E232" s="46" t="s">
        <v>83</v>
      </c>
      <c r="F232" s="46" t="s">
        <v>9</v>
      </c>
      <c r="G232" s="46" t="s">
        <v>118</v>
      </c>
      <c r="H232" s="49" t="s">
        <v>148</v>
      </c>
      <c r="I232" s="53">
        <v>57</v>
      </c>
      <c r="J232" s="53">
        <v>127.5</v>
      </c>
      <c r="K232" s="54">
        <v>2.23684210526316</v>
      </c>
    </row>
    <row r="233" spans="1:11">
      <c r="A233" s="44" t="s">
        <v>169</v>
      </c>
      <c r="B233" s="44">
        <v>2025</v>
      </c>
      <c r="C233" s="44" t="s">
        <v>247</v>
      </c>
      <c r="D233" s="46" t="s">
        <v>82</v>
      </c>
      <c r="E233" s="46" t="s">
        <v>83</v>
      </c>
      <c r="F233" s="46" t="s">
        <v>9</v>
      </c>
      <c r="G233" s="46" t="s">
        <v>119</v>
      </c>
      <c r="H233" s="49" t="s">
        <v>148</v>
      </c>
      <c r="I233" s="53">
        <v>57</v>
      </c>
      <c r="J233" s="53">
        <v>52.6</v>
      </c>
      <c r="K233" s="54">
        <v>0.92280701754386</v>
      </c>
    </row>
    <row r="234" spans="1:11">
      <c r="A234" s="44" t="s">
        <v>169</v>
      </c>
      <c r="B234" s="44">
        <v>2025</v>
      </c>
      <c r="C234" s="44" t="s">
        <v>247</v>
      </c>
      <c r="D234" s="46" t="s">
        <v>82</v>
      </c>
      <c r="E234" s="46" t="s">
        <v>83</v>
      </c>
      <c r="F234" s="46" t="s">
        <v>5</v>
      </c>
      <c r="G234" s="46" t="s">
        <v>116</v>
      </c>
      <c r="H234" s="49" t="s">
        <v>148</v>
      </c>
      <c r="I234" s="53">
        <v>48</v>
      </c>
      <c r="J234" s="53">
        <v>70.9</v>
      </c>
      <c r="K234" s="54">
        <v>1.47708333333333</v>
      </c>
    </row>
    <row r="235" spans="1:11">
      <c r="A235" s="44" t="s">
        <v>169</v>
      </c>
      <c r="B235" s="44">
        <v>2025</v>
      </c>
      <c r="C235" s="44" t="s">
        <v>247</v>
      </c>
      <c r="D235" s="46" t="s">
        <v>82</v>
      </c>
      <c r="E235" s="46" t="s">
        <v>83</v>
      </c>
      <c r="F235" s="46" t="s">
        <v>5</v>
      </c>
      <c r="G235" s="46" t="s">
        <v>117</v>
      </c>
      <c r="H235" s="49" t="s">
        <v>148</v>
      </c>
      <c r="I235" s="53">
        <v>48</v>
      </c>
      <c r="J235" s="53">
        <v>48.3</v>
      </c>
      <c r="K235" s="54">
        <v>1.00625</v>
      </c>
    </row>
    <row r="236" spans="1:11">
      <c r="A236" s="44" t="s">
        <v>169</v>
      </c>
      <c r="B236" s="44">
        <v>2025</v>
      </c>
      <c r="C236" s="44" t="s">
        <v>247</v>
      </c>
      <c r="D236" s="46" t="s">
        <v>82</v>
      </c>
      <c r="E236" s="46" t="s">
        <v>83</v>
      </c>
      <c r="F236" s="46" t="s">
        <v>5</v>
      </c>
      <c r="G236" s="46" t="s">
        <v>118</v>
      </c>
      <c r="H236" s="49" t="s">
        <v>148</v>
      </c>
      <c r="I236" s="53">
        <v>48</v>
      </c>
      <c r="J236" s="53">
        <v>114.5</v>
      </c>
      <c r="K236" s="54">
        <v>2.38541666666667</v>
      </c>
    </row>
    <row r="237" spans="1:11">
      <c r="A237" s="44" t="s">
        <v>169</v>
      </c>
      <c r="B237" s="44">
        <v>2025</v>
      </c>
      <c r="C237" s="44" t="s">
        <v>247</v>
      </c>
      <c r="D237" s="46" t="s">
        <v>82</v>
      </c>
      <c r="E237" s="46" t="s">
        <v>83</v>
      </c>
      <c r="F237" s="46" t="s">
        <v>5</v>
      </c>
      <c r="G237" s="46" t="s">
        <v>119</v>
      </c>
      <c r="H237" s="49" t="s">
        <v>148</v>
      </c>
      <c r="I237" s="53">
        <v>48</v>
      </c>
      <c r="J237" s="53">
        <v>31.6</v>
      </c>
      <c r="K237" s="54">
        <v>0.658333333333333</v>
      </c>
    </row>
    <row r="238" spans="1:11">
      <c r="A238" s="44" t="s">
        <v>169</v>
      </c>
      <c r="B238" s="44">
        <v>2025</v>
      </c>
      <c r="C238" s="44" t="s">
        <v>247</v>
      </c>
      <c r="D238" s="46" t="s">
        <v>82</v>
      </c>
      <c r="E238" s="46" t="s">
        <v>83</v>
      </c>
      <c r="F238" s="46" t="s">
        <v>4</v>
      </c>
      <c r="G238" s="46" t="s">
        <v>116</v>
      </c>
      <c r="H238" s="49" t="s">
        <v>148</v>
      </c>
      <c r="I238" s="53">
        <v>36</v>
      </c>
      <c r="J238" s="53">
        <v>27.3</v>
      </c>
      <c r="K238" s="54">
        <v>0.758333333333333</v>
      </c>
    </row>
    <row r="239" spans="1:11">
      <c r="A239" s="44" t="s">
        <v>169</v>
      </c>
      <c r="B239" s="44">
        <v>2025</v>
      </c>
      <c r="C239" s="44" t="s">
        <v>247</v>
      </c>
      <c r="D239" s="46" t="s">
        <v>82</v>
      </c>
      <c r="E239" s="46" t="s">
        <v>83</v>
      </c>
      <c r="F239" s="46" t="s">
        <v>4</v>
      </c>
      <c r="G239" s="46" t="s">
        <v>117</v>
      </c>
      <c r="H239" s="49" t="s">
        <v>148</v>
      </c>
      <c r="I239" s="53">
        <v>36</v>
      </c>
      <c r="J239" s="53">
        <v>17.7</v>
      </c>
      <c r="K239" s="54">
        <v>0.491666666666667</v>
      </c>
    </row>
    <row r="240" spans="1:11">
      <c r="A240" s="44" t="s">
        <v>169</v>
      </c>
      <c r="B240" s="44">
        <v>2025</v>
      </c>
      <c r="C240" s="44" t="s">
        <v>247</v>
      </c>
      <c r="D240" s="46" t="s">
        <v>82</v>
      </c>
      <c r="E240" s="46" t="s">
        <v>83</v>
      </c>
      <c r="F240" s="46" t="s">
        <v>4</v>
      </c>
      <c r="G240" s="46" t="s">
        <v>118</v>
      </c>
      <c r="H240" s="49" t="s">
        <v>148</v>
      </c>
      <c r="I240" s="53">
        <v>36</v>
      </c>
      <c r="J240" s="53">
        <v>82.6</v>
      </c>
      <c r="K240" s="54">
        <v>2.29444444444444</v>
      </c>
    </row>
    <row r="241" spans="1:11">
      <c r="A241" s="44" t="s">
        <v>169</v>
      </c>
      <c r="B241" s="44">
        <v>2025</v>
      </c>
      <c r="C241" s="44" t="s">
        <v>247</v>
      </c>
      <c r="D241" s="46" t="s">
        <v>82</v>
      </c>
      <c r="E241" s="46" t="s">
        <v>83</v>
      </c>
      <c r="F241" s="46" t="s">
        <v>4</v>
      </c>
      <c r="G241" s="46" t="s">
        <v>119</v>
      </c>
      <c r="H241" s="49" t="s">
        <v>148</v>
      </c>
      <c r="I241" s="53">
        <v>36</v>
      </c>
      <c r="J241" s="53">
        <v>18.1</v>
      </c>
      <c r="K241" s="54">
        <v>0.502777777777778</v>
      </c>
    </row>
    <row r="242" spans="1:11">
      <c r="A242" s="44" t="s">
        <v>169</v>
      </c>
      <c r="B242" s="44">
        <v>2025</v>
      </c>
      <c r="C242" s="44" t="s">
        <v>247</v>
      </c>
      <c r="D242" s="46" t="s">
        <v>82</v>
      </c>
      <c r="E242" s="46" t="s">
        <v>83</v>
      </c>
      <c r="F242" s="46" t="s">
        <v>7</v>
      </c>
      <c r="G242" s="46" t="s">
        <v>116</v>
      </c>
      <c r="H242" s="49" t="s">
        <v>148</v>
      </c>
      <c r="I242" s="53">
        <v>55</v>
      </c>
      <c r="J242" s="53">
        <v>53.8</v>
      </c>
      <c r="K242" s="54">
        <v>0.978181818181818</v>
      </c>
    </row>
    <row r="243" spans="1:11">
      <c r="A243" s="44" t="s">
        <v>169</v>
      </c>
      <c r="B243" s="44">
        <v>2025</v>
      </c>
      <c r="C243" s="44" t="s">
        <v>247</v>
      </c>
      <c r="D243" s="46" t="s">
        <v>82</v>
      </c>
      <c r="E243" s="46" t="s">
        <v>83</v>
      </c>
      <c r="F243" s="46" t="s">
        <v>7</v>
      </c>
      <c r="G243" s="46" t="s">
        <v>117</v>
      </c>
      <c r="H243" s="49" t="s">
        <v>148</v>
      </c>
      <c r="I243" s="53">
        <v>55</v>
      </c>
      <c r="J243" s="53">
        <v>50.9</v>
      </c>
      <c r="K243" s="54">
        <v>0.925454545454545</v>
      </c>
    </row>
    <row r="244" spans="1:11">
      <c r="A244" s="44" t="s">
        <v>169</v>
      </c>
      <c r="B244" s="44">
        <v>2025</v>
      </c>
      <c r="C244" s="44" t="s">
        <v>247</v>
      </c>
      <c r="D244" s="46" t="s">
        <v>82</v>
      </c>
      <c r="E244" s="46" t="s">
        <v>83</v>
      </c>
      <c r="F244" s="46" t="s">
        <v>7</v>
      </c>
      <c r="G244" s="46" t="s">
        <v>118</v>
      </c>
      <c r="H244" s="49" t="s">
        <v>148</v>
      </c>
      <c r="I244" s="53">
        <v>55</v>
      </c>
      <c r="J244" s="53">
        <v>142</v>
      </c>
      <c r="K244" s="54">
        <v>2.58181818181818</v>
      </c>
    </row>
    <row r="245" spans="1:11">
      <c r="A245" s="44" t="s">
        <v>169</v>
      </c>
      <c r="B245" s="44">
        <v>2025</v>
      </c>
      <c r="C245" s="44" t="s">
        <v>247</v>
      </c>
      <c r="D245" s="46" t="s">
        <v>82</v>
      </c>
      <c r="E245" s="46" t="s">
        <v>83</v>
      </c>
      <c r="F245" s="46" t="s">
        <v>7</v>
      </c>
      <c r="G245" s="46" t="s">
        <v>119</v>
      </c>
      <c r="H245" s="49" t="s">
        <v>148</v>
      </c>
      <c r="I245" s="53">
        <v>55</v>
      </c>
      <c r="J245" s="53">
        <v>84.1</v>
      </c>
      <c r="K245" s="54">
        <v>1.52909090909091</v>
      </c>
    </row>
    <row r="246" spans="1:11">
      <c r="A246" s="44" t="s">
        <v>169</v>
      </c>
      <c r="B246" s="44">
        <v>2025</v>
      </c>
      <c r="C246" s="44" t="s">
        <v>247</v>
      </c>
      <c r="D246" s="46" t="s">
        <v>82</v>
      </c>
      <c r="E246" s="46" t="s">
        <v>83</v>
      </c>
      <c r="F246" s="46" t="s">
        <v>8</v>
      </c>
      <c r="G246" s="46" t="s">
        <v>116</v>
      </c>
      <c r="H246" s="49" t="s">
        <v>148</v>
      </c>
      <c r="I246" s="53">
        <v>56</v>
      </c>
      <c r="J246" s="53">
        <v>56.8</v>
      </c>
      <c r="K246" s="54">
        <v>1.01428571428571</v>
      </c>
    </row>
    <row r="247" spans="1:11">
      <c r="A247" s="44" t="s">
        <v>169</v>
      </c>
      <c r="B247" s="44">
        <v>2025</v>
      </c>
      <c r="C247" s="44" t="s">
        <v>247</v>
      </c>
      <c r="D247" s="46" t="s">
        <v>82</v>
      </c>
      <c r="E247" s="46" t="s">
        <v>83</v>
      </c>
      <c r="F247" s="46" t="s">
        <v>8</v>
      </c>
      <c r="G247" s="46" t="s">
        <v>117</v>
      </c>
      <c r="H247" s="49" t="s">
        <v>148</v>
      </c>
      <c r="I247" s="53">
        <v>56</v>
      </c>
      <c r="J247" s="53">
        <v>37.6</v>
      </c>
      <c r="K247" s="54">
        <v>0.671428571428571</v>
      </c>
    </row>
    <row r="248" spans="1:11">
      <c r="A248" s="44" t="s">
        <v>169</v>
      </c>
      <c r="B248" s="44">
        <v>2025</v>
      </c>
      <c r="C248" s="44" t="s">
        <v>247</v>
      </c>
      <c r="D248" s="46" t="s">
        <v>82</v>
      </c>
      <c r="E248" s="46" t="s">
        <v>83</v>
      </c>
      <c r="F248" s="46" t="s">
        <v>8</v>
      </c>
      <c r="G248" s="46" t="s">
        <v>118</v>
      </c>
      <c r="H248" s="49" t="s">
        <v>148</v>
      </c>
      <c r="I248" s="53">
        <v>56</v>
      </c>
      <c r="J248" s="53">
        <v>156.6</v>
      </c>
      <c r="K248" s="54">
        <v>2.79642857142857</v>
      </c>
    </row>
    <row r="249" spans="1:11">
      <c r="A249" s="44" t="s">
        <v>169</v>
      </c>
      <c r="B249" s="44">
        <v>2025</v>
      </c>
      <c r="C249" s="44" t="s">
        <v>247</v>
      </c>
      <c r="D249" s="46" t="s">
        <v>82</v>
      </c>
      <c r="E249" s="46" t="s">
        <v>83</v>
      </c>
      <c r="F249" s="46" t="s">
        <v>8</v>
      </c>
      <c r="G249" s="46" t="s">
        <v>119</v>
      </c>
      <c r="H249" s="49" t="s">
        <v>148</v>
      </c>
      <c r="I249" s="53">
        <v>56</v>
      </c>
      <c r="J249" s="53">
        <v>59.2</v>
      </c>
      <c r="K249" s="54">
        <v>1.05714285714286</v>
      </c>
    </row>
    <row r="250" spans="1:11">
      <c r="A250" s="44" t="s">
        <v>169</v>
      </c>
      <c r="B250" s="44">
        <v>2025</v>
      </c>
      <c r="C250" s="44" t="s">
        <v>247</v>
      </c>
      <c r="D250" s="46" t="s">
        <v>82</v>
      </c>
      <c r="E250" s="46" t="s">
        <v>83</v>
      </c>
      <c r="F250" s="46" t="s">
        <v>6</v>
      </c>
      <c r="G250" s="46" t="s">
        <v>116</v>
      </c>
      <c r="H250" s="49" t="s">
        <v>148</v>
      </c>
      <c r="I250" s="53">
        <v>70</v>
      </c>
      <c r="J250" s="53">
        <v>52.5</v>
      </c>
      <c r="K250" s="54">
        <v>0.75</v>
      </c>
    </row>
    <row r="251" spans="1:11">
      <c r="A251" s="44" t="s">
        <v>169</v>
      </c>
      <c r="B251" s="44">
        <v>2025</v>
      </c>
      <c r="C251" s="44" t="s">
        <v>247</v>
      </c>
      <c r="D251" s="46" t="s">
        <v>82</v>
      </c>
      <c r="E251" s="46" t="s">
        <v>83</v>
      </c>
      <c r="F251" s="46" t="s">
        <v>6</v>
      </c>
      <c r="G251" s="46" t="s">
        <v>117</v>
      </c>
      <c r="H251" s="49" t="s">
        <v>148</v>
      </c>
      <c r="I251" s="53">
        <v>70</v>
      </c>
      <c r="J251" s="53">
        <v>48.1</v>
      </c>
      <c r="K251" s="54">
        <v>0.687142857142857</v>
      </c>
    </row>
    <row r="252" spans="1:11">
      <c r="A252" s="44" t="s">
        <v>169</v>
      </c>
      <c r="B252" s="44">
        <v>2025</v>
      </c>
      <c r="C252" s="44" t="s">
        <v>247</v>
      </c>
      <c r="D252" s="46" t="s">
        <v>82</v>
      </c>
      <c r="E252" s="46" t="s">
        <v>83</v>
      </c>
      <c r="F252" s="46" t="s">
        <v>6</v>
      </c>
      <c r="G252" s="46" t="s">
        <v>118</v>
      </c>
      <c r="H252" s="49" t="s">
        <v>148</v>
      </c>
      <c r="I252" s="53">
        <v>70</v>
      </c>
      <c r="J252" s="53">
        <v>187.6</v>
      </c>
      <c r="K252" s="54">
        <v>2.68</v>
      </c>
    </row>
    <row r="253" spans="1:11">
      <c r="A253" s="44" t="s">
        <v>169</v>
      </c>
      <c r="B253" s="44">
        <v>2025</v>
      </c>
      <c r="C253" s="44" t="s">
        <v>247</v>
      </c>
      <c r="D253" s="46" t="s">
        <v>82</v>
      </c>
      <c r="E253" s="46" t="s">
        <v>83</v>
      </c>
      <c r="F253" s="46" t="s">
        <v>6</v>
      </c>
      <c r="G253" s="46" t="s">
        <v>119</v>
      </c>
      <c r="H253" s="49" t="s">
        <v>148</v>
      </c>
      <c r="I253" s="53">
        <v>70</v>
      </c>
      <c r="J253" s="53">
        <v>66.5</v>
      </c>
      <c r="K253" s="54">
        <v>0.95</v>
      </c>
    </row>
    <row r="254" spans="1:11">
      <c r="A254" s="46" t="s">
        <v>172</v>
      </c>
      <c r="B254" s="46" t="s">
        <v>242</v>
      </c>
      <c r="C254" s="46" t="s">
        <v>248</v>
      </c>
      <c r="D254" s="46" t="s">
        <v>82</v>
      </c>
      <c r="E254" s="46" t="s">
        <v>83</v>
      </c>
      <c r="F254" s="46" t="s">
        <v>3</v>
      </c>
      <c r="G254" s="46" t="s">
        <v>116</v>
      </c>
      <c r="H254" s="49" t="s">
        <v>159</v>
      </c>
      <c r="I254" s="53">
        <v>53</v>
      </c>
      <c r="J254" s="53">
        <v>34.8</v>
      </c>
      <c r="K254" s="54">
        <v>0.656603773584906</v>
      </c>
    </row>
    <row r="255" spans="1:11">
      <c r="A255" s="46" t="s">
        <v>172</v>
      </c>
      <c r="B255" s="46" t="s">
        <v>242</v>
      </c>
      <c r="C255" s="46" t="s">
        <v>248</v>
      </c>
      <c r="D255" s="46" t="s">
        <v>82</v>
      </c>
      <c r="E255" s="46" t="s">
        <v>83</v>
      </c>
      <c r="F255" s="46" t="s">
        <v>3</v>
      </c>
      <c r="G255" s="46" t="s">
        <v>117</v>
      </c>
      <c r="H255" s="49" t="s">
        <v>159</v>
      </c>
      <c r="I255" s="53">
        <v>53</v>
      </c>
      <c r="J255" s="53">
        <v>21.9</v>
      </c>
      <c r="K255" s="54">
        <v>0.413207547169811</v>
      </c>
    </row>
    <row r="256" spans="1:11">
      <c r="A256" s="46" t="s">
        <v>172</v>
      </c>
      <c r="B256" s="46" t="s">
        <v>242</v>
      </c>
      <c r="C256" s="46" t="s">
        <v>248</v>
      </c>
      <c r="D256" s="46" t="s">
        <v>82</v>
      </c>
      <c r="E256" s="46" t="s">
        <v>83</v>
      </c>
      <c r="F256" s="46" t="s">
        <v>3</v>
      </c>
      <c r="G256" s="46" t="s">
        <v>118</v>
      </c>
      <c r="H256" s="49" t="s">
        <v>159</v>
      </c>
      <c r="I256" s="53">
        <v>53</v>
      </c>
      <c r="J256" s="53">
        <v>83.6</v>
      </c>
      <c r="K256" s="54">
        <v>1.57735849056604</v>
      </c>
    </row>
    <row r="257" spans="1:11">
      <c r="A257" s="46" t="s">
        <v>172</v>
      </c>
      <c r="B257" s="46" t="s">
        <v>242</v>
      </c>
      <c r="C257" s="46" t="s">
        <v>248</v>
      </c>
      <c r="D257" s="46" t="s">
        <v>82</v>
      </c>
      <c r="E257" s="46" t="s">
        <v>83</v>
      </c>
      <c r="F257" s="46" t="s">
        <v>3</v>
      </c>
      <c r="G257" s="46" t="s">
        <v>119</v>
      </c>
      <c r="H257" s="49" t="s">
        <v>159</v>
      </c>
      <c r="I257" s="53">
        <v>53</v>
      </c>
      <c r="J257" s="53">
        <v>36.8</v>
      </c>
      <c r="K257" s="54">
        <v>0.694339622641509</v>
      </c>
    </row>
    <row r="258" spans="1:11">
      <c r="A258" s="46" t="s">
        <v>172</v>
      </c>
      <c r="B258" s="46" t="s">
        <v>242</v>
      </c>
      <c r="C258" s="46" t="s">
        <v>248</v>
      </c>
      <c r="D258" s="46" t="s">
        <v>82</v>
      </c>
      <c r="E258" s="46" t="s">
        <v>83</v>
      </c>
      <c r="F258" s="46" t="s">
        <v>9</v>
      </c>
      <c r="G258" s="46" t="s">
        <v>116</v>
      </c>
      <c r="H258" s="49" t="s">
        <v>159</v>
      </c>
      <c r="I258" s="53">
        <v>57</v>
      </c>
      <c r="J258" s="53">
        <v>31</v>
      </c>
      <c r="K258" s="54">
        <v>0.543859649122807</v>
      </c>
    </row>
    <row r="259" spans="1:11">
      <c r="A259" s="46" t="s">
        <v>172</v>
      </c>
      <c r="B259" s="46" t="s">
        <v>242</v>
      </c>
      <c r="C259" s="46" t="s">
        <v>248</v>
      </c>
      <c r="D259" s="46" t="s">
        <v>82</v>
      </c>
      <c r="E259" s="46" t="s">
        <v>83</v>
      </c>
      <c r="F259" s="46" t="s">
        <v>9</v>
      </c>
      <c r="G259" s="46" t="s">
        <v>117</v>
      </c>
      <c r="H259" s="49" t="s">
        <v>159</v>
      </c>
      <c r="I259" s="53">
        <v>57</v>
      </c>
      <c r="J259" s="53">
        <v>11</v>
      </c>
      <c r="K259" s="54">
        <v>0.192982456140351</v>
      </c>
    </row>
    <row r="260" spans="1:11">
      <c r="A260" s="46" t="s">
        <v>172</v>
      </c>
      <c r="B260" s="46" t="s">
        <v>242</v>
      </c>
      <c r="C260" s="46" t="s">
        <v>248</v>
      </c>
      <c r="D260" s="46" t="s">
        <v>82</v>
      </c>
      <c r="E260" s="46" t="s">
        <v>83</v>
      </c>
      <c r="F260" s="46" t="s">
        <v>9</v>
      </c>
      <c r="G260" s="46" t="s">
        <v>118</v>
      </c>
      <c r="H260" s="49" t="s">
        <v>159</v>
      </c>
      <c r="I260" s="53">
        <v>57</v>
      </c>
      <c r="J260" s="53">
        <v>80</v>
      </c>
      <c r="K260" s="54">
        <v>1.40350877192982</v>
      </c>
    </row>
    <row r="261" spans="1:11">
      <c r="A261" s="46" t="s">
        <v>172</v>
      </c>
      <c r="B261" s="46" t="s">
        <v>242</v>
      </c>
      <c r="C261" s="46" t="s">
        <v>248</v>
      </c>
      <c r="D261" s="46" t="s">
        <v>82</v>
      </c>
      <c r="E261" s="46" t="s">
        <v>83</v>
      </c>
      <c r="F261" s="46" t="s">
        <v>9</v>
      </c>
      <c r="G261" s="46" t="s">
        <v>119</v>
      </c>
      <c r="H261" s="49" t="s">
        <v>159</v>
      </c>
      <c r="I261" s="53">
        <v>57</v>
      </c>
      <c r="J261" s="53">
        <v>23</v>
      </c>
      <c r="K261" s="54">
        <v>0.403508771929825</v>
      </c>
    </row>
    <row r="262" spans="1:11">
      <c r="A262" s="46" t="s">
        <v>172</v>
      </c>
      <c r="B262" s="46" t="s">
        <v>242</v>
      </c>
      <c r="C262" s="46" t="s">
        <v>248</v>
      </c>
      <c r="D262" s="46" t="s">
        <v>82</v>
      </c>
      <c r="E262" s="46" t="s">
        <v>83</v>
      </c>
      <c r="F262" s="46" t="s">
        <v>5</v>
      </c>
      <c r="G262" s="46" t="s">
        <v>116</v>
      </c>
      <c r="H262" s="49" t="s">
        <v>159</v>
      </c>
      <c r="I262" s="53">
        <v>48</v>
      </c>
      <c r="J262" s="53">
        <v>37.1</v>
      </c>
      <c r="K262" s="54">
        <v>0.772916666666667</v>
      </c>
    </row>
    <row r="263" spans="1:11">
      <c r="A263" s="46" t="s">
        <v>172</v>
      </c>
      <c r="B263" s="46" t="s">
        <v>242</v>
      </c>
      <c r="C263" s="46" t="s">
        <v>248</v>
      </c>
      <c r="D263" s="46" t="s">
        <v>82</v>
      </c>
      <c r="E263" s="46" t="s">
        <v>83</v>
      </c>
      <c r="F263" s="46" t="s">
        <v>5</v>
      </c>
      <c r="G263" s="46" t="s">
        <v>117</v>
      </c>
      <c r="H263" s="49" t="s">
        <v>159</v>
      </c>
      <c r="I263" s="53">
        <v>48</v>
      </c>
      <c r="J263" s="53">
        <v>29.5</v>
      </c>
      <c r="K263" s="54">
        <v>0.614583333333333</v>
      </c>
    </row>
    <row r="264" spans="1:11">
      <c r="A264" s="46" t="s">
        <v>172</v>
      </c>
      <c r="B264" s="46" t="s">
        <v>242</v>
      </c>
      <c r="C264" s="46" t="s">
        <v>248</v>
      </c>
      <c r="D264" s="46" t="s">
        <v>82</v>
      </c>
      <c r="E264" s="46" t="s">
        <v>83</v>
      </c>
      <c r="F264" s="46" t="s">
        <v>5</v>
      </c>
      <c r="G264" s="46" t="s">
        <v>118</v>
      </c>
      <c r="H264" s="49" t="s">
        <v>159</v>
      </c>
      <c r="I264" s="53">
        <v>48</v>
      </c>
      <c r="J264" s="53">
        <v>87.1</v>
      </c>
      <c r="K264" s="54">
        <v>1.81458333333333</v>
      </c>
    </row>
    <row r="265" spans="1:11">
      <c r="A265" s="46" t="s">
        <v>172</v>
      </c>
      <c r="B265" s="46" t="s">
        <v>242</v>
      </c>
      <c r="C265" s="46" t="s">
        <v>248</v>
      </c>
      <c r="D265" s="46" t="s">
        <v>82</v>
      </c>
      <c r="E265" s="46" t="s">
        <v>83</v>
      </c>
      <c r="F265" s="46" t="s">
        <v>5</v>
      </c>
      <c r="G265" s="46" t="s">
        <v>119</v>
      </c>
      <c r="H265" s="49" t="s">
        <v>159</v>
      </c>
      <c r="I265" s="53">
        <v>48</v>
      </c>
      <c r="J265" s="53">
        <v>33.7</v>
      </c>
      <c r="K265" s="54">
        <v>0.702083333333333</v>
      </c>
    </row>
    <row r="266" spans="1:11">
      <c r="A266" s="46" t="s">
        <v>172</v>
      </c>
      <c r="B266" s="46" t="s">
        <v>242</v>
      </c>
      <c r="C266" s="46" t="s">
        <v>248</v>
      </c>
      <c r="D266" s="46" t="s">
        <v>82</v>
      </c>
      <c r="E266" s="46" t="s">
        <v>83</v>
      </c>
      <c r="F266" s="46" t="s">
        <v>4</v>
      </c>
      <c r="G266" s="46" t="s">
        <v>116</v>
      </c>
      <c r="H266" s="49" t="s">
        <v>159</v>
      </c>
      <c r="I266" s="53">
        <v>36</v>
      </c>
      <c r="J266" s="53">
        <v>19.6</v>
      </c>
      <c r="K266" s="54">
        <v>0.544444444444444</v>
      </c>
    </row>
    <row r="267" spans="1:11">
      <c r="A267" s="46" t="s">
        <v>172</v>
      </c>
      <c r="B267" s="46" t="s">
        <v>242</v>
      </c>
      <c r="C267" s="46" t="s">
        <v>248</v>
      </c>
      <c r="D267" s="46" t="s">
        <v>82</v>
      </c>
      <c r="E267" s="46" t="s">
        <v>83</v>
      </c>
      <c r="F267" s="46" t="s">
        <v>4</v>
      </c>
      <c r="G267" s="46" t="s">
        <v>117</v>
      </c>
      <c r="H267" s="49" t="s">
        <v>159</v>
      </c>
      <c r="I267" s="53">
        <v>36</v>
      </c>
      <c r="J267" s="53">
        <v>15</v>
      </c>
      <c r="K267" s="54">
        <v>0.416666666666667</v>
      </c>
    </row>
    <row r="268" spans="1:11">
      <c r="A268" s="46" t="s">
        <v>172</v>
      </c>
      <c r="B268" s="46" t="s">
        <v>242</v>
      </c>
      <c r="C268" s="46" t="s">
        <v>248</v>
      </c>
      <c r="D268" s="46" t="s">
        <v>82</v>
      </c>
      <c r="E268" s="46" t="s">
        <v>83</v>
      </c>
      <c r="F268" s="46" t="s">
        <v>4</v>
      </c>
      <c r="G268" s="46" t="s">
        <v>118</v>
      </c>
      <c r="H268" s="49" t="s">
        <v>159</v>
      </c>
      <c r="I268" s="53">
        <v>36</v>
      </c>
      <c r="J268" s="53">
        <v>42.5</v>
      </c>
      <c r="K268" s="54">
        <v>1.18055555555556</v>
      </c>
    </row>
    <row r="269" spans="1:11">
      <c r="A269" s="46" t="s">
        <v>172</v>
      </c>
      <c r="B269" s="46" t="s">
        <v>242</v>
      </c>
      <c r="C269" s="46" t="s">
        <v>248</v>
      </c>
      <c r="D269" s="46" t="s">
        <v>82</v>
      </c>
      <c r="E269" s="46" t="s">
        <v>83</v>
      </c>
      <c r="F269" s="46" t="s">
        <v>4</v>
      </c>
      <c r="G269" s="46" t="s">
        <v>119</v>
      </c>
      <c r="H269" s="49" t="s">
        <v>159</v>
      </c>
      <c r="I269" s="53">
        <v>36</v>
      </c>
      <c r="J269" s="53">
        <v>10.3</v>
      </c>
      <c r="K269" s="54">
        <v>0.286111111111111</v>
      </c>
    </row>
    <row r="270" spans="1:11">
      <c r="A270" s="46" t="s">
        <v>172</v>
      </c>
      <c r="B270" s="46" t="s">
        <v>242</v>
      </c>
      <c r="C270" s="46" t="s">
        <v>248</v>
      </c>
      <c r="D270" s="46" t="s">
        <v>82</v>
      </c>
      <c r="E270" s="46" t="s">
        <v>83</v>
      </c>
      <c r="F270" s="46" t="s">
        <v>7</v>
      </c>
      <c r="G270" s="46" t="s">
        <v>116</v>
      </c>
      <c r="H270" s="49" t="s">
        <v>159</v>
      </c>
      <c r="I270" s="53">
        <v>55</v>
      </c>
      <c r="J270" s="53">
        <v>36.7</v>
      </c>
      <c r="K270" s="54">
        <v>0.667272727272727</v>
      </c>
    </row>
    <row r="271" spans="1:11">
      <c r="A271" s="46" t="s">
        <v>172</v>
      </c>
      <c r="B271" s="46" t="s">
        <v>242</v>
      </c>
      <c r="C271" s="46" t="s">
        <v>248</v>
      </c>
      <c r="D271" s="46" t="s">
        <v>82</v>
      </c>
      <c r="E271" s="46" t="s">
        <v>83</v>
      </c>
      <c r="F271" s="46" t="s">
        <v>7</v>
      </c>
      <c r="G271" s="46" t="s">
        <v>117</v>
      </c>
      <c r="H271" s="49" t="s">
        <v>159</v>
      </c>
      <c r="I271" s="53">
        <v>55</v>
      </c>
      <c r="J271" s="53">
        <v>27.9</v>
      </c>
      <c r="K271" s="54">
        <v>0.507272727272727</v>
      </c>
    </row>
    <row r="272" spans="1:11">
      <c r="A272" s="46" t="s">
        <v>172</v>
      </c>
      <c r="B272" s="46" t="s">
        <v>242</v>
      </c>
      <c r="C272" s="46" t="s">
        <v>248</v>
      </c>
      <c r="D272" s="46" t="s">
        <v>82</v>
      </c>
      <c r="E272" s="46" t="s">
        <v>83</v>
      </c>
      <c r="F272" s="46" t="s">
        <v>7</v>
      </c>
      <c r="G272" s="46" t="s">
        <v>118</v>
      </c>
      <c r="H272" s="49" t="s">
        <v>159</v>
      </c>
      <c r="I272" s="53">
        <v>55</v>
      </c>
      <c r="J272" s="53">
        <v>111</v>
      </c>
      <c r="K272" s="54">
        <v>2.01818181818182</v>
      </c>
    </row>
    <row r="273" spans="1:11">
      <c r="A273" s="46" t="s">
        <v>172</v>
      </c>
      <c r="B273" s="46" t="s">
        <v>242</v>
      </c>
      <c r="C273" s="46" t="s">
        <v>248</v>
      </c>
      <c r="D273" s="46" t="s">
        <v>82</v>
      </c>
      <c r="E273" s="46" t="s">
        <v>83</v>
      </c>
      <c r="F273" s="46" t="s">
        <v>7</v>
      </c>
      <c r="G273" s="46" t="s">
        <v>119</v>
      </c>
      <c r="H273" s="49" t="s">
        <v>159</v>
      </c>
      <c r="I273" s="53">
        <v>55</v>
      </c>
      <c r="J273" s="53">
        <v>38.4</v>
      </c>
      <c r="K273" s="54">
        <v>0.698181818181818</v>
      </c>
    </row>
    <row r="274" spans="1:11">
      <c r="A274" s="46" t="s">
        <v>172</v>
      </c>
      <c r="B274" s="46" t="s">
        <v>242</v>
      </c>
      <c r="C274" s="46" t="s">
        <v>248</v>
      </c>
      <c r="D274" s="46" t="s">
        <v>82</v>
      </c>
      <c r="E274" s="46" t="s">
        <v>83</v>
      </c>
      <c r="F274" s="46" t="s">
        <v>8</v>
      </c>
      <c r="G274" s="46" t="s">
        <v>116</v>
      </c>
      <c r="H274" s="49" t="s">
        <v>159</v>
      </c>
      <c r="I274" s="53">
        <v>56</v>
      </c>
      <c r="J274" s="53">
        <v>20</v>
      </c>
      <c r="K274" s="54">
        <v>0.357142857142857</v>
      </c>
    </row>
    <row r="275" spans="1:11">
      <c r="A275" s="46" t="s">
        <v>172</v>
      </c>
      <c r="B275" s="46" t="s">
        <v>242</v>
      </c>
      <c r="C275" s="46" t="s">
        <v>248</v>
      </c>
      <c r="D275" s="46" t="s">
        <v>82</v>
      </c>
      <c r="E275" s="46" t="s">
        <v>83</v>
      </c>
      <c r="F275" s="46" t="s">
        <v>8</v>
      </c>
      <c r="G275" s="46" t="s">
        <v>117</v>
      </c>
      <c r="H275" s="49" t="s">
        <v>159</v>
      </c>
      <c r="I275" s="53">
        <v>56</v>
      </c>
      <c r="J275" s="53">
        <v>11.9</v>
      </c>
      <c r="K275" s="54">
        <v>0.2125</v>
      </c>
    </row>
    <row r="276" spans="1:11">
      <c r="A276" s="46" t="s">
        <v>172</v>
      </c>
      <c r="B276" s="46" t="s">
        <v>242</v>
      </c>
      <c r="C276" s="46" t="s">
        <v>248</v>
      </c>
      <c r="D276" s="46" t="s">
        <v>82</v>
      </c>
      <c r="E276" s="46" t="s">
        <v>83</v>
      </c>
      <c r="F276" s="46" t="s">
        <v>8</v>
      </c>
      <c r="G276" s="46" t="s">
        <v>118</v>
      </c>
      <c r="H276" s="49" t="s">
        <v>159</v>
      </c>
      <c r="I276" s="53">
        <v>56</v>
      </c>
      <c r="J276" s="53">
        <v>63.5</v>
      </c>
      <c r="K276" s="54">
        <v>1.13392857142857</v>
      </c>
    </row>
    <row r="277" spans="1:11">
      <c r="A277" s="46" t="s">
        <v>172</v>
      </c>
      <c r="B277" s="46" t="s">
        <v>242</v>
      </c>
      <c r="C277" s="46" t="s">
        <v>248</v>
      </c>
      <c r="D277" s="46" t="s">
        <v>82</v>
      </c>
      <c r="E277" s="46" t="s">
        <v>83</v>
      </c>
      <c r="F277" s="46" t="s">
        <v>8</v>
      </c>
      <c r="G277" s="46" t="s">
        <v>119</v>
      </c>
      <c r="H277" s="49" t="s">
        <v>159</v>
      </c>
      <c r="I277" s="53">
        <v>56</v>
      </c>
      <c r="J277" s="53">
        <v>20</v>
      </c>
      <c r="K277" s="54">
        <v>0.357142857142857</v>
      </c>
    </row>
    <row r="278" spans="1:11">
      <c r="A278" s="46" t="s">
        <v>172</v>
      </c>
      <c r="B278" s="46" t="s">
        <v>242</v>
      </c>
      <c r="C278" s="46" t="s">
        <v>248</v>
      </c>
      <c r="D278" s="46" t="s">
        <v>82</v>
      </c>
      <c r="E278" s="46" t="s">
        <v>83</v>
      </c>
      <c r="F278" s="46" t="s">
        <v>6</v>
      </c>
      <c r="G278" s="46" t="s">
        <v>116</v>
      </c>
      <c r="H278" s="49" t="s">
        <v>159</v>
      </c>
      <c r="I278" s="53">
        <v>70</v>
      </c>
      <c r="J278" s="53">
        <v>20.8</v>
      </c>
      <c r="K278" s="54">
        <v>0.297142857142857</v>
      </c>
    </row>
    <row r="279" spans="1:11">
      <c r="A279" s="46" t="s">
        <v>172</v>
      </c>
      <c r="B279" s="46" t="s">
        <v>242</v>
      </c>
      <c r="C279" s="46" t="s">
        <v>248</v>
      </c>
      <c r="D279" s="46" t="s">
        <v>82</v>
      </c>
      <c r="E279" s="46" t="s">
        <v>83</v>
      </c>
      <c r="F279" s="46" t="s">
        <v>6</v>
      </c>
      <c r="G279" s="46" t="s">
        <v>117</v>
      </c>
      <c r="H279" s="49" t="s">
        <v>159</v>
      </c>
      <c r="I279" s="53">
        <v>70</v>
      </c>
      <c r="J279" s="53">
        <v>20.8</v>
      </c>
      <c r="K279" s="54">
        <v>0.297142857142857</v>
      </c>
    </row>
    <row r="280" spans="1:11">
      <c r="A280" s="46" t="s">
        <v>172</v>
      </c>
      <c r="B280" s="46" t="s">
        <v>242</v>
      </c>
      <c r="C280" s="46" t="s">
        <v>248</v>
      </c>
      <c r="D280" s="46" t="s">
        <v>82</v>
      </c>
      <c r="E280" s="46" t="s">
        <v>83</v>
      </c>
      <c r="F280" s="46" t="s">
        <v>6</v>
      </c>
      <c r="G280" s="46" t="s">
        <v>118</v>
      </c>
      <c r="H280" s="49" t="s">
        <v>159</v>
      </c>
      <c r="I280" s="53">
        <v>70</v>
      </c>
      <c r="J280" s="53">
        <v>73.2</v>
      </c>
      <c r="K280" s="54">
        <v>1.04571428571429</v>
      </c>
    </row>
    <row r="281" spans="1:11">
      <c r="A281" s="46" t="s">
        <v>172</v>
      </c>
      <c r="B281" s="46" t="s">
        <v>242</v>
      </c>
      <c r="C281" s="46" t="s">
        <v>248</v>
      </c>
      <c r="D281" s="46" t="s">
        <v>82</v>
      </c>
      <c r="E281" s="46" t="s">
        <v>83</v>
      </c>
      <c r="F281" s="46" t="s">
        <v>6</v>
      </c>
      <c r="G281" s="46" t="s">
        <v>119</v>
      </c>
      <c r="H281" s="49" t="s">
        <v>159</v>
      </c>
      <c r="I281" s="53">
        <v>70</v>
      </c>
      <c r="J281" s="53">
        <v>49.4</v>
      </c>
      <c r="K281" s="54">
        <v>0.705714285714286</v>
      </c>
    </row>
    <row r="282" spans="1:11">
      <c r="A282" s="44" t="s">
        <v>188</v>
      </c>
      <c r="B282" s="44" t="s">
        <v>243</v>
      </c>
      <c r="C282" s="44" t="s">
        <v>248</v>
      </c>
      <c r="D282" s="46" t="s">
        <v>82</v>
      </c>
      <c r="E282" s="46" t="s">
        <v>83</v>
      </c>
      <c r="F282" s="46" t="s">
        <v>3</v>
      </c>
      <c r="G282" s="46" t="s">
        <v>116</v>
      </c>
      <c r="H282" s="49" t="s">
        <v>159</v>
      </c>
      <c r="I282" s="53">
        <v>53</v>
      </c>
      <c r="J282" s="53">
        <v>32</v>
      </c>
      <c r="K282" s="54">
        <v>0.60377358490566</v>
      </c>
    </row>
    <row r="283" spans="1:11">
      <c r="A283" s="44" t="s">
        <v>188</v>
      </c>
      <c r="B283" s="44" t="s">
        <v>243</v>
      </c>
      <c r="C283" s="44" t="s">
        <v>248</v>
      </c>
      <c r="D283" s="46" t="s">
        <v>82</v>
      </c>
      <c r="E283" s="46" t="s">
        <v>83</v>
      </c>
      <c r="F283" s="46" t="s">
        <v>3</v>
      </c>
      <c r="G283" s="46" t="s">
        <v>117</v>
      </c>
      <c r="H283" s="49" t="s">
        <v>159</v>
      </c>
      <c r="I283" s="53">
        <v>53</v>
      </c>
      <c r="J283" s="53">
        <v>20</v>
      </c>
      <c r="K283" s="54">
        <v>0.377358490566038</v>
      </c>
    </row>
    <row r="284" spans="1:11">
      <c r="A284" s="44" t="s">
        <v>188</v>
      </c>
      <c r="B284" s="44" t="s">
        <v>243</v>
      </c>
      <c r="C284" s="44" t="s">
        <v>248</v>
      </c>
      <c r="D284" s="46" t="s">
        <v>82</v>
      </c>
      <c r="E284" s="46" t="s">
        <v>83</v>
      </c>
      <c r="F284" s="46" t="s">
        <v>3</v>
      </c>
      <c r="G284" s="46" t="s">
        <v>118</v>
      </c>
      <c r="H284" s="49" t="s">
        <v>159</v>
      </c>
      <c r="I284" s="53">
        <v>53</v>
      </c>
      <c r="J284" s="53">
        <v>86</v>
      </c>
      <c r="K284" s="54">
        <v>1.62264150943396</v>
      </c>
    </row>
    <row r="285" spans="1:11">
      <c r="A285" s="44" t="s">
        <v>188</v>
      </c>
      <c r="B285" s="44" t="s">
        <v>243</v>
      </c>
      <c r="C285" s="44" t="s">
        <v>248</v>
      </c>
      <c r="D285" s="46" t="s">
        <v>82</v>
      </c>
      <c r="E285" s="46" t="s">
        <v>83</v>
      </c>
      <c r="F285" s="46" t="s">
        <v>3</v>
      </c>
      <c r="G285" s="46" t="s">
        <v>119</v>
      </c>
      <c r="H285" s="49" t="s">
        <v>159</v>
      </c>
      <c r="I285" s="53">
        <v>53</v>
      </c>
      <c r="J285" s="53">
        <v>42</v>
      </c>
      <c r="K285" s="54">
        <v>0.792452830188679</v>
      </c>
    </row>
    <row r="286" spans="1:11">
      <c r="A286" s="44" t="s">
        <v>188</v>
      </c>
      <c r="B286" s="44" t="s">
        <v>243</v>
      </c>
      <c r="C286" s="44" t="s">
        <v>248</v>
      </c>
      <c r="D286" s="46" t="s">
        <v>82</v>
      </c>
      <c r="E286" s="46" t="s">
        <v>83</v>
      </c>
      <c r="F286" s="46" t="s">
        <v>9</v>
      </c>
      <c r="G286" s="46" t="s">
        <v>116</v>
      </c>
      <c r="H286" s="49" t="s">
        <v>159</v>
      </c>
      <c r="I286" s="53">
        <v>57</v>
      </c>
      <c r="J286" s="53">
        <v>15</v>
      </c>
      <c r="K286" s="54">
        <v>0.263157894736842</v>
      </c>
    </row>
    <row r="287" spans="1:11">
      <c r="A287" s="44" t="s">
        <v>188</v>
      </c>
      <c r="B287" s="44" t="s">
        <v>243</v>
      </c>
      <c r="C287" s="44" t="s">
        <v>248</v>
      </c>
      <c r="D287" s="46" t="s">
        <v>82</v>
      </c>
      <c r="E287" s="46" t="s">
        <v>83</v>
      </c>
      <c r="F287" s="46" t="s">
        <v>9</v>
      </c>
      <c r="G287" s="46" t="s">
        <v>117</v>
      </c>
      <c r="H287" s="49" t="s">
        <v>159</v>
      </c>
      <c r="I287" s="53">
        <v>57</v>
      </c>
      <c r="J287" s="53">
        <v>17</v>
      </c>
      <c r="K287" s="54">
        <v>0.298245614035088</v>
      </c>
    </row>
    <row r="288" spans="1:11">
      <c r="A288" s="44" t="s">
        <v>188</v>
      </c>
      <c r="B288" s="44" t="s">
        <v>243</v>
      </c>
      <c r="C288" s="44" t="s">
        <v>248</v>
      </c>
      <c r="D288" s="46" t="s">
        <v>82</v>
      </c>
      <c r="E288" s="46" t="s">
        <v>83</v>
      </c>
      <c r="F288" s="46" t="s">
        <v>9</v>
      </c>
      <c r="G288" s="46" t="s">
        <v>118</v>
      </c>
      <c r="H288" s="49" t="s">
        <v>159</v>
      </c>
      <c r="I288" s="53">
        <v>57</v>
      </c>
      <c r="J288" s="53">
        <v>98</v>
      </c>
      <c r="K288" s="54">
        <v>1.71929824561404</v>
      </c>
    </row>
    <row r="289" spans="1:11">
      <c r="A289" s="44" t="s">
        <v>188</v>
      </c>
      <c r="B289" s="44" t="s">
        <v>243</v>
      </c>
      <c r="C289" s="44" t="s">
        <v>248</v>
      </c>
      <c r="D289" s="46" t="s">
        <v>82</v>
      </c>
      <c r="E289" s="46" t="s">
        <v>83</v>
      </c>
      <c r="F289" s="46" t="s">
        <v>9</v>
      </c>
      <c r="G289" s="46" t="s">
        <v>119</v>
      </c>
      <c r="H289" s="49" t="s">
        <v>159</v>
      </c>
      <c r="I289" s="53">
        <v>57</v>
      </c>
      <c r="J289" s="53">
        <v>23</v>
      </c>
      <c r="K289" s="54">
        <v>0.403508771929825</v>
      </c>
    </row>
    <row r="290" spans="1:11">
      <c r="A290" s="44" t="s">
        <v>188</v>
      </c>
      <c r="B290" s="44" t="s">
        <v>243</v>
      </c>
      <c r="C290" s="44" t="s">
        <v>248</v>
      </c>
      <c r="D290" s="46" t="s">
        <v>82</v>
      </c>
      <c r="E290" s="46" t="s">
        <v>83</v>
      </c>
      <c r="F290" s="46" t="s">
        <v>5</v>
      </c>
      <c r="G290" s="46" t="s">
        <v>116</v>
      </c>
      <c r="H290" s="49" t="s">
        <v>159</v>
      </c>
      <c r="I290" s="53">
        <v>48</v>
      </c>
      <c r="J290" s="53">
        <v>61</v>
      </c>
      <c r="K290" s="54">
        <v>1.27083333333333</v>
      </c>
    </row>
    <row r="291" spans="1:11">
      <c r="A291" s="44" t="s">
        <v>188</v>
      </c>
      <c r="B291" s="44" t="s">
        <v>243</v>
      </c>
      <c r="C291" s="44" t="s">
        <v>248</v>
      </c>
      <c r="D291" s="46" t="s">
        <v>82</v>
      </c>
      <c r="E291" s="46" t="s">
        <v>83</v>
      </c>
      <c r="F291" s="46" t="s">
        <v>5</v>
      </c>
      <c r="G291" s="46" t="s">
        <v>117</v>
      </c>
      <c r="H291" s="49" t="s">
        <v>159</v>
      </c>
      <c r="I291" s="53">
        <v>48</v>
      </c>
      <c r="J291" s="53">
        <v>46</v>
      </c>
      <c r="K291" s="54">
        <v>0.958333333333333</v>
      </c>
    </row>
    <row r="292" spans="1:11">
      <c r="A292" s="44" t="s">
        <v>188</v>
      </c>
      <c r="B292" s="44" t="s">
        <v>243</v>
      </c>
      <c r="C292" s="44" t="s">
        <v>248</v>
      </c>
      <c r="D292" s="46" t="s">
        <v>82</v>
      </c>
      <c r="E292" s="46" t="s">
        <v>83</v>
      </c>
      <c r="F292" s="46" t="s">
        <v>5</v>
      </c>
      <c r="G292" s="46" t="s">
        <v>118</v>
      </c>
      <c r="H292" s="49" t="s">
        <v>159</v>
      </c>
      <c r="I292" s="53">
        <v>48</v>
      </c>
      <c r="J292" s="53">
        <v>90</v>
      </c>
      <c r="K292" s="54">
        <v>1.875</v>
      </c>
    </row>
    <row r="293" spans="1:11">
      <c r="A293" s="44" t="s">
        <v>188</v>
      </c>
      <c r="B293" s="44" t="s">
        <v>243</v>
      </c>
      <c r="C293" s="44" t="s">
        <v>248</v>
      </c>
      <c r="D293" s="46" t="s">
        <v>82</v>
      </c>
      <c r="E293" s="46" t="s">
        <v>83</v>
      </c>
      <c r="F293" s="46" t="s">
        <v>5</v>
      </c>
      <c r="G293" s="46" t="s">
        <v>119</v>
      </c>
      <c r="H293" s="49" t="s">
        <v>159</v>
      </c>
      <c r="I293" s="53">
        <v>48</v>
      </c>
      <c r="J293" s="53">
        <v>30</v>
      </c>
      <c r="K293" s="54">
        <v>0.625</v>
      </c>
    </row>
    <row r="294" spans="1:11">
      <c r="A294" s="44" t="s">
        <v>188</v>
      </c>
      <c r="B294" s="44" t="s">
        <v>243</v>
      </c>
      <c r="C294" s="44" t="s">
        <v>248</v>
      </c>
      <c r="D294" s="46" t="s">
        <v>82</v>
      </c>
      <c r="E294" s="46" t="s">
        <v>83</v>
      </c>
      <c r="F294" s="46" t="s">
        <v>4</v>
      </c>
      <c r="G294" s="46" t="s">
        <v>116</v>
      </c>
      <c r="H294" s="49" t="s">
        <v>159</v>
      </c>
      <c r="I294" s="53">
        <v>36</v>
      </c>
      <c r="J294" s="53">
        <v>14</v>
      </c>
      <c r="K294" s="54">
        <v>0.388888888888889</v>
      </c>
    </row>
    <row r="295" spans="1:11">
      <c r="A295" s="44" t="s">
        <v>188</v>
      </c>
      <c r="B295" s="44" t="s">
        <v>243</v>
      </c>
      <c r="C295" s="44" t="s">
        <v>248</v>
      </c>
      <c r="D295" s="46" t="s">
        <v>82</v>
      </c>
      <c r="E295" s="46" t="s">
        <v>83</v>
      </c>
      <c r="F295" s="46" t="s">
        <v>4</v>
      </c>
      <c r="G295" s="46" t="s">
        <v>117</v>
      </c>
      <c r="H295" s="49" t="s">
        <v>159</v>
      </c>
      <c r="I295" s="53">
        <v>36</v>
      </c>
      <c r="J295" s="53">
        <v>7</v>
      </c>
      <c r="K295" s="54">
        <v>0.194444444444444</v>
      </c>
    </row>
    <row r="296" spans="1:11">
      <c r="A296" s="44" t="s">
        <v>188</v>
      </c>
      <c r="B296" s="44" t="s">
        <v>243</v>
      </c>
      <c r="C296" s="44" t="s">
        <v>248</v>
      </c>
      <c r="D296" s="46" t="s">
        <v>82</v>
      </c>
      <c r="E296" s="46" t="s">
        <v>83</v>
      </c>
      <c r="F296" s="46" t="s">
        <v>4</v>
      </c>
      <c r="G296" s="46" t="s">
        <v>118</v>
      </c>
      <c r="H296" s="49" t="s">
        <v>159</v>
      </c>
      <c r="I296" s="53">
        <v>36</v>
      </c>
      <c r="J296" s="53">
        <v>47</v>
      </c>
      <c r="K296" s="54">
        <v>1.30555555555556</v>
      </c>
    </row>
    <row r="297" spans="1:11">
      <c r="A297" s="44" t="s">
        <v>188</v>
      </c>
      <c r="B297" s="44" t="s">
        <v>243</v>
      </c>
      <c r="C297" s="44" t="s">
        <v>248</v>
      </c>
      <c r="D297" s="46" t="s">
        <v>82</v>
      </c>
      <c r="E297" s="46" t="s">
        <v>83</v>
      </c>
      <c r="F297" s="46" t="s">
        <v>4</v>
      </c>
      <c r="G297" s="46" t="s">
        <v>119</v>
      </c>
      <c r="H297" s="49" t="s">
        <v>159</v>
      </c>
      <c r="I297" s="53">
        <v>36</v>
      </c>
      <c r="J297" s="53">
        <v>12</v>
      </c>
      <c r="K297" s="54">
        <v>0.333333333333333</v>
      </c>
    </row>
    <row r="298" spans="1:11">
      <c r="A298" s="44" t="s">
        <v>188</v>
      </c>
      <c r="B298" s="44" t="s">
        <v>243</v>
      </c>
      <c r="C298" s="44" t="s">
        <v>248</v>
      </c>
      <c r="D298" s="46" t="s">
        <v>82</v>
      </c>
      <c r="E298" s="46" t="s">
        <v>83</v>
      </c>
      <c r="F298" s="46" t="s">
        <v>7</v>
      </c>
      <c r="G298" s="46" t="s">
        <v>116</v>
      </c>
      <c r="H298" s="49" t="s">
        <v>159</v>
      </c>
      <c r="I298" s="53">
        <v>55</v>
      </c>
      <c r="J298" s="53">
        <v>34</v>
      </c>
      <c r="K298" s="54">
        <v>0.618181818181818</v>
      </c>
    </row>
    <row r="299" spans="1:11">
      <c r="A299" s="44" t="s">
        <v>188</v>
      </c>
      <c r="B299" s="44" t="s">
        <v>243</v>
      </c>
      <c r="C299" s="44" t="s">
        <v>248</v>
      </c>
      <c r="D299" s="46" t="s">
        <v>82</v>
      </c>
      <c r="E299" s="46" t="s">
        <v>83</v>
      </c>
      <c r="F299" s="46" t="s">
        <v>7</v>
      </c>
      <c r="G299" s="46" t="s">
        <v>117</v>
      </c>
      <c r="H299" s="49" t="s">
        <v>159</v>
      </c>
      <c r="I299" s="53">
        <v>55</v>
      </c>
      <c r="J299" s="53">
        <v>32</v>
      </c>
      <c r="K299" s="54">
        <v>0.581818181818182</v>
      </c>
    </row>
    <row r="300" spans="1:11">
      <c r="A300" s="44" t="s">
        <v>188</v>
      </c>
      <c r="B300" s="44" t="s">
        <v>243</v>
      </c>
      <c r="C300" s="44" t="s">
        <v>248</v>
      </c>
      <c r="D300" s="46" t="s">
        <v>82</v>
      </c>
      <c r="E300" s="46" t="s">
        <v>83</v>
      </c>
      <c r="F300" s="46" t="s">
        <v>7</v>
      </c>
      <c r="G300" s="46" t="s">
        <v>118</v>
      </c>
      <c r="H300" s="49" t="s">
        <v>159</v>
      </c>
      <c r="I300" s="53">
        <v>55</v>
      </c>
      <c r="J300" s="53">
        <v>114</v>
      </c>
      <c r="K300" s="54">
        <v>2.07272727272727</v>
      </c>
    </row>
    <row r="301" spans="1:11">
      <c r="A301" s="44" t="s">
        <v>188</v>
      </c>
      <c r="B301" s="44" t="s">
        <v>243</v>
      </c>
      <c r="C301" s="44" t="s">
        <v>248</v>
      </c>
      <c r="D301" s="46" t="s">
        <v>82</v>
      </c>
      <c r="E301" s="46" t="s">
        <v>83</v>
      </c>
      <c r="F301" s="46" t="s">
        <v>7</v>
      </c>
      <c r="G301" s="46" t="s">
        <v>119</v>
      </c>
      <c r="H301" s="49" t="s">
        <v>159</v>
      </c>
      <c r="I301" s="53">
        <v>55</v>
      </c>
      <c r="J301" s="53">
        <v>42</v>
      </c>
      <c r="K301" s="54">
        <v>0.763636363636364</v>
      </c>
    </row>
    <row r="302" spans="1:11">
      <c r="A302" s="44" t="s">
        <v>188</v>
      </c>
      <c r="B302" s="44" t="s">
        <v>243</v>
      </c>
      <c r="C302" s="44" t="s">
        <v>248</v>
      </c>
      <c r="D302" s="46" t="s">
        <v>82</v>
      </c>
      <c r="E302" s="46" t="s">
        <v>83</v>
      </c>
      <c r="F302" s="46" t="s">
        <v>8</v>
      </c>
      <c r="G302" s="46" t="s">
        <v>116</v>
      </c>
      <c r="H302" s="49" t="s">
        <v>159</v>
      </c>
      <c r="I302" s="53">
        <v>37</v>
      </c>
      <c r="J302" s="53">
        <v>23</v>
      </c>
      <c r="K302" s="54">
        <v>0.621621621621622</v>
      </c>
    </row>
    <row r="303" spans="1:11">
      <c r="A303" s="44" t="s">
        <v>188</v>
      </c>
      <c r="B303" s="44" t="s">
        <v>243</v>
      </c>
      <c r="C303" s="44" t="s">
        <v>248</v>
      </c>
      <c r="D303" s="46" t="s">
        <v>82</v>
      </c>
      <c r="E303" s="46" t="s">
        <v>83</v>
      </c>
      <c r="F303" s="46" t="s">
        <v>8</v>
      </c>
      <c r="G303" s="46" t="s">
        <v>117</v>
      </c>
      <c r="H303" s="49" t="s">
        <v>159</v>
      </c>
      <c r="I303" s="53">
        <v>37</v>
      </c>
      <c r="J303" s="53">
        <v>12</v>
      </c>
      <c r="K303" s="54">
        <v>0.324324324324324</v>
      </c>
    </row>
    <row r="304" spans="1:11">
      <c r="A304" s="44" t="s">
        <v>188</v>
      </c>
      <c r="B304" s="44" t="s">
        <v>243</v>
      </c>
      <c r="C304" s="44" t="s">
        <v>248</v>
      </c>
      <c r="D304" s="46" t="s">
        <v>82</v>
      </c>
      <c r="E304" s="46" t="s">
        <v>83</v>
      </c>
      <c r="F304" s="46" t="s">
        <v>8</v>
      </c>
      <c r="G304" s="46" t="s">
        <v>118</v>
      </c>
      <c r="H304" s="49" t="s">
        <v>159</v>
      </c>
      <c r="I304" s="53">
        <v>37</v>
      </c>
      <c r="J304" s="53">
        <v>58</v>
      </c>
      <c r="K304" s="54">
        <v>1.56756756756757</v>
      </c>
    </row>
    <row r="305" spans="1:11">
      <c r="A305" s="44" t="s">
        <v>188</v>
      </c>
      <c r="B305" s="44" t="s">
        <v>243</v>
      </c>
      <c r="C305" s="44" t="s">
        <v>248</v>
      </c>
      <c r="D305" s="46" t="s">
        <v>82</v>
      </c>
      <c r="E305" s="46" t="s">
        <v>83</v>
      </c>
      <c r="F305" s="46" t="s">
        <v>8</v>
      </c>
      <c r="G305" s="46" t="s">
        <v>119</v>
      </c>
      <c r="H305" s="49" t="s">
        <v>159</v>
      </c>
      <c r="I305" s="53">
        <v>37</v>
      </c>
      <c r="J305" s="53">
        <v>11</v>
      </c>
      <c r="K305" s="54">
        <v>0.297297297297297</v>
      </c>
    </row>
    <row r="306" spans="1:11">
      <c r="A306" s="44" t="s">
        <v>188</v>
      </c>
      <c r="B306" s="44" t="s">
        <v>243</v>
      </c>
      <c r="C306" s="44" t="s">
        <v>248</v>
      </c>
      <c r="D306" s="46" t="s">
        <v>82</v>
      </c>
      <c r="E306" s="46" t="s">
        <v>83</v>
      </c>
      <c r="F306" s="46" t="s">
        <v>6</v>
      </c>
      <c r="G306" s="46" t="s">
        <v>116</v>
      </c>
      <c r="H306" s="49" t="s">
        <v>159</v>
      </c>
      <c r="I306" s="53">
        <v>70</v>
      </c>
      <c r="J306" s="53">
        <v>55</v>
      </c>
      <c r="K306" s="54">
        <v>0.785714285714286</v>
      </c>
    </row>
    <row r="307" spans="1:11">
      <c r="A307" s="44" t="s">
        <v>188</v>
      </c>
      <c r="B307" s="44" t="s">
        <v>243</v>
      </c>
      <c r="C307" s="44" t="s">
        <v>248</v>
      </c>
      <c r="D307" s="46" t="s">
        <v>82</v>
      </c>
      <c r="E307" s="46" t="s">
        <v>83</v>
      </c>
      <c r="F307" s="46" t="s">
        <v>6</v>
      </c>
      <c r="G307" s="46" t="s">
        <v>117</v>
      </c>
      <c r="H307" s="49" t="s">
        <v>159</v>
      </c>
      <c r="I307" s="53">
        <v>70</v>
      </c>
      <c r="J307" s="53">
        <v>43</v>
      </c>
      <c r="K307" s="54">
        <v>0.614285714285714</v>
      </c>
    </row>
    <row r="308" spans="1:11">
      <c r="A308" s="44" t="s">
        <v>188</v>
      </c>
      <c r="B308" s="44" t="s">
        <v>243</v>
      </c>
      <c r="C308" s="44" t="s">
        <v>248</v>
      </c>
      <c r="D308" s="46" t="s">
        <v>82</v>
      </c>
      <c r="E308" s="46" t="s">
        <v>83</v>
      </c>
      <c r="F308" s="46" t="s">
        <v>6</v>
      </c>
      <c r="G308" s="46" t="s">
        <v>118</v>
      </c>
      <c r="H308" s="49" t="s">
        <v>159</v>
      </c>
      <c r="I308" s="53">
        <v>70</v>
      </c>
      <c r="J308" s="53">
        <v>94</v>
      </c>
      <c r="K308" s="54">
        <v>1.34285714285714</v>
      </c>
    </row>
    <row r="309" spans="1:11">
      <c r="A309" s="44" t="s">
        <v>188</v>
      </c>
      <c r="B309" s="44" t="s">
        <v>243</v>
      </c>
      <c r="C309" s="44" t="s">
        <v>248</v>
      </c>
      <c r="D309" s="46" t="s">
        <v>82</v>
      </c>
      <c r="E309" s="46" t="s">
        <v>83</v>
      </c>
      <c r="F309" s="46" t="s">
        <v>6</v>
      </c>
      <c r="G309" s="46" t="s">
        <v>119</v>
      </c>
      <c r="H309" s="49" t="s">
        <v>159</v>
      </c>
      <c r="I309" s="53">
        <v>70</v>
      </c>
      <c r="J309" s="53">
        <v>58</v>
      </c>
      <c r="K309" s="54">
        <v>0.828571428571429</v>
      </c>
    </row>
    <row r="310" spans="1:11">
      <c r="A310" s="46" t="s">
        <v>171</v>
      </c>
      <c r="B310" s="46">
        <v>2025</v>
      </c>
      <c r="C310" s="46" t="s">
        <v>248</v>
      </c>
      <c r="D310" s="46" t="s">
        <v>82</v>
      </c>
      <c r="E310" s="46" t="s">
        <v>83</v>
      </c>
      <c r="F310" s="46" t="s">
        <v>3</v>
      </c>
      <c r="G310" s="46" t="s">
        <v>116</v>
      </c>
      <c r="H310" s="49" t="s">
        <v>148</v>
      </c>
      <c r="I310" s="53">
        <v>53</v>
      </c>
      <c r="J310" s="53">
        <v>45.3</v>
      </c>
      <c r="K310" s="54">
        <v>0.854716981132075</v>
      </c>
    </row>
    <row r="311" spans="1:11">
      <c r="A311" s="46" t="s">
        <v>171</v>
      </c>
      <c r="B311" s="46">
        <v>2025</v>
      </c>
      <c r="C311" s="46" t="s">
        <v>248</v>
      </c>
      <c r="D311" s="46" t="s">
        <v>82</v>
      </c>
      <c r="E311" s="46" t="s">
        <v>83</v>
      </c>
      <c r="F311" s="46" t="s">
        <v>3</v>
      </c>
      <c r="G311" s="46" t="s">
        <v>117</v>
      </c>
      <c r="H311" s="49" t="s">
        <v>148</v>
      </c>
      <c r="I311" s="53">
        <v>53</v>
      </c>
      <c r="J311" s="53">
        <v>32.5</v>
      </c>
      <c r="K311" s="54">
        <v>0.613207547169811</v>
      </c>
    </row>
    <row r="312" spans="1:11">
      <c r="A312" s="46" t="s">
        <v>171</v>
      </c>
      <c r="B312" s="46">
        <v>2025</v>
      </c>
      <c r="C312" s="46" t="s">
        <v>248</v>
      </c>
      <c r="D312" s="46" t="s">
        <v>82</v>
      </c>
      <c r="E312" s="46" t="s">
        <v>83</v>
      </c>
      <c r="F312" s="46" t="s">
        <v>3</v>
      </c>
      <c r="G312" s="46" t="s">
        <v>118</v>
      </c>
      <c r="H312" s="49" t="s">
        <v>148</v>
      </c>
      <c r="I312" s="53">
        <v>53</v>
      </c>
      <c r="J312" s="53">
        <v>131.1</v>
      </c>
      <c r="K312" s="54">
        <v>2.47358490566038</v>
      </c>
    </row>
    <row r="313" spans="1:11">
      <c r="A313" s="46" t="s">
        <v>171</v>
      </c>
      <c r="B313" s="46">
        <v>2025</v>
      </c>
      <c r="C313" s="46" t="s">
        <v>248</v>
      </c>
      <c r="D313" s="46" t="s">
        <v>82</v>
      </c>
      <c r="E313" s="46" t="s">
        <v>83</v>
      </c>
      <c r="F313" s="46" t="s">
        <v>3</v>
      </c>
      <c r="G313" s="46" t="s">
        <v>119</v>
      </c>
      <c r="H313" s="49" t="s">
        <v>148</v>
      </c>
      <c r="I313" s="53">
        <v>53</v>
      </c>
      <c r="J313" s="53">
        <v>47.5</v>
      </c>
      <c r="K313" s="54">
        <v>0.89622641509434</v>
      </c>
    </row>
    <row r="314" spans="1:11">
      <c r="A314" s="46" t="s">
        <v>171</v>
      </c>
      <c r="B314" s="46">
        <v>2025</v>
      </c>
      <c r="C314" s="46" t="s">
        <v>248</v>
      </c>
      <c r="D314" s="46" t="s">
        <v>82</v>
      </c>
      <c r="E314" s="46" t="s">
        <v>83</v>
      </c>
      <c r="F314" s="46" t="s">
        <v>9</v>
      </c>
      <c r="G314" s="46" t="s">
        <v>116</v>
      </c>
      <c r="H314" s="49" t="s">
        <v>148</v>
      </c>
      <c r="I314" s="53">
        <v>57</v>
      </c>
      <c r="J314" s="53">
        <v>52.4</v>
      </c>
      <c r="K314" s="54">
        <v>0.919298245614035</v>
      </c>
    </row>
    <row r="315" spans="1:11">
      <c r="A315" s="46" t="s">
        <v>171</v>
      </c>
      <c r="B315" s="46">
        <v>2025</v>
      </c>
      <c r="C315" s="46" t="s">
        <v>248</v>
      </c>
      <c r="D315" s="46" t="s">
        <v>82</v>
      </c>
      <c r="E315" s="46" t="s">
        <v>83</v>
      </c>
      <c r="F315" s="46" t="s">
        <v>9</v>
      </c>
      <c r="G315" s="46" t="s">
        <v>117</v>
      </c>
      <c r="H315" s="49" t="s">
        <v>148</v>
      </c>
      <c r="I315" s="53">
        <v>57</v>
      </c>
      <c r="J315" s="53">
        <v>41.8</v>
      </c>
      <c r="K315" s="54">
        <v>0.733333333333333</v>
      </c>
    </row>
    <row r="316" spans="1:11">
      <c r="A316" s="46" t="s">
        <v>171</v>
      </c>
      <c r="B316" s="46">
        <v>2025</v>
      </c>
      <c r="C316" s="46" t="s">
        <v>248</v>
      </c>
      <c r="D316" s="46" t="s">
        <v>82</v>
      </c>
      <c r="E316" s="46" t="s">
        <v>83</v>
      </c>
      <c r="F316" s="46" t="s">
        <v>9</v>
      </c>
      <c r="G316" s="46" t="s">
        <v>118</v>
      </c>
      <c r="H316" s="49" t="s">
        <v>148</v>
      </c>
      <c r="I316" s="53">
        <v>57</v>
      </c>
      <c r="J316" s="53">
        <v>112.2</v>
      </c>
      <c r="K316" s="54">
        <v>1.96842105263158</v>
      </c>
    </row>
    <row r="317" spans="1:11">
      <c r="A317" s="46" t="s">
        <v>171</v>
      </c>
      <c r="B317" s="46">
        <v>2025</v>
      </c>
      <c r="C317" s="46" t="s">
        <v>248</v>
      </c>
      <c r="D317" s="46" t="s">
        <v>82</v>
      </c>
      <c r="E317" s="46" t="s">
        <v>83</v>
      </c>
      <c r="F317" s="46" t="s">
        <v>9</v>
      </c>
      <c r="G317" s="46" t="s">
        <v>119</v>
      </c>
      <c r="H317" s="49" t="s">
        <v>148</v>
      </c>
      <c r="I317" s="53">
        <v>57</v>
      </c>
      <c r="J317" s="53">
        <v>23</v>
      </c>
      <c r="K317" s="54">
        <v>0.403508771929825</v>
      </c>
    </row>
    <row r="318" spans="1:11">
      <c r="A318" s="46" t="s">
        <v>171</v>
      </c>
      <c r="B318" s="46">
        <v>2025</v>
      </c>
      <c r="C318" s="46" t="s">
        <v>248</v>
      </c>
      <c r="D318" s="46" t="s">
        <v>82</v>
      </c>
      <c r="E318" s="46" t="s">
        <v>83</v>
      </c>
      <c r="F318" s="46" t="s">
        <v>5</v>
      </c>
      <c r="G318" s="46" t="s">
        <v>116</v>
      </c>
      <c r="H318" s="49" t="s">
        <v>148</v>
      </c>
      <c r="I318" s="53">
        <v>48</v>
      </c>
      <c r="J318" s="53">
        <v>66.3</v>
      </c>
      <c r="K318" s="54">
        <v>1.38125</v>
      </c>
    </row>
    <row r="319" spans="1:11">
      <c r="A319" s="46" t="s">
        <v>171</v>
      </c>
      <c r="B319" s="46">
        <v>2025</v>
      </c>
      <c r="C319" s="46" t="s">
        <v>248</v>
      </c>
      <c r="D319" s="46" t="s">
        <v>82</v>
      </c>
      <c r="E319" s="46" t="s">
        <v>83</v>
      </c>
      <c r="F319" s="46" t="s">
        <v>5</v>
      </c>
      <c r="G319" s="46" t="s">
        <v>117</v>
      </c>
      <c r="H319" s="49" t="s">
        <v>148</v>
      </c>
      <c r="I319" s="53">
        <v>48</v>
      </c>
      <c r="J319" s="53">
        <v>54</v>
      </c>
      <c r="K319" s="54">
        <v>1.125</v>
      </c>
    </row>
    <row r="320" spans="1:11">
      <c r="A320" s="46" t="s">
        <v>171</v>
      </c>
      <c r="B320" s="46">
        <v>2025</v>
      </c>
      <c r="C320" s="46" t="s">
        <v>248</v>
      </c>
      <c r="D320" s="46" t="s">
        <v>82</v>
      </c>
      <c r="E320" s="46" t="s">
        <v>83</v>
      </c>
      <c r="F320" s="46" t="s">
        <v>5</v>
      </c>
      <c r="G320" s="46" t="s">
        <v>118</v>
      </c>
      <c r="H320" s="49" t="s">
        <v>148</v>
      </c>
      <c r="I320" s="53">
        <v>48</v>
      </c>
      <c r="J320" s="53">
        <v>126.4</v>
      </c>
      <c r="K320" s="54">
        <v>2.63333333333333</v>
      </c>
    </row>
    <row r="321" spans="1:11">
      <c r="A321" s="46" t="s">
        <v>171</v>
      </c>
      <c r="B321" s="46">
        <v>2025</v>
      </c>
      <c r="C321" s="46" t="s">
        <v>248</v>
      </c>
      <c r="D321" s="46" t="s">
        <v>82</v>
      </c>
      <c r="E321" s="46" t="s">
        <v>83</v>
      </c>
      <c r="F321" s="46" t="s">
        <v>5</v>
      </c>
      <c r="G321" s="46" t="s">
        <v>119</v>
      </c>
      <c r="H321" s="49" t="s">
        <v>148</v>
      </c>
      <c r="I321" s="53">
        <v>48</v>
      </c>
      <c r="J321" s="53">
        <v>34.1</v>
      </c>
      <c r="K321" s="54">
        <v>0.710416666666667</v>
      </c>
    </row>
    <row r="322" spans="1:11">
      <c r="A322" s="46" t="s">
        <v>171</v>
      </c>
      <c r="B322" s="46">
        <v>2025</v>
      </c>
      <c r="C322" s="46" t="s">
        <v>248</v>
      </c>
      <c r="D322" s="46" t="s">
        <v>82</v>
      </c>
      <c r="E322" s="46" t="s">
        <v>83</v>
      </c>
      <c r="F322" s="46" t="s">
        <v>4</v>
      </c>
      <c r="G322" s="46" t="s">
        <v>116</v>
      </c>
      <c r="H322" s="49" t="s">
        <v>148</v>
      </c>
      <c r="I322" s="53">
        <v>36</v>
      </c>
      <c r="J322" s="53">
        <v>29.2</v>
      </c>
      <c r="K322" s="54">
        <v>0.811111111111111</v>
      </c>
    </row>
    <row r="323" spans="1:11">
      <c r="A323" s="46" t="s">
        <v>171</v>
      </c>
      <c r="B323" s="46">
        <v>2025</v>
      </c>
      <c r="C323" s="46" t="s">
        <v>248</v>
      </c>
      <c r="D323" s="46" t="s">
        <v>82</v>
      </c>
      <c r="E323" s="46" t="s">
        <v>83</v>
      </c>
      <c r="F323" s="46" t="s">
        <v>4</v>
      </c>
      <c r="G323" s="46" t="s">
        <v>117</v>
      </c>
      <c r="H323" s="49" t="s">
        <v>148</v>
      </c>
      <c r="I323" s="53">
        <v>36</v>
      </c>
      <c r="J323" s="53">
        <v>18</v>
      </c>
      <c r="K323" s="54">
        <v>0.5</v>
      </c>
    </row>
    <row r="324" spans="1:11">
      <c r="A324" s="46" t="s">
        <v>171</v>
      </c>
      <c r="B324" s="46">
        <v>2025</v>
      </c>
      <c r="C324" s="46" t="s">
        <v>248</v>
      </c>
      <c r="D324" s="46" t="s">
        <v>82</v>
      </c>
      <c r="E324" s="46" t="s">
        <v>83</v>
      </c>
      <c r="F324" s="46" t="s">
        <v>4</v>
      </c>
      <c r="G324" s="46" t="s">
        <v>118</v>
      </c>
      <c r="H324" s="49" t="s">
        <v>148</v>
      </c>
      <c r="I324" s="53">
        <v>36</v>
      </c>
      <c r="J324" s="53">
        <v>69.7</v>
      </c>
      <c r="K324" s="54">
        <v>1.93611111111111</v>
      </c>
    </row>
    <row r="325" spans="1:11">
      <c r="A325" s="46" t="s">
        <v>171</v>
      </c>
      <c r="B325" s="46">
        <v>2025</v>
      </c>
      <c r="C325" s="46" t="s">
        <v>248</v>
      </c>
      <c r="D325" s="46" t="s">
        <v>82</v>
      </c>
      <c r="E325" s="46" t="s">
        <v>83</v>
      </c>
      <c r="F325" s="46" t="s">
        <v>4</v>
      </c>
      <c r="G325" s="46" t="s">
        <v>119</v>
      </c>
      <c r="H325" s="49" t="s">
        <v>148</v>
      </c>
      <c r="I325" s="53">
        <v>36</v>
      </c>
      <c r="J325" s="53">
        <v>15.8</v>
      </c>
      <c r="K325" s="54">
        <v>0.438888888888889</v>
      </c>
    </row>
    <row r="326" spans="1:11">
      <c r="A326" s="46" t="s">
        <v>171</v>
      </c>
      <c r="B326" s="46">
        <v>2025</v>
      </c>
      <c r="C326" s="46" t="s">
        <v>248</v>
      </c>
      <c r="D326" s="46" t="s">
        <v>82</v>
      </c>
      <c r="E326" s="46" t="s">
        <v>83</v>
      </c>
      <c r="F326" s="46" t="s">
        <v>7</v>
      </c>
      <c r="G326" s="46" t="s">
        <v>116</v>
      </c>
      <c r="H326" s="49" t="s">
        <v>148</v>
      </c>
      <c r="I326" s="53">
        <v>55</v>
      </c>
      <c r="J326" s="53">
        <v>53.3</v>
      </c>
      <c r="K326" s="54">
        <v>0.969090909090909</v>
      </c>
    </row>
    <row r="327" spans="1:11">
      <c r="A327" s="46" t="s">
        <v>171</v>
      </c>
      <c r="B327" s="46">
        <v>2025</v>
      </c>
      <c r="C327" s="46" t="s">
        <v>248</v>
      </c>
      <c r="D327" s="46" t="s">
        <v>82</v>
      </c>
      <c r="E327" s="46" t="s">
        <v>83</v>
      </c>
      <c r="F327" s="46" t="s">
        <v>7</v>
      </c>
      <c r="G327" s="46" t="s">
        <v>117</v>
      </c>
      <c r="H327" s="49" t="s">
        <v>148</v>
      </c>
      <c r="I327" s="53">
        <v>55</v>
      </c>
      <c r="J327" s="53">
        <v>49.1</v>
      </c>
      <c r="K327" s="54">
        <v>0.892727272727273</v>
      </c>
    </row>
    <row r="328" spans="1:11">
      <c r="A328" s="46" t="s">
        <v>171</v>
      </c>
      <c r="B328" s="46">
        <v>2025</v>
      </c>
      <c r="C328" s="46" t="s">
        <v>248</v>
      </c>
      <c r="D328" s="46" t="s">
        <v>82</v>
      </c>
      <c r="E328" s="46" t="s">
        <v>83</v>
      </c>
      <c r="F328" s="46" t="s">
        <v>7</v>
      </c>
      <c r="G328" s="46" t="s">
        <v>118</v>
      </c>
      <c r="H328" s="49" t="s">
        <v>148</v>
      </c>
      <c r="I328" s="53">
        <v>55</v>
      </c>
      <c r="J328" s="53">
        <v>136.6</v>
      </c>
      <c r="K328" s="54">
        <v>2.48363636363636</v>
      </c>
    </row>
    <row r="329" spans="1:11">
      <c r="A329" s="46" t="s">
        <v>171</v>
      </c>
      <c r="B329" s="46">
        <v>2025</v>
      </c>
      <c r="C329" s="46" t="s">
        <v>248</v>
      </c>
      <c r="D329" s="46" t="s">
        <v>82</v>
      </c>
      <c r="E329" s="46" t="s">
        <v>83</v>
      </c>
      <c r="F329" s="46" t="s">
        <v>7</v>
      </c>
      <c r="G329" s="46" t="s">
        <v>119</v>
      </c>
      <c r="H329" s="49" t="s">
        <v>148</v>
      </c>
      <c r="I329" s="53">
        <v>55</v>
      </c>
      <c r="J329" s="53">
        <v>43.6</v>
      </c>
      <c r="K329" s="54">
        <v>0.792727272727273</v>
      </c>
    </row>
    <row r="330" spans="1:11">
      <c r="A330" s="46" t="s">
        <v>171</v>
      </c>
      <c r="B330" s="46">
        <v>2025</v>
      </c>
      <c r="C330" s="46" t="s">
        <v>248</v>
      </c>
      <c r="D330" s="46" t="s">
        <v>82</v>
      </c>
      <c r="E330" s="46" t="s">
        <v>83</v>
      </c>
      <c r="F330" s="46" t="s">
        <v>8</v>
      </c>
      <c r="G330" s="46" t="s">
        <v>116</v>
      </c>
      <c r="H330" s="49" t="s">
        <v>148</v>
      </c>
      <c r="I330" s="53">
        <v>56</v>
      </c>
      <c r="J330" s="53">
        <v>55.6</v>
      </c>
      <c r="K330" s="54">
        <v>0.992857142857143</v>
      </c>
    </row>
    <row r="331" spans="1:11">
      <c r="A331" s="46" t="s">
        <v>171</v>
      </c>
      <c r="B331" s="46">
        <v>2025</v>
      </c>
      <c r="C331" s="46" t="s">
        <v>248</v>
      </c>
      <c r="D331" s="46" t="s">
        <v>82</v>
      </c>
      <c r="E331" s="46" t="s">
        <v>83</v>
      </c>
      <c r="F331" s="46" t="s">
        <v>8</v>
      </c>
      <c r="G331" s="46" t="s">
        <v>117</v>
      </c>
      <c r="H331" s="49" t="s">
        <v>148</v>
      </c>
      <c r="I331" s="53">
        <v>56</v>
      </c>
      <c r="J331" s="53">
        <v>28.7</v>
      </c>
      <c r="K331" s="54">
        <v>0.5125</v>
      </c>
    </row>
    <row r="332" spans="1:11">
      <c r="A332" s="46" t="s">
        <v>171</v>
      </c>
      <c r="B332" s="46">
        <v>2025</v>
      </c>
      <c r="C332" s="46" t="s">
        <v>248</v>
      </c>
      <c r="D332" s="46" t="s">
        <v>82</v>
      </c>
      <c r="E332" s="46" t="s">
        <v>83</v>
      </c>
      <c r="F332" s="46" t="s">
        <v>8</v>
      </c>
      <c r="G332" s="46" t="s">
        <v>118</v>
      </c>
      <c r="H332" s="49" t="s">
        <v>148</v>
      </c>
      <c r="I332" s="53">
        <v>56</v>
      </c>
      <c r="J332" s="53">
        <v>88.4</v>
      </c>
      <c r="K332" s="54">
        <v>1.57857142857143</v>
      </c>
    </row>
    <row r="333" spans="1:11">
      <c r="A333" s="46" t="s">
        <v>171</v>
      </c>
      <c r="B333" s="46">
        <v>2025</v>
      </c>
      <c r="C333" s="46" t="s">
        <v>248</v>
      </c>
      <c r="D333" s="46" t="s">
        <v>82</v>
      </c>
      <c r="E333" s="46" t="s">
        <v>83</v>
      </c>
      <c r="F333" s="46" t="s">
        <v>8</v>
      </c>
      <c r="G333" s="46" t="s">
        <v>119</v>
      </c>
      <c r="H333" s="49" t="s">
        <v>148</v>
      </c>
      <c r="I333" s="53">
        <v>56</v>
      </c>
      <c r="J333" s="53">
        <v>26.7</v>
      </c>
      <c r="K333" s="54">
        <v>0.476785714285714</v>
      </c>
    </row>
    <row r="334" spans="1:11">
      <c r="A334" s="46" t="s">
        <v>171</v>
      </c>
      <c r="B334" s="46">
        <v>2025</v>
      </c>
      <c r="C334" s="46" t="s">
        <v>248</v>
      </c>
      <c r="D334" s="46" t="s">
        <v>82</v>
      </c>
      <c r="E334" s="46" t="s">
        <v>83</v>
      </c>
      <c r="F334" s="46" t="s">
        <v>6</v>
      </c>
      <c r="G334" s="46" t="s">
        <v>116</v>
      </c>
      <c r="H334" s="49" t="s">
        <v>148</v>
      </c>
      <c r="I334" s="53">
        <v>70</v>
      </c>
      <c r="J334" s="53">
        <v>57.6</v>
      </c>
      <c r="K334" s="54">
        <v>0.822857142857143</v>
      </c>
    </row>
    <row r="335" spans="1:11">
      <c r="A335" s="46" t="s">
        <v>171</v>
      </c>
      <c r="B335" s="46">
        <v>2025</v>
      </c>
      <c r="C335" s="46" t="s">
        <v>248</v>
      </c>
      <c r="D335" s="46" t="s">
        <v>82</v>
      </c>
      <c r="E335" s="46" t="s">
        <v>83</v>
      </c>
      <c r="F335" s="46" t="s">
        <v>6</v>
      </c>
      <c r="G335" s="46" t="s">
        <v>117</v>
      </c>
      <c r="H335" s="49" t="s">
        <v>148</v>
      </c>
      <c r="I335" s="53">
        <v>70</v>
      </c>
      <c r="J335" s="53">
        <v>44.5</v>
      </c>
      <c r="K335" s="54">
        <v>0.635714285714286</v>
      </c>
    </row>
    <row r="336" spans="1:11">
      <c r="A336" s="46" t="s">
        <v>171</v>
      </c>
      <c r="B336" s="46">
        <v>2025</v>
      </c>
      <c r="C336" s="46" t="s">
        <v>248</v>
      </c>
      <c r="D336" s="46" t="s">
        <v>82</v>
      </c>
      <c r="E336" s="46" t="s">
        <v>83</v>
      </c>
      <c r="F336" s="46" t="s">
        <v>6</v>
      </c>
      <c r="G336" s="46" t="s">
        <v>118</v>
      </c>
      <c r="H336" s="49" t="s">
        <v>148</v>
      </c>
      <c r="I336" s="53">
        <v>70</v>
      </c>
      <c r="J336" s="53">
        <v>176.8</v>
      </c>
      <c r="K336" s="54">
        <v>2.52571428571429</v>
      </c>
    </row>
    <row r="337" spans="1:11">
      <c r="A337" s="46" t="s">
        <v>171</v>
      </c>
      <c r="B337" s="46">
        <v>2025</v>
      </c>
      <c r="C337" s="46" t="s">
        <v>248</v>
      </c>
      <c r="D337" s="46" t="s">
        <v>82</v>
      </c>
      <c r="E337" s="46" t="s">
        <v>83</v>
      </c>
      <c r="F337" s="46" t="s">
        <v>6</v>
      </c>
      <c r="G337" s="46" t="s">
        <v>119</v>
      </c>
      <c r="H337" s="49" t="s">
        <v>148</v>
      </c>
      <c r="I337" s="53">
        <v>70</v>
      </c>
      <c r="J337" s="53">
        <v>94.3</v>
      </c>
      <c r="K337" s="54">
        <v>1.34714285714286</v>
      </c>
    </row>
    <row r="338" spans="1:11">
      <c r="A338" s="44" t="s">
        <v>174</v>
      </c>
      <c r="B338" s="44" t="s">
        <v>242</v>
      </c>
      <c r="C338" s="44" t="s">
        <v>249</v>
      </c>
      <c r="D338" s="46" t="s">
        <v>82</v>
      </c>
      <c r="E338" s="46" t="s">
        <v>83</v>
      </c>
      <c r="F338" s="46" t="s">
        <v>3</v>
      </c>
      <c r="G338" s="46" t="s">
        <v>116</v>
      </c>
      <c r="H338" s="49" t="s">
        <v>159</v>
      </c>
      <c r="I338" s="53">
        <v>53</v>
      </c>
      <c r="J338" s="53">
        <v>39.3</v>
      </c>
      <c r="K338" s="54">
        <v>0.741509433962264</v>
      </c>
    </row>
    <row r="339" spans="1:11">
      <c r="A339" s="44" t="s">
        <v>174</v>
      </c>
      <c r="B339" s="44" t="s">
        <v>242</v>
      </c>
      <c r="C339" s="44" t="s">
        <v>249</v>
      </c>
      <c r="D339" s="46" t="s">
        <v>82</v>
      </c>
      <c r="E339" s="46" t="s">
        <v>83</v>
      </c>
      <c r="F339" s="46" t="s">
        <v>3</v>
      </c>
      <c r="G339" s="46" t="s">
        <v>117</v>
      </c>
      <c r="H339" s="49" t="s">
        <v>159</v>
      </c>
      <c r="I339" s="53">
        <v>53</v>
      </c>
      <c r="J339" s="53">
        <v>15.5</v>
      </c>
      <c r="K339" s="54">
        <v>0.292452830188679</v>
      </c>
    </row>
    <row r="340" spans="1:11">
      <c r="A340" s="44" t="s">
        <v>174</v>
      </c>
      <c r="B340" s="44" t="s">
        <v>242</v>
      </c>
      <c r="C340" s="44" t="s">
        <v>249</v>
      </c>
      <c r="D340" s="46" t="s">
        <v>82</v>
      </c>
      <c r="E340" s="46" t="s">
        <v>83</v>
      </c>
      <c r="F340" s="46" t="s">
        <v>3</v>
      </c>
      <c r="G340" s="46" t="s">
        <v>118</v>
      </c>
      <c r="H340" s="49" t="s">
        <v>159</v>
      </c>
      <c r="I340" s="53">
        <v>53</v>
      </c>
      <c r="J340" s="53">
        <v>100.1</v>
      </c>
      <c r="K340" s="54">
        <v>1.88867924528302</v>
      </c>
    </row>
    <row r="341" spans="1:11">
      <c r="A341" s="44" t="s">
        <v>174</v>
      </c>
      <c r="B341" s="44" t="s">
        <v>242</v>
      </c>
      <c r="C341" s="44" t="s">
        <v>249</v>
      </c>
      <c r="D341" s="46" t="s">
        <v>82</v>
      </c>
      <c r="E341" s="46" t="s">
        <v>83</v>
      </c>
      <c r="F341" s="46" t="s">
        <v>3</v>
      </c>
      <c r="G341" s="46" t="s">
        <v>119</v>
      </c>
      <c r="H341" s="49" t="s">
        <v>159</v>
      </c>
      <c r="I341" s="53">
        <v>53</v>
      </c>
      <c r="J341" s="53">
        <v>44.9</v>
      </c>
      <c r="K341" s="54">
        <v>0.847169811320755</v>
      </c>
    </row>
    <row r="342" spans="1:11">
      <c r="A342" s="44" t="s">
        <v>174</v>
      </c>
      <c r="B342" s="44" t="s">
        <v>242</v>
      </c>
      <c r="C342" s="44" t="s">
        <v>249</v>
      </c>
      <c r="D342" s="46" t="s">
        <v>82</v>
      </c>
      <c r="E342" s="46" t="s">
        <v>83</v>
      </c>
      <c r="F342" s="46" t="s">
        <v>9</v>
      </c>
      <c r="G342" s="46" t="s">
        <v>116</v>
      </c>
      <c r="H342" s="49" t="s">
        <v>159</v>
      </c>
      <c r="I342" s="53">
        <v>57</v>
      </c>
      <c r="J342" s="53">
        <v>48.8</v>
      </c>
      <c r="K342" s="54">
        <v>0.856140350877193</v>
      </c>
    </row>
    <row r="343" spans="1:11">
      <c r="A343" s="44" t="s">
        <v>174</v>
      </c>
      <c r="B343" s="44" t="s">
        <v>242</v>
      </c>
      <c r="C343" s="44" t="s">
        <v>249</v>
      </c>
      <c r="D343" s="46" t="s">
        <v>82</v>
      </c>
      <c r="E343" s="46" t="s">
        <v>83</v>
      </c>
      <c r="F343" s="46" t="s">
        <v>9</v>
      </c>
      <c r="G343" s="46" t="s">
        <v>117</v>
      </c>
      <c r="H343" s="49" t="s">
        <v>159</v>
      </c>
      <c r="I343" s="53">
        <v>57</v>
      </c>
      <c r="J343" s="53">
        <v>25.7</v>
      </c>
      <c r="K343" s="54">
        <v>0.450877192982456</v>
      </c>
    </row>
    <row r="344" spans="1:11">
      <c r="A344" s="44" t="s">
        <v>174</v>
      </c>
      <c r="B344" s="44" t="s">
        <v>242</v>
      </c>
      <c r="C344" s="44" t="s">
        <v>249</v>
      </c>
      <c r="D344" s="46" t="s">
        <v>82</v>
      </c>
      <c r="E344" s="46" t="s">
        <v>83</v>
      </c>
      <c r="F344" s="46" t="s">
        <v>9</v>
      </c>
      <c r="G344" s="46" t="s">
        <v>118</v>
      </c>
      <c r="H344" s="49" t="s">
        <v>159</v>
      </c>
      <c r="I344" s="53">
        <v>57</v>
      </c>
      <c r="J344" s="53">
        <v>95.7</v>
      </c>
      <c r="K344" s="54">
        <v>1.67894736842105</v>
      </c>
    </row>
    <row r="345" spans="1:11">
      <c r="A345" s="44" t="s">
        <v>174</v>
      </c>
      <c r="B345" s="44" t="s">
        <v>242</v>
      </c>
      <c r="C345" s="44" t="s">
        <v>249</v>
      </c>
      <c r="D345" s="46" t="s">
        <v>82</v>
      </c>
      <c r="E345" s="46" t="s">
        <v>83</v>
      </c>
      <c r="F345" s="46" t="s">
        <v>9</v>
      </c>
      <c r="G345" s="46" t="s">
        <v>119</v>
      </c>
      <c r="H345" s="49" t="s">
        <v>159</v>
      </c>
      <c r="I345" s="53">
        <v>57</v>
      </c>
      <c r="J345" s="53">
        <v>24</v>
      </c>
      <c r="K345" s="54">
        <v>0.421052631578947</v>
      </c>
    </row>
    <row r="346" spans="1:11">
      <c r="A346" s="44" t="s">
        <v>174</v>
      </c>
      <c r="B346" s="44" t="s">
        <v>242</v>
      </c>
      <c r="C346" s="44" t="s">
        <v>249</v>
      </c>
      <c r="D346" s="46" t="s">
        <v>82</v>
      </c>
      <c r="E346" s="46" t="s">
        <v>83</v>
      </c>
      <c r="F346" s="46" t="s">
        <v>5</v>
      </c>
      <c r="G346" s="46" t="s">
        <v>116</v>
      </c>
      <c r="H346" s="49" t="s">
        <v>159</v>
      </c>
      <c r="I346" s="53">
        <v>48</v>
      </c>
      <c r="J346" s="53">
        <v>40.1</v>
      </c>
      <c r="K346" s="54">
        <v>0.835416666666667</v>
      </c>
    </row>
    <row r="347" spans="1:11">
      <c r="A347" s="44" t="s">
        <v>174</v>
      </c>
      <c r="B347" s="44" t="s">
        <v>242</v>
      </c>
      <c r="C347" s="44" t="s">
        <v>249</v>
      </c>
      <c r="D347" s="46" t="s">
        <v>82</v>
      </c>
      <c r="E347" s="46" t="s">
        <v>83</v>
      </c>
      <c r="F347" s="46" t="s">
        <v>5</v>
      </c>
      <c r="G347" s="46" t="s">
        <v>117</v>
      </c>
      <c r="H347" s="49" t="s">
        <v>159</v>
      </c>
      <c r="I347" s="53">
        <v>48</v>
      </c>
      <c r="J347" s="53">
        <v>37.6</v>
      </c>
      <c r="K347" s="54">
        <v>0.783333333333333</v>
      </c>
    </row>
    <row r="348" spans="1:11">
      <c r="A348" s="44" t="s">
        <v>174</v>
      </c>
      <c r="B348" s="44" t="s">
        <v>242</v>
      </c>
      <c r="C348" s="44" t="s">
        <v>249</v>
      </c>
      <c r="D348" s="46" t="s">
        <v>82</v>
      </c>
      <c r="E348" s="46" t="s">
        <v>83</v>
      </c>
      <c r="F348" s="46" t="s">
        <v>5</v>
      </c>
      <c r="G348" s="46" t="s">
        <v>118</v>
      </c>
      <c r="H348" s="49" t="s">
        <v>159</v>
      </c>
      <c r="I348" s="53">
        <v>48</v>
      </c>
      <c r="J348" s="53">
        <v>109.5</v>
      </c>
      <c r="K348" s="54">
        <v>2.28125</v>
      </c>
    </row>
    <row r="349" spans="1:11">
      <c r="A349" s="44" t="s">
        <v>174</v>
      </c>
      <c r="B349" s="44" t="s">
        <v>242</v>
      </c>
      <c r="C349" s="44" t="s">
        <v>249</v>
      </c>
      <c r="D349" s="46" t="s">
        <v>82</v>
      </c>
      <c r="E349" s="46" t="s">
        <v>83</v>
      </c>
      <c r="F349" s="46" t="s">
        <v>5</v>
      </c>
      <c r="G349" s="46" t="s">
        <v>119</v>
      </c>
      <c r="H349" s="49" t="s">
        <v>159</v>
      </c>
      <c r="I349" s="53">
        <v>48</v>
      </c>
      <c r="J349" s="53">
        <v>40</v>
      </c>
      <c r="K349" s="54">
        <v>0.833333333333333</v>
      </c>
    </row>
    <row r="350" spans="1:11">
      <c r="A350" s="44" t="s">
        <v>174</v>
      </c>
      <c r="B350" s="44" t="s">
        <v>242</v>
      </c>
      <c r="C350" s="44" t="s">
        <v>249</v>
      </c>
      <c r="D350" s="46" t="s">
        <v>82</v>
      </c>
      <c r="E350" s="46" t="s">
        <v>83</v>
      </c>
      <c r="F350" s="46" t="s">
        <v>4</v>
      </c>
      <c r="G350" s="46" t="s">
        <v>116</v>
      </c>
      <c r="H350" s="49" t="s">
        <v>159</v>
      </c>
      <c r="I350" s="53">
        <v>36</v>
      </c>
      <c r="J350" s="53">
        <v>14.2</v>
      </c>
      <c r="K350" s="54">
        <v>0.394444444444444</v>
      </c>
    </row>
    <row r="351" spans="1:11">
      <c r="A351" s="44" t="s">
        <v>174</v>
      </c>
      <c r="B351" s="44" t="s">
        <v>242</v>
      </c>
      <c r="C351" s="44" t="s">
        <v>249</v>
      </c>
      <c r="D351" s="46" t="s">
        <v>82</v>
      </c>
      <c r="E351" s="46" t="s">
        <v>83</v>
      </c>
      <c r="F351" s="46" t="s">
        <v>4</v>
      </c>
      <c r="G351" s="46" t="s">
        <v>117</v>
      </c>
      <c r="H351" s="49" t="s">
        <v>159</v>
      </c>
      <c r="I351" s="53">
        <v>36</v>
      </c>
      <c r="J351" s="53">
        <v>11.6</v>
      </c>
      <c r="K351" s="54">
        <v>0.322222222222222</v>
      </c>
    </row>
    <row r="352" spans="1:11">
      <c r="A352" s="44" t="s">
        <v>174</v>
      </c>
      <c r="B352" s="44" t="s">
        <v>242</v>
      </c>
      <c r="C352" s="44" t="s">
        <v>249</v>
      </c>
      <c r="D352" s="46" t="s">
        <v>82</v>
      </c>
      <c r="E352" s="46" t="s">
        <v>83</v>
      </c>
      <c r="F352" s="46" t="s">
        <v>4</v>
      </c>
      <c r="G352" s="46" t="s">
        <v>118</v>
      </c>
      <c r="H352" s="49" t="s">
        <v>159</v>
      </c>
      <c r="I352" s="53">
        <v>36</v>
      </c>
      <c r="J352" s="53">
        <v>48</v>
      </c>
      <c r="K352" s="54">
        <v>1.33333333333333</v>
      </c>
    </row>
    <row r="353" spans="1:11">
      <c r="A353" s="44" t="s">
        <v>174</v>
      </c>
      <c r="B353" s="44" t="s">
        <v>242</v>
      </c>
      <c r="C353" s="44" t="s">
        <v>249</v>
      </c>
      <c r="D353" s="46" t="s">
        <v>82</v>
      </c>
      <c r="E353" s="46" t="s">
        <v>83</v>
      </c>
      <c r="F353" s="46" t="s">
        <v>4</v>
      </c>
      <c r="G353" s="46" t="s">
        <v>119</v>
      </c>
      <c r="H353" s="49" t="s">
        <v>159</v>
      </c>
      <c r="I353" s="53">
        <v>36</v>
      </c>
      <c r="J353" s="53">
        <v>11.9</v>
      </c>
      <c r="K353" s="54">
        <v>0.330555555555556</v>
      </c>
    </row>
    <row r="354" spans="1:11">
      <c r="A354" s="44" t="s">
        <v>174</v>
      </c>
      <c r="B354" s="44" t="s">
        <v>242</v>
      </c>
      <c r="C354" s="44" t="s">
        <v>249</v>
      </c>
      <c r="D354" s="46" t="s">
        <v>82</v>
      </c>
      <c r="E354" s="46" t="s">
        <v>83</v>
      </c>
      <c r="F354" s="46" t="s">
        <v>7</v>
      </c>
      <c r="G354" s="46" t="s">
        <v>116</v>
      </c>
      <c r="H354" s="49" t="s">
        <v>159</v>
      </c>
      <c r="I354" s="53">
        <v>55</v>
      </c>
      <c r="J354" s="53">
        <v>35.5</v>
      </c>
      <c r="K354" s="54">
        <v>0.645454545454546</v>
      </c>
    </row>
    <row r="355" spans="1:11">
      <c r="A355" s="44" t="s">
        <v>174</v>
      </c>
      <c r="B355" s="44" t="s">
        <v>242</v>
      </c>
      <c r="C355" s="44" t="s">
        <v>249</v>
      </c>
      <c r="D355" s="46" t="s">
        <v>82</v>
      </c>
      <c r="E355" s="46" t="s">
        <v>83</v>
      </c>
      <c r="F355" s="46" t="s">
        <v>7</v>
      </c>
      <c r="G355" s="46" t="s">
        <v>117</v>
      </c>
      <c r="H355" s="49" t="s">
        <v>159</v>
      </c>
      <c r="I355" s="53">
        <v>55</v>
      </c>
      <c r="J355" s="53">
        <v>33</v>
      </c>
      <c r="K355" s="54">
        <v>0.6</v>
      </c>
    </row>
    <row r="356" spans="1:11">
      <c r="A356" s="44" t="s">
        <v>174</v>
      </c>
      <c r="B356" s="44" t="s">
        <v>242</v>
      </c>
      <c r="C356" s="44" t="s">
        <v>249</v>
      </c>
      <c r="D356" s="46" t="s">
        <v>82</v>
      </c>
      <c r="E356" s="46" t="s">
        <v>83</v>
      </c>
      <c r="F356" s="46" t="s">
        <v>7</v>
      </c>
      <c r="G356" s="46" t="s">
        <v>118</v>
      </c>
      <c r="H356" s="49" t="s">
        <v>159</v>
      </c>
      <c r="I356" s="53">
        <v>55</v>
      </c>
      <c r="J356" s="53">
        <v>110.8</v>
      </c>
      <c r="K356" s="54">
        <v>2.01454545454545</v>
      </c>
    </row>
    <row r="357" spans="1:11">
      <c r="A357" s="44" t="s">
        <v>174</v>
      </c>
      <c r="B357" s="44" t="s">
        <v>242</v>
      </c>
      <c r="C357" s="44" t="s">
        <v>249</v>
      </c>
      <c r="D357" s="46" t="s">
        <v>82</v>
      </c>
      <c r="E357" s="46" t="s">
        <v>83</v>
      </c>
      <c r="F357" s="46" t="s">
        <v>7</v>
      </c>
      <c r="G357" s="46" t="s">
        <v>119</v>
      </c>
      <c r="H357" s="49" t="s">
        <v>159</v>
      </c>
      <c r="I357" s="53">
        <v>55</v>
      </c>
      <c r="J357" s="53">
        <v>47.2</v>
      </c>
      <c r="K357" s="54">
        <v>0.858181818181818</v>
      </c>
    </row>
    <row r="358" spans="1:11">
      <c r="A358" s="44" t="s">
        <v>174</v>
      </c>
      <c r="B358" s="44" t="s">
        <v>242</v>
      </c>
      <c r="C358" s="44" t="s">
        <v>249</v>
      </c>
      <c r="D358" s="46" t="s">
        <v>82</v>
      </c>
      <c r="E358" s="46" t="s">
        <v>83</v>
      </c>
      <c r="F358" s="46" t="s">
        <v>8</v>
      </c>
      <c r="G358" s="46" t="s">
        <v>116</v>
      </c>
      <c r="H358" s="49" t="s">
        <v>159</v>
      </c>
      <c r="I358" s="53">
        <v>56</v>
      </c>
      <c r="J358" s="53">
        <v>24.5</v>
      </c>
      <c r="K358" s="54">
        <v>0.4375</v>
      </c>
    </row>
    <row r="359" spans="1:11">
      <c r="A359" s="44" t="s">
        <v>174</v>
      </c>
      <c r="B359" s="44" t="s">
        <v>242</v>
      </c>
      <c r="C359" s="44" t="s">
        <v>249</v>
      </c>
      <c r="D359" s="46" t="s">
        <v>82</v>
      </c>
      <c r="E359" s="46" t="s">
        <v>83</v>
      </c>
      <c r="F359" s="46" t="s">
        <v>8</v>
      </c>
      <c r="G359" s="46" t="s">
        <v>117</v>
      </c>
      <c r="H359" s="49" t="s">
        <v>159</v>
      </c>
      <c r="I359" s="53">
        <v>56</v>
      </c>
      <c r="J359" s="53">
        <v>7.7</v>
      </c>
      <c r="K359" s="54">
        <v>0.1375</v>
      </c>
    </row>
    <row r="360" spans="1:11">
      <c r="A360" s="44" t="s">
        <v>174</v>
      </c>
      <c r="B360" s="44" t="s">
        <v>242</v>
      </c>
      <c r="C360" s="44" t="s">
        <v>249</v>
      </c>
      <c r="D360" s="46" t="s">
        <v>82</v>
      </c>
      <c r="E360" s="46" t="s">
        <v>83</v>
      </c>
      <c r="F360" s="46" t="s">
        <v>8</v>
      </c>
      <c r="G360" s="46" t="s">
        <v>118</v>
      </c>
      <c r="H360" s="49" t="s">
        <v>159</v>
      </c>
      <c r="I360" s="53">
        <v>56</v>
      </c>
      <c r="J360" s="53">
        <v>81.4</v>
      </c>
      <c r="K360" s="54">
        <v>1.45357142857143</v>
      </c>
    </row>
    <row r="361" spans="1:11">
      <c r="A361" s="44" t="s">
        <v>174</v>
      </c>
      <c r="B361" s="44" t="s">
        <v>242</v>
      </c>
      <c r="C361" s="44" t="s">
        <v>249</v>
      </c>
      <c r="D361" s="46" t="s">
        <v>82</v>
      </c>
      <c r="E361" s="46" t="s">
        <v>83</v>
      </c>
      <c r="F361" s="46" t="s">
        <v>8</v>
      </c>
      <c r="G361" s="46" t="s">
        <v>119</v>
      </c>
      <c r="H361" s="49" t="s">
        <v>159</v>
      </c>
      <c r="I361" s="53">
        <v>56</v>
      </c>
      <c r="J361" s="53">
        <v>29.8</v>
      </c>
      <c r="K361" s="54">
        <v>0</v>
      </c>
    </row>
    <row r="362" spans="1:11">
      <c r="A362" s="44" t="s">
        <v>174</v>
      </c>
      <c r="B362" s="44" t="s">
        <v>242</v>
      </c>
      <c r="C362" s="44" t="s">
        <v>249</v>
      </c>
      <c r="D362" s="46" t="s">
        <v>82</v>
      </c>
      <c r="E362" s="46" t="s">
        <v>83</v>
      </c>
      <c r="F362" s="46" t="s">
        <v>6</v>
      </c>
      <c r="G362" s="46" t="s">
        <v>116</v>
      </c>
      <c r="H362" s="49" t="s">
        <v>159</v>
      </c>
      <c r="I362" s="53">
        <v>70</v>
      </c>
      <c r="J362" s="53">
        <v>36.3</v>
      </c>
      <c r="K362" s="54">
        <v>0.518571428571429</v>
      </c>
    </row>
    <row r="363" spans="1:11">
      <c r="A363" s="44" t="s">
        <v>174</v>
      </c>
      <c r="B363" s="44" t="s">
        <v>242</v>
      </c>
      <c r="C363" s="44" t="s">
        <v>249</v>
      </c>
      <c r="D363" s="46" t="s">
        <v>82</v>
      </c>
      <c r="E363" s="46" t="s">
        <v>83</v>
      </c>
      <c r="F363" s="46" t="s">
        <v>6</v>
      </c>
      <c r="G363" s="46" t="s">
        <v>117</v>
      </c>
      <c r="H363" s="49" t="s">
        <v>159</v>
      </c>
      <c r="I363" s="53">
        <v>70</v>
      </c>
      <c r="J363" s="53">
        <v>24.9</v>
      </c>
      <c r="K363" s="54">
        <v>0.355714285714286</v>
      </c>
    </row>
    <row r="364" spans="1:11">
      <c r="A364" s="44" t="s">
        <v>174</v>
      </c>
      <c r="B364" s="44" t="s">
        <v>242</v>
      </c>
      <c r="C364" s="44" t="s">
        <v>249</v>
      </c>
      <c r="D364" s="46" t="s">
        <v>82</v>
      </c>
      <c r="E364" s="46" t="s">
        <v>83</v>
      </c>
      <c r="F364" s="46" t="s">
        <v>6</v>
      </c>
      <c r="G364" s="46" t="s">
        <v>118</v>
      </c>
      <c r="H364" s="49" t="s">
        <v>159</v>
      </c>
      <c r="I364" s="53">
        <v>70</v>
      </c>
      <c r="J364" s="53">
        <v>90.2</v>
      </c>
      <c r="K364" s="54">
        <v>1.28857142857143</v>
      </c>
    </row>
    <row r="365" spans="1:11">
      <c r="A365" s="44" t="s">
        <v>174</v>
      </c>
      <c r="B365" s="44" t="s">
        <v>242</v>
      </c>
      <c r="C365" s="44" t="s">
        <v>249</v>
      </c>
      <c r="D365" s="46" t="s">
        <v>82</v>
      </c>
      <c r="E365" s="46" t="s">
        <v>83</v>
      </c>
      <c r="F365" s="46" t="s">
        <v>6</v>
      </c>
      <c r="G365" s="46" t="s">
        <v>119</v>
      </c>
      <c r="H365" s="49" t="s">
        <v>159</v>
      </c>
      <c r="I365" s="53">
        <v>70</v>
      </c>
      <c r="J365" s="53">
        <v>53.5</v>
      </c>
      <c r="K365" s="54">
        <v>0.764285714285714</v>
      </c>
    </row>
    <row r="366" spans="1:11">
      <c r="A366" s="46" t="s">
        <v>189</v>
      </c>
      <c r="B366" s="46" t="s">
        <v>243</v>
      </c>
      <c r="C366" s="46" t="s">
        <v>249</v>
      </c>
      <c r="D366" s="46" t="s">
        <v>82</v>
      </c>
      <c r="E366" s="46" t="s">
        <v>83</v>
      </c>
      <c r="F366" s="46" t="s">
        <v>3</v>
      </c>
      <c r="G366" s="46" t="s">
        <v>116</v>
      </c>
      <c r="H366" s="49" t="s">
        <v>159</v>
      </c>
      <c r="I366" s="53">
        <v>53</v>
      </c>
      <c r="J366" s="53">
        <v>38</v>
      </c>
      <c r="K366" s="54">
        <v>0.716981132075472</v>
      </c>
    </row>
    <row r="367" spans="1:11">
      <c r="A367" s="46" t="s">
        <v>189</v>
      </c>
      <c r="B367" s="46" t="s">
        <v>243</v>
      </c>
      <c r="C367" s="46" t="s">
        <v>249</v>
      </c>
      <c r="D367" s="46" t="s">
        <v>82</v>
      </c>
      <c r="E367" s="46" t="s">
        <v>83</v>
      </c>
      <c r="F367" s="46" t="s">
        <v>3</v>
      </c>
      <c r="G367" s="46" t="s">
        <v>117</v>
      </c>
      <c r="H367" s="49" t="s">
        <v>159</v>
      </c>
      <c r="I367" s="53">
        <v>53</v>
      </c>
      <c r="J367" s="53">
        <v>24</v>
      </c>
      <c r="K367" s="54">
        <v>0.452830188679245</v>
      </c>
    </row>
    <row r="368" spans="1:11">
      <c r="A368" s="46" t="s">
        <v>189</v>
      </c>
      <c r="B368" s="46" t="s">
        <v>243</v>
      </c>
      <c r="C368" s="46" t="s">
        <v>249</v>
      </c>
      <c r="D368" s="46" t="s">
        <v>82</v>
      </c>
      <c r="E368" s="46" t="s">
        <v>83</v>
      </c>
      <c r="F368" s="46" t="s">
        <v>3</v>
      </c>
      <c r="G368" s="46" t="s">
        <v>118</v>
      </c>
      <c r="H368" s="49" t="s">
        <v>159</v>
      </c>
      <c r="I368" s="53">
        <v>53</v>
      </c>
      <c r="J368" s="53">
        <v>111</v>
      </c>
      <c r="K368" s="54">
        <v>2.09433962264151</v>
      </c>
    </row>
    <row r="369" spans="1:11">
      <c r="A369" s="46" t="s">
        <v>189</v>
      </c>
      <c r="B369" s="46" t="s">
        <v>243</v>
      </c>
      <c r="C369" s="46" t="s">
        <v>249</v>
      </c>
      <c r="D369" s="46" t="s">
        <v>82</v>
      </c>
      <c r="E369" s="46" t="s">
        <v>83</v>
      </c>
      <c r="F369" s="46" t="s">
        <v>3</v>
      </c>
      <c r="G369" s="46" t="s">
        <v>119</v>
      </c>
      <c r="H369" s="49" t="s">
        <v>159</v>
      </c>
      <c r="I369" s="53">
        <v>53</v>
      </c>
      <c r="J369" s="53">
        <v>43</v>
      </c>
      <c r="K369" s="54">
        <v>0.811320754716981</v>
      </c>
    </row>
    <row r="370" spans="1:11">
      <c r="A370" s="46" t="s">
        <v>189</v>
      </c>
      <c r="B370" s="46" t="s">
        <v>243</v>
      </c>
      <c r="C370" s="46" t="s">
        <v>249</v>
      </c>
      <c r="D370" s="46" t="s">
        <v>82</v>
      </c>
      <c r="E370" s="46" t="s">
        <v>83</v>
      </c>
      <c r="F370" s="46" t="s">
        <v>9</v>
      </c>
      <c r="G370" s="46" t="s">
        <v>116</v>
      </c>
      <c r="H370" s="49" t="s">
        <v>159</v>
      </c>
      <c r="I370" s="53">
        <v>57</v>
      </c>
      <c r="J370" s="53">
        <v>21</v>
      </c>
      <c r="K370" s="54">
        <v>0.368421052631579</v>
      </c>
    </row>
    <row r="371" spans="1:11">
      <c r="A371" s="46" t="s">
        <v>189</v>
      </c>
      <c r="B371" s="46" t="s">
        <v>243</v>
      </c>
      <c r="C371" s="46" t="s">
        <v>249</v>
      </c>
      <c r="D371" s="46" t="s">
        <v>82</v>
      </c>
      <c r="E371" s="46" t="s">
        <v>83</v>
      </c>
      <c r="F371" s="46" t="s">
        <v>9</v>
      </c>
      <c r="G371" s="46" t="s">
        <v>117</v>
      </c>
      <c r="H371" s="49" t="s">
        <v>159</v>
      </c>
      <c r="I371" s="53">
        <v>57</v>
      </c>
      <c r="J371" s="53">
        <v>23</v>
      </c>
      <c r="K371" s="54">
        <v>0.403508771929825</v>
      </c>
    </row>
    <row r="372" spans="1:11">
      <c r="A372" s="46" t="s">
        <v>189</v>
      </c>
      <c r="B372" s="46" t="s">
        <v>243</v>
      </c>
      <c r="C372" s="46" t="s">
        <v>249</v>
      </c>
      <c r="D372" s="46" t="s">
        <v>82</v>
      </c>
      <c r="E372" s="46" t="s">
        <v>83</v>
      </c>
      <c r="F372" s="46" t="s">
        <v>9</v>
      </c>
      <c r="G372" s="46" t="s">
        <v>118</v>
      </c>
      <c r="H372" s="49" t="s">
        <v>159</v>
      </c>
      <c r="I372" s="53">
        <v>57</v>
      </c>
      <c r="J372" s="53">
        <v>87</v>
      </c>
      <c r="K372" s="54">
        <v>1.52631578947368</v>
      </c>
    </row>
    <row r="373" spans="1:11">
      <c r="A373" s="46" t="s">
        <v>189</v>
      </c>
      <c r="B373" s="46" t="s">
        <v>243</v>
      </c>
      <c r="C373" s="46" t="s">
        <v>249</v>
      </c>
      <c r="D373" s="46" t="s">
        <v>82</v>
      </c>
      <c r="E373" s="46" t="s">
        <v>83</v>
      </c>
      <c r="F373" s="46" t="s">
        <v>9</v>
      </c>
      <c r="G373" s="46" t="s">
        <v>119</v>
      </c>
      <c r="H373" s="49" t="s">
        <v>159</v>
      </c>
      <c r="I373" s="53">
        <v>57</v>
      </c>
      <c r="J373" s="53">
        <v>13</v>
      </c>
      <c r="K373" s="54">
        <v>0.228070175438596</v>
      </c>
    </row>
    <row r="374" spans="1:11">
      <c r="A374" s="46" t="s">
        <v>189</v>
      </c>
      <c r="B374" s="46" t="s">
        <v>243</v>
      </c>
      <c r="C374" s="46" t="s">
        <v>249</v>
      </c>
      <c r="D374" s="46" t="s">
        <v>82</v>
      </c>
      <c r="E374" s="46" t="s">
        <v>83</v>
      </c>
      <c r="F374" s="46" t="s">
        <v>5</v>
      </c>
      <c r="G374" s="46" t="s">
        <v>116</v>
      </c>
      <c r="H374" s="49" t="s">
        <v>159</v>
      </c>
      <c r="I374" s="53">
        <v>48</v>
      </c>
      <c r="J374" s="53">
        <v>72</v>
      </c>
      <c r="K374" s="54">
        <v>1.5</v>
      </c>
    </row>
    <row r="375" spans="1:11">
      <c r="A375" s="46" t="s">
        <v>189</v>
      </c>
      <c r="B375" s="46" t="s">
        <v>243</v>
      </c>
      <c r="C375" s="46" t="s">
        <v>249</v>
      </c>
      <c r="D375" s="46" t="s">
        <v>82</v>
      </c>
      <c r="E375" s="46" t="s">
        <v>83</v>
      </c>
      <c r="F375" s="46" t="s">
        <v>5</v>
      </c>
      <c r="G375" s="46" t="s">
        <v>117</v>
      </c>
      <c r="H375" s="49" t="s">
        <v>159</v>
      </c>
      <c r="I375" s="53">
        <v>48</v>
      </c>
      <c r="J375" s="53">
        <v>39</v>
      </c>
      <c r="K375" s="54">
        <v>0.8125</v>
      </c>
    </row>
    <row r="376" spans="1:11">
      <c r="A376" s="46" t="s">
        <v>189</v>
      </c>
      <c r="B376" s="46" t="s">
        <v>243</v>
      </c>
      <c r="C376" s="46" t="s">
        <v>249</v>
      </c>
      <c r="D376" s="46" t="s">
        <v>82</v>
      </c>
      <c r="E376" s="46" t="s">
        <v>83</v>
      </c>
      <c r="F376" s="46" t="s">
        <v>5</v>
      </c>
      <c r="G376" s="46" t="s">
        <v>118</v>
      </c>
      <c r="H376" s="49" t="s">
        <v>159</v>
      </c>
      <c r="I376" s="53">
        <v>48</v>
      </c>
      <c r="J376" s="53">
        <v>113</v>
      </c>
      <c r="K376" s="54">
        <v>2.35416666666667</v>
      </c>
    </row>
    <row r="377" spans="1:11">
      <c r="A377" s="46" t="s">
        <v>189</v>
      </c>
      <c r="B377" s="46" t="s">
        <v>243</v>
      </c>
      <c r="C377" s="46" t="s">
        <v>249</v>
      </c>
      <c r="D377" s="46" t="s">
        <v>82</v>
      </c>
      <c r="E377" s="46" t="s">
        <v>83</v>
      </c>
      <c r="F377" s="46" t="s">
        <v>5</v>
      </c>
      <c r="G377" s="46" t="s">
        <v>119</v>
      </c>
      <c r="H377" s="49" t="s">
        <v>159</v>
      </c>
      <c r="I377" s="53">
        <v>48</v>
      </c>
      <c r="J377" s="53">
        <v>20</v>
      </c>
      <c r="K377" s="54">
        <v>0.416666666666667</v>
      </c>
    </row>
    <row r="378" spans="1:11">
      <c r="A378" s="46" t="s">
        <v>189</v>
      </c>
      <c r="B378" s="46" t="s">
        <v>243</v>
      </c>
      <c r="C378" s="46" t="s">
        <v>249</v>
      </c>
      <c r="D378" s="46" t="s">
        <v>82</v>
      </c>
      <c r="E378" s="46" t="s">
        <v>83</v>
      </c>
      <c r="F378" s="46" t="s">
        <v>4</v>
      </c>
      <c r="G378" s="46" t="s">
        <v>116</v>
      </c>
      <c r="H378" s="49" t="s">
        <v>159</v>
      </c>
      <c r="I378" s="53">
        <v>36</v>
      </c>
      <c r="J378" s="53">
        <v>22</v>
      </c>
      <c r="K378" s="54">
        <v>0.611111111111111</v>
      </c>
    </row>
    <row r="379" spans="1:11">
      <c r="A379" s="46" t="s">
        <v>189</v>
      </c>
      <c r="B379" s="46" t="s">
        <v>243</v>
      </c>
      <c r="C379" s="46" t="s">
        <v>249</v>
      </c>
      <c r="D379" s="46" t="s">
        <v>82</v>
      </c>
      <c r="E379" s="46" t="s">
        <v>83</v>
      </c>
      <c r="F379" s="46" t="s">
        <v>4</v>
      </c>
      <c r="G379" s="46" t="s">
        <v>117</v>
      </c>
      <c r="H379" s="49" t="s">
        <v>159</v>
      </c>
      <c r="I379" s="53">
        <v>36</v>
      </c>
      <c r="J379" s="53">
        <v>14</v>
      </c>
      <c r="K379" s="54">
        <v>0.388888888888889</v>
      </c>
    </row>
    <row r="380" spans="1:11">
      <c r="A380" s="46" t="s">
        <v>189</v>
      </c>
      <c r="B380" s="46" t="s">
        <v>243</v>
      </c>
      <c r="C380" s="46" t="s">
        <v>249</v>
      </c>
      <c r="D380" s="46" t="s">
        <v>82</v>
      </c>
      <c r="E380" s="46" t="s">
        <v>83</v>
      </c>
      <c r="F380" s="46" t="s">
        <v>4</v>
      </c>
      <c r="G380" s="46" t="s">
        <v>118</v>
      </c>
      <c r="H380" s="49" t="s">
        <v>159</v>
      </c>
      <c r="I380" s="53">
        <v>36</v>
      </c>
      <c r="J380" s="53">
        <v>43</v>
      </c>
      <c r="K380" s="54">
        <v>1.19444444444444</v>
      </c>
    </row>
    <row r="381" spans="1:11">
      <c r="A381" s="46" t="s">
        <v>189</v>
      </c>
      <c r="B381" s="46" t="s">
        <v>243</v>
      </c>
      <c r="C381" s="46" t="s">
        <v>249</v>
      </c>
      <c r="D381" s="46" t="s">
        <v>82</v>
      </c>
      <c r="E381" s="46" t="s">
        <v>83</v>
      </c>
      <c r="F381" s="46" t="s">
        <v>4</v>
      </c>
      <c r="G381" s="46" t="s">
        <v>119</v>
      </c>
      <c r="H381" s="49" t="s">
        <v>159</v>
      </c>
      <c r="I381" s="53">
        <v>36</v>
      </c>
      <c r="J381" s="53">
        <v>15</v>
      </c>
      <c r="K381" s="54">
        <v>0.416666666666667</v>
      </c>
    </row>
    <row r="382" spans="1:11">
      <c r="A382" s="46" t="s">
        <v>189</v>
      </c>
      <c r="B382" s="46" t="s">
        <v>243</v>
      </c>
      <c r="C382" s="46" t="s">
        <v>249</v>
      </c>
      <c r="D382" s="46" t="s">
        <v>82</v>
      </c>
      <c r="E382" s="46" t="s">
        <v>83</v>
      </c>
      <c r="F382" s="46" t="s">
        <v>7</v>
      </c>
      <c r="G382" s="46" t="s">
        <v>116</v>
      </c>
      <c r="H382" s="49" t="s">
        <v>159</v>
      </c>
      <c r="I382" s="53">
        <v>55</v>
      </c>
      <c r="J382" s="53">
        <v>39</v>
      </c>
      <c r="K382" s="54">
        <v>0.709090909090909</v>
      </c>
    </row>
    <row r="383" spans="1:11">
      <c r="A383" s="46" t="s">
        <v>189</v>
      </c>
      <c r="B383" s="46" t="s">
        <v>243</v>
      </c>
      <c r="C383" s="46" t="s">
        <v>249</v>
      </c>
      <c r="D383" s="46" t="s">
        <v>82</v>
      </c>
      <c r="E383" s="46" t="s">
        <v>83</v>
      </c>
      <c r="F383" s="46" t="s">
        <v>7</v>
      </c>
      <c r="G383" s="46" t="s">
        <v>117</v>
      </c>
      <c r="H383" s="49" t="s">
        <v>159</v>
      </c>
      <c r="I383" s="53">
        <v>55</v>
      </c>
      <c r="J383" s="53">
        <v>33</v>
      </c>
      <c r="K383" s="54">
        <v>0.6</v>
      </c>
    </row>
    <row r="384" spans="1:11">
      <c r="A384" s="46" t="s">
        <v>189</v>
      </c>
      <c r="B384" s="46" t="s">
        <v>243</v>
      </c>
      <c r="C384" s="46" t="s">
        <v>249</v>
      </c>
      <c r="D384" s="46" t="s">
        <v>82</v>
      </c>
      <c r="E384" s="46" t="s">
        <v>83</v>
      </c>
      <c r="F384" s="46" t="s">
        <v>7</v>
      </c>
      <c r="G384" s="46" t="s">
        <v>118</v>
      </c>
      <c r="H384" s="49" t="s">
        <v>159</v>
      </c>
      <c r="I384" s="53">
        <v>55</v>
      </c>
      <c r="J384" s="53">
        <v>147</v>
      </c>
      <c r="K384" s="54">
        <v>2.67272727272727</v>
      </c>
    </row>
    <row r="385" spans="1:11">
      <c r="A385" s="46" t="s">
        <v>189</v>
      </c>
      <c r="B385" s="46" t="s">
        <v>243</v>
      </c>
      <c r="C385" s="46" t="s">
        <v>249</v>
      </c>
      <c r="D385" s="46" t="s">
        <v>82</v>
      </c>
      <c r="E385" s="46" t="s">
        <v>83</v>
      </c>
      <c r="F385" s="46" t="s">
        <v>7</v>
      </c>
      <c r="G385" s="46" t="s">
        <v>119</v>
      </c>
      <c r="H385" s="49" t="s">
        <v>159</v>
      </c>
      <c r="I385" s="53">
        <v>55</v>
      </c>
      <c r="J385" s="53">
        <v>40</v>
      </c>
      <c r="K385" s="54">
        <v>0.727272727272727</v>
      </c>
    </row>
    <row r="386" spans="1:11">
      <c r="A386" s="46" t="s">
        <v>189</v>
      </c>
      <c r="B386" s="46" t="s">
        <v>243</v>
      </c>
      <c r="C386" s="46" t="s">
        <v>249</v>
      </c>
      <c r="D386" s="46" t="s">
        <v>82</v>
      </c>
      <c r="E386" s="46" t="s">
        <v>83</v>
      </c>
      <c r="F386" s="46" t="s">
        <v>8</v>
      </c>
      <c r="G386" s="46" t="s">
        <v>116</v>
      </c>
      <c r="H386" s="49" t="s">
        <v>159</v>
      </c>
      <c r="I386" s="53">
        <v>56</v>
      </c>
      <c r="J386" s="53">
        <v>16</v>
      </c>
      <c r="K386" s="54">
        <v>0.285714285714286</v>
      </c>
    </row>
    <row r="387" spans="1:11">
      <c r="A387" s="46" t="s">
        <v>189</v>
      </c>
      <c r="B387" s="46" t="s">
        <v>243</v>
      </c>
      <c r="C387" s="46" t="s">
        <v>249</v>
      </c>
      <c r="D387" s="46" t="s">
        <v>82</v>
      </c>
      <c r="E387" s="46" t="s">
        <v>83</v>
      </c>
      <c r="F387" s="46" t="s">
        <v>8</v>
      </c>
      <c r="G387" s="46" t="s">
        <v>117</v>
      </c>
      <c r="H387" s="49" t="s">
        <v>159</v>
      </c>
      <c r="I387" s="53">
        <v>56</v>
      </c>
      <c r="J387" s="53">
        <v>18</v>
      </c>
      <c r="K387" s="54">
        <v>0.321428571428571</v>
      </c>
    </row>
    <row r="388" spans="1:11">
      <c r="A388" s="46" t="s">
        <v>189</v>
      </c>
      <c r="B388" s="46" t="s">
        <v>243</v>
      </c>
      <c r="C388" s="46" t="s">
        <v>249</v>
      </c>
      <c r="D388" s="46" t="s">
        <v>82</v>
      </c>
      <c r="E388" s="46" t="s">
        <v>83</v>
      </c>
      <c r="F388" s="46" t="s">
        <v>8</v>
      </c>
      <c r="G388" s="46" t="s">
        <v>118</v>
      </c>
      <c r="H388" s="49" t="s">
        <v>159</v>
      </c>
      <c r="I388" s="53">
        <v>56</v>
      </c>
      <c r="J388" s="53">
        <v>58</v>
      </c>
      <c r="K388" s="54">
        <v>1.03571428571429</v>
      </c>
    </row>
    <row r="389" spans="1:11">
      <c r="A389" s="46" t="s">
        <v>189</v>
      </c>
      <c r="B389" s="46" t="s">
        <v>243</v>
      </c>
      <c r="C389" s="46" t="s">
        <v>249</v>
      </c>
      <c r="D389" s="46" t="s">
        <v>82</v>
      </c>
      <c r="E389" s="46" t="s">
        <v>83</v>
      </c>
      <c r="F389" s="46" t="s">
        <v>8</v>
      </c>
      <c r="G389" s="46" t="s">
        <v>119</v>
      </c>
      <c r="H389" s="49" t="s">
        <v>159</v>
      </c>
      <c r="I389" s="53">
        <v>56</v>
      </c>
      <c r="J389" s="53">
        <v>15</v>
      </c>
      <c r="K389" s="54">
        <v>0.267857142857143</v>
      </c>
    </row>
    <row r="390" spans="1:11">
      <c r="A390" s="46" t="s">
        <v>189</v>
      </c>
      <c r="B390" s="46" t="s">
        <v>243</v>
      </c>
      <c r="C390" s="46" t="s">
        <v>249</v>
      </c>
      <c r="D390" s="46" t="s">
        <v>82</v>
      </c>
      <c r="E390" s="46" t="s">
        <v>83</v>
      </c>
      <c r="F390" s="46" t="s">
        <v>6</v>
      </c>
      <c r="G390" s="46" t="s">
        <v>116</v>
      </c>
      <c r="H390" s="49" t="s">
        <v>159</v>
      </c>
      <c r="I390" s="53">
        <v>70</v>
      </c>
      <c r="J390" s="53">
        <v>50</v>
      </c>
      <c r="K390" s="54">
        <v>0.714285714285714</v>
      </c>
    </row>
    <row r="391" spans="1:11">
      <c r="A391" s="46" t="s">
        <v>189</v>
      </c>
      <c r="B391" s="46" t="s">
        <v>243</v>
      </c>
      <c r="C391" s="46" t="s">
        <v>249</v>
      </c>
      <c r="D391" s="46" t="s">
        <v>82</v>
      </c>
      <c r="E391" s="46" t="s">
        <v>83</v>
      </c>
      <c r="F391" s="46" t="s">
        <v>6</v>
      </c>
      <c r="G391" s="46" t="s">
        <v>117</v>
      </c>
      <c r="H391" s="49" t="s">
        <v>159</v>
      </c>
      <c r="I391" s="53">
        <v>70</v>
      </c>
      <c r="J391" s="53">
        <v>20</v>
      </c>
      <c r="K391" s="54">
        <v>0.285714285714286</v>
      </c>
    </row>
    <row r="392" spans="1:11">
      <c r="A392" s="46" t="s">
        <v>189</v>
      </c>
      <c r="B392" s="46" t="s">
        <v>243</v>
      </c>
      <c r="C392" s="46" t="s">
        <v>249</v>
      </c>
      <c r="D392" s="46" t="s">
        <v>82</v>
      </c>
      <c r="E392" s="46" t="s">
        <v>83</v>
      </c>
      <c r="F392" s="46" t="s">
        <v>6</v>
      </c>
      <c r="G392" s="46" t="s">
        <v>118</v>
      </c>
      <c r="H392" s="49" t="s">
        <v>159</v>
      </c>
      <c r="I392" s="53">
        <v>70</v>
      </c>
      <c r="J392" s="53">
        <v>101</v>
      </c>
      <c r="K392" s="54">
        <v>1.44285714285714</v>
      </c>
    </row>
    <row r="393" spans="1:11">
      <c r="A393" s="46" t="s">
        <v>189</v>
      </c>
      <c r="B393" s="46" t="s">
        <v>243</v>
      </c>
      <c r="C393" s="46" t="s">
        <v>249</v>
      </c>
      <c r="D393" s="46" t="s">
        <v>82</v>
      </c>
      <c r="E393" s="46" t="s">
        <v>83</v>
      </c>
      <c r="F393" s="46" t="s">
        <v>6</v>
      </c>
      <c r="G393" s="46" t="s">
        <v>119</v>
      </c>
      <c r="H393" s="49" t="s">
        <v>159</v>
      </c>
      <c r="I393" s="53">
        <v>70</v>
      </c>
      <c r="J393" s="53">
        <v>67</v>
      </c>
      <c r="K393" s="54">
        <v>0.957142857142857</v>
      </c>
    </row>
    <row r="394" spans="1:11">
      <c r="A394" s="44" t="s">
        <v>173</v>
      </c>
      <c r="B394" s="44">
        <v>2025</v>
      </c>
      <c r="C394" s="44" t="s">
        <v>249</v>
      </c>
      <c r="D394" s="46" t="s">
        <v>82</v>
      </c>
      <c r="E394" s="46" t="s">
        <v>83</v>
      </c>
      <c r="F394" s="46" t="s">
        <v>3</v>
      </c>
      <c r="G394" s="46" t="s">
        <v>116</v>
      </c>
      <c r="H394" s="49" t="s">
        <v>159</v>
      </c>
      <c r="I394" s="53">
        <v>53</v>
      </c>
      <c r="J394" s="53">
        <v>34.4</v>
      </c>
      <c r="K394" s="54">
        <v>0.649056603773585</v>
      </c>
    </row>
    <row r="395" spans="1:11">
      <c r="A395" s="44" t="s">
        <v>173</v>
      </c>
      <c r="B395" s="44">
        <v>2025</v>
      </c>
      <c r="C395" s="44" t="s">
        <v>249</v>
      </c>
      <c r="D395" s="46" t="s">
        <v>82</v>
      </c>
      <c r="E395" s="46" t="s">
        <v>83</v>
      </c>
      <c r="F395" s="46" t="s">
        <v>3</v>
      </c>
      <c r="G395" s="46" t="s">
        <v>117</v>
      </c>
      <c r="H395" s="49" t="s">
        <v>159</v>
      </c>
      <c r="I395" s="53">
        <v>53</v>
      </c>
      <c r="J395" s="53">
        <v>24.1</v>
      </c>
      <c r="K395" s="54">
        <v>0.454716981132075</v>
      </c>
    </row>
    <row r="396" spans="1:11">
      <c r="A396" s="44" t="s">
        <v>173</v>
      </c>
      <c r="B396" s="44">
        <v>2025</v>
      </c>
      <c r="C396" s="44" t="s">
        <v>249</v>
      </c>
      <c r="D396" s="46" t="s">
        <v>82</v>
      </c>
      <c r="E396" s="46" t="s">
        <v>83</v>
      </c>
      <c r="F396" s="46" t="s">
        <v>3</v>
      </c>
      <c r="G396" s="46" t="s">
        <v>118</v>
      </c>
      <c r="H396" s="49" t="s">
        <v>159</v>
      </c>
      <c r="I396" s="53">
        <v>53</v>
      </c>
      <c r="J396" s="53">
        <v>78.1</v>
      </c>
      <c r="K396" s="54">
        <v>1.47358490566038</v>
      </c>
    </row>
    <row r="397" spans="1:11">
      <c r="A397" s="44" t="s">
        <v>173</v>
      </c>
      <c r="B397" s="44">
        <v>2025</v>
      </c>
      <c r="C397" s="44" t="s">
        <v>249</v>
      </c>
      <c r="D397" s="46" t="s">
        <v>82</v>
      </c>
      <c r="E397" s="46" t="s">
        <v>83</v>
      </c>
      <c r="F397" s="46" t="s">
        <v>3</v>
      </c>
      <c r="G397" s="46" t="s">
        <v>119</v>
      </c>
      <c r="H397" s="49" t="s">
        <v>159</v>
      </c>
      <c r="I397" s="53">
        <v>53</v>
      </c>
      <c r="J397" s="53">
        <v>25.9</v>
      </c>
      <c r="K397" s="54">
        <v>0.488679245283019</v>
      </c>
    </row>
    <row r="398" spans="1:11">
      <c r="A398" s="44" t="s">
        <v>173</v>
      </c>
      <c r="B398" s="44">
        <v>2025</v>
      </c>
      <c r="C398" s="44" t="s">
        <v>249</v>
      </c>
      <c r="D398" s="46" t="s">
        <v>82</v>
      </c>
      <c r="E398" s="46" t="s">
        <v>83</v>
      </c>
      <c r="F398" s="46" t="s">
        <v>9</v>
      </c>
      <c r="G398" s="46" t="s">
        <v>116</v>
      </c>
      <c r="H398" s="49" t="s">
        <v>159</v>
      </c>
      <c r="I398" s="53">
        <v>57</v>
      </c>
      <c r="J398" s="53">
        <v>41.5</v>
      </c>
      <c r="K398" s="54">
        <v>0.728070175438597</v>
      </c>
    </row>
    <row r="399" spans="1:11">
      <c r="A399" s="44" t="s">
        <v>173</v>
      </c>
      <c r="B399" s="44">
        <v>2025</v>
      </c>
      <c r="C399" s="44" t="s">
        <v>249</v>
      </c>
      <c r="D399" s="46" t="s">
        <v>82</v>
      </c>
      <c r="E399" s="46" t="s">
        <v>83</v>
      </c>
      <c r="F399" s="46" t="s">
        <v>9</v>
      </c>
      <c r="G399" s="46" t="s">
        <v>117</v>
      </c>
      <c r="H399" s="49" t="s">
        <v>159</v>
      </c>
      <c r="I399" s="53">
        <v>57</v>
      </c>
      <c r="J399" s="53">
        <v>21</v>
      </c>
      <c r="K399" s="54">
        <v>0.368421052631579</v>
      </c>
    </row>
    <row r="400" spans="1:11">
      <c r="A400" s="44" t="s">
        <v>173</v>
      </c>
      <c r="B400" s="44">
        <v>2025</v>
      </c>
      <c r="C400" s="44" t="s">
        <v>249</v>
      </c>
      <c r="D400" s="46" t="s">
        <v>82</v>
      </c>
      <c r="E400" s="46" t="s">
        <v>83</v>
      </c>
      <c r="F400" s="46" t="s">
        <v>9</v>
      </c>
      <c r="G400" s="46" t="s">
        <v>118</v>
      </c>
      <c r="H400" s="49" t="s">
        <v>159</v>
      </c>
      <c r="I400" s="53">
        <v>57</v>
      </c>
      <c r="J400" s="53">
        <v>67.4</v>
      </c>
      <c r="K400" s="54">
        <v>1.18245614035088</v>
      </c>
    </row>
    <row r="401" spans="1:11">
      <c r="A401" s="44" t="s">
        <v>173</v>
      </c>
      <c r="B401" s="44">
        <v>2025</v>
      </c>
      <c r="C401" s="44" t="s">
        <v>249</v>
      </c>
      <c r="D401" s="46" t="s">
        <v>82</v>
      </c>
      <c r="E401" s="46" t="s">
        <v>83</v>
      </c>
      <c r="F401" s="46" t="s">
        <v>9</v>
      </c>
      <c r="G401" s="46" t="s">
        <v>119</v>
      </c>
      <c r="H401" s="49" t="s">
        <v>159</v>
      </c>
      <c r="I401" s="53">
        <v>57</v>
      </c>
      <c r="J401" s="53">
        <v>19.7</v>
      </c>
      <c r="K401" s="54">
        <v>0.345614035087719</v>
      </c>
    </row>
    <row r="402" spans="1:11">
      <c r="A402" s="44" t="s">
        <v>173</v>
      </c>
      <c r="B402" s="44">
        <v>2025</v>
      </c>
      <c r="C402" s="44" t="s">
        <v>249</v>
      </c>
      <c r="D402" s="46" t="s">
        <v>82</v>
      </c>
      <c r="E402" s="46" t="s">
        <v>83</v>
      </c>
      <c r="F402" s="46" t="s">
        <v>5</v>
      </c>
      <c r="G402" s="46" t="s">
        <v>116</v>
      </c>
      <c r="H402" s="49" t="s">
        <v>159</v>
      </c>
      <c r="I402" s="53">
        <v>48</v>
      </c>
      <c r="J402" s="53">
        <v>52.7</v>
      </c>
      <c r="K402" s="54">
        <v>1.09791666666667</v>
      </c>
    </row>
    <row r="403" spans="1:11">
      <c r="A403" s="44" t="s">
        <v>173</v>
      </c>
      <c r="B403" s="44">
        <v>2025</v>
      </c>
      <c r="C403" s="44" t="s">
        <v>249</v>
      </c>
      <c r="D403" s="46" t="s">
        <v>82</v>
      </c>
      <c r="E403" s="46" t="s">
        <v>83</v>
      </c>
      <c r="F403" s="46" t="s">
        <v>5</v>
      </c>
      <c r="G403" s="46" t="s">
        <v>117</v>
      </c>
      <c r="H403" s="49" t="s">
        <v>159</v>
      </c>
      <c r="I403" s="53">
        <v>48</v>
      </c>
      <c r="J403" s="53">
        <v>39.9</v>
      </c>
      <c r="K403" s="54">
        <v>0.83125</v>
      </c>
    </row>
    <row r="404" spans="1:11">
      <c r="A404" s="44" t="s">
        <v>173</v>
      </c>
      <c r="B404" s="44">
        <v>2025</v>
      </c>
      <c r="C404" s="44" t="s">
        <v>249</v>
      </c>
      <c r="D404" s="46" t="s">
        <v>82</v>
      </c>
      <c r="E404" s="46" t="s">
        <v>83</v>
      </c>
      <c r="F404" s="46" t="s">
        <v>5</v>
      </c>
      <c r="G404" s="46" t="s">
        <v>118</v>
      </c>
      <c r="H404" s="49" t="s">
        <v>159</v>
      </c>
      <c r="I404" s="53">
        <v>48</v>
      </c>
      <c r="J404" s="53">
        <v>85.8</v>
      </c>
      <c r="K404" s="54">
        <v>1.7875</v>
      </c>
    </row>
    <row r="405" spans="1:11">
      <c r="A405" s="44" t="s">
        <v>173</v>
      </c>
      <c r="B405" s="44">
        <v>2025</v>
      </c>
      <c r="C405" s="44" t="s">
        <v>249</v>
      </c>
      <c r="D405" s="46" t="s">
        <v>82</v>
      </c>
      <c r="E405" s="46" t="s">
        <v>83</v>
      </c>
      <c r="F405" s="46" t="s">
        <v>5</v>
      </c>
      <c r="G405" s="46" t="s">
        <v>119</v>
      </c>
      <c r="H405" s="49" t="s">
        <v>159</v>
      </c>
      <c r="I405" s="53">
        <v>48</v>
      </c>
      <c r="J405" s="53">
        <v>23.7</v>
      </c>
      <c r="K405" s="54">
        <v>0.49375</v>
      </c>
    </row>
    <row r="406" spans="1:11">
      <c r="A406" s="44" t="s">
        <v>173</v>
      </c>
      <c r="B406" s="44">
        <v>2025</v>
      </c>
      <c r="C406" s="44" t="s">
        <v>249</v>
      </c>
      <c r="D406" s="46" t="s">
        <v>82</v>
      </c>
      <c r="E406" s="46" t="s">
        <v>83</v>
      </c>
      <c r="F406" s="46" t="s">
        <v>4</v>
      </c>
      <c r="G406" s="46" t="s">
        <v>116</v>
      </c>
      <c r="H406" s="49" t="s">
        <v>159</v>
      </c>
      <c r="I406" s="53">
        <v>36</v>
      </c>
      <c r="J406" s="53">
        <v>31.1</v>
      </c>
      <c r="K406" s="54">
        <v>0.863888888888889</v>
      </c>
    </row>
    <row r="407" spans="1:11">
      <c r="A407" s="44" t="s">
        <v>173</v>
      </c>
      <c r="B407" s="44">
        <v>2025</v>
      </c>
      <c r="C407" s="44" t="s">
        <v>249</v>
      </c>
      <c r="D407" s="46" t="s">
        <v>82</v>
      </c>
      <c r="E407" s="46" t="s">
        <v>83</v>
      </c>
      <c r="F407" s="46" t="s">
        <v>4</v>
      </c>
      <c r="G407" s="46" t="s">
        <v>117</v>
      </c>
      <c r="H407" s="49" t="s">
        <v>159</v>
      </c>
      <c r="I407" s="53">
        <v>36</v>
      </c>
      <c r="J407" s="53">
        <v>12.1</v>
      </c>
      <c r="K407" s="54">
        <v>0.336111111111111</v>
      </c>
    </row>
    <row r="408" spans="1:11">
      <c r="A408" s="44" t="s">
        <v>173</v>
      </c>
      <c r="B408" s="44">
        <v>2025</v>
      </c>
      <c r="C408" s="44" t="s">
        <v>249</v>
      </c>
      <c r="D408" s="46" t="s">
        <v>82</v>
      </c>
      <c r="E408" s="46" t="s">
        <v>83</v>
      </c>
      <c r="F408" s="46" t="s">
        <v>4</v>
      </c>
      <c r="G408" s="46" t="s">
        <v>118</v>
      </c>
      <c r="H408" s="49" t="s">
        <v>159</v>
      </c>
      <c r="I408" s="53">
        <v>36</v>
      </c>
      <c r="J408" s="53">
        <v>44.6</v>
      </c>
      <c r="K408" s="54">
        <v>1.23888888888889</v>
      </c>
    </row>
    <row r="409" spans="1:11">
      <c r="A409" s="44" t="s">
        <v>173</v>
      </c>
      <c r="B409" s="44">
        <v>2025</v>
      </c>
      <c r="C409" s="44" t="s">
        <v>249</v>
      </c>
      <c r="D409" s="46" t="s">
        <v>82</v>
      </c>
      <c r="E409" s="46" t="s">
        <v>83</v>
      </c>
      <c r="F409" s="46" t="s">
        <v>4</v>
      </c>
      <c r="G409" s="46" t="s">
        <v>119</v>
      </c>
      <c r="H409" s="49" t="s">
        <v>159</v>
      </c>
      <c r="I409" s="53">
        <v>36</v>
      </c>
      <c r="J409" s="53">
        <v>15.1</v>
      </c>
      <c r="K409" s="54">
        <v>0.419444444444444</v>
      </c>
    </row>
    <row r="410" spans="1:11">
      <c r="A410" s="44" t="s">
        <v>173</v>
      </c>
      <c r="B410" s="44">
        <v>2025</v>
      </c>
      <c r="C410" s="44" t="s">
        <v>249</v>
      </c>
      <c r="D410" s="46" t="s">
        <v>82</v>
      </c>
      <c r="E410" s="46" t="s">
        <v>83</v>
      </c>
      <c r="F410" s="46" t="s">
        <v>7</v>
      </c>
      <c r="G410" s="46" t="s">
        <v>116</v>
      </c>
      <c r="H410" s="49" t="s">
        <v>159</v>
      </c>
      <c r="I410" s="53">
        <v>55</v>
      </c>
      <c r="J410" s="53">
        <v>32.9</v>
      </c>
      <c r="K410" s="54">
        <v>0.598181818181818</v>
      </c>
    </row>
    <row r="411" spans="1:11">
      <c r="A411" s="44" t="s">
        <v>173</v>
      </c>
      <c r="B411" s="44">
        <v>2025</v>
      </c>
      <c r="C411" s="44" t="s">
        <v>249</v>
      </c>
      <c r="D411" s="46" t="s">
        <v>82</v>
      </c>
      <c r="E411" s="46" t="s">
        <v>83</v>
      </c>
      <c r="F411" s="46" t="s">
        <v>7</v>
      </c>
      <c r="G411" s="46" t="s">
        <v>117</v>
      </c>
      <c r="H411" s="49" t="s">
        <v>159</v>
      </c>
      <c r="I411" s="53">
        <v>55</v>
      </c>
      <c r="J411" s="53">
        <v>27.8</v>
      </c>
      <c r="K411" s="54">
        <v>0.505454545454545</v>
      </c>
    </row>
    <row r="412" spans="1:11">
      <c r="A412" s="44" t="s">
        <v>173</v>
      </c>
      <c r="B412" s="44">
        <v>2025</v>
      </c>
      <c r="C412" s="44" t="s">
        <v>249</v>
      </c>
      <c r="D412" s="46" t="s">
        <v>82</v>
      </c>
      <c r="E412" s="46" t="s">
        <v>83</v>
      </c>
      <c r="F412" s="46" t="s">
        <v>7</v>
      </c>
      <c r="G412" s="46" t="s">
        <v>118</v>
      </c>
      <c r="H412" s="49" t="s">
        <v>159</v>
      </c>
      <c r="I412" s="53">
        <v>55</v>
      </c>
      <c r="J412" s="53">
        <v>102</v>
      </c>
      <c r="K412" s="54">
        <v>1.85454545454545</v>
      </c>
    </row>
    <row r="413" spans="1:11">
      <c r="A413" s="44" t="s">
        <v>173</v>
      </c>
      <c r="B413" s="44">
        <v>2025</v>
      </c>
      <c r="C413" s="44" t="s">
        <v>249</v>
      </c>
      <c r="D413" s="46" t="s">
        <v>82</v>
      </c>
      <c r="E413" s="46" t="s">
        <v>83</v>
      </c>
      <c r="F413" s="46" t="s">
        <v>7</v>
      </c>
      <c r="G413" s="46" t="s">
        <v>119</v>
      </c>
      <c r="H413" s="49" t="s">
        <v>159</v>
      </c>
      <c r="I413" s="53">
        <v>55</v>
      </c>
      <c r="J413" s="53">
        <v>47.3</v>
      </c>
      <c r="K413" s="54">
        <v>0.86</v>
      </c>
    </row>
    <row r="414" spans="1:11">
      <c r="A414" s="44" t="s">
        <v>173</v>
      </c>
      <c r="B414" s="44">
        <v>2025</v>
      </c>
      <c r="C414" s="44" t="s">
        <v>249</v>
      </c>
      <c r="D414" s="46" t="s">
        <v>82</v>
      </c>
      <c r="E414" s="46" t="s">
        <v>83</v>
      </c>
      <c r="F414" s="46" t="s">
        <v>8</v>
      </c>
      <c r="G414" s="46" t="s">
        <v>116</v>
      </c>
      <c r="H414" s="49" t="s">
        <v>159</v>
      </c>
      <c r="I414" s="53">
        <v>56</v>
      </c>
      <c r="J414" s="53">
        <v>26.2</v>
      </c>
      <c r="K414" s="54">
        <v>0.467857142857143</v>
      </c>
    </row>
    <row r="415" spans="1:11">
      <c r="A415" s="44" t="s">
        <v>173</v>
      </c>
      <c r="B415" s="44">
        <v>2025</v>
      </c>
      <c r="C415" s="44" t="s">
        <v>249</v>
      </c>
      <c r="D415" s="46" t="s">
        <v>82</v>
      </c>
      <c r="E415" s="46" t="s">
        <v>83</v>
      </c>
      <c r="F415" s="46" t="s">
        <v>8</v>
      </c>
      <c r="G415" s="46" t="s">
        <v>117</v>
      </c>
      <c r="H415" s="49" t="s">
        <v>159</v>
      </c>
      <c r="I415" s="53">
        <v>56</v>
      </c>
      <c r="J415" s="53">
        <v>14.9</v>
      </c>
      <c r="K415" s="54">
        <v>0.266071428571429</v>
      </c>
    </row>
    <row r="416" spans="1:11">
      <c r="A416" s="44" t="s">
        <v>173</v>
      </c>
      <c r="B416" s="44">
        <v>2025</v>
      </c>
      <c r="C416" s="44" t="s">
        <v>249</v>
      </c>
      <c r="D416" s="46" t="s">
        <v>82</v>
      </c>
      <c r="E416" s="46" t="s">
        <v>83</v>
      </c>
      <c r="F416" s="46" t="s">
        <v>8</v>
      </c>
      <c r="G416" s="46" t="s">
        <v>118</v>
      </c>
      <c r="H416" s="49" t="s">
        <v>159</v>
      </c>
      <c r="I416" s="53">
        <v>56</v>
      </c>
      <c r="J416" s="53">
        <v>64.1</v>
      </c>
      <c r="K416" s="54">
        <v>1.14464285714286</v>
      </c>
    </row>
    <row r="417" spans="1:11">
      <c r="A417" s="44" t="s">
        <v>173</v>
      </c>
      <c r="B417" s="44">
        <v>2025</v>
      </c>
      <c r="C417" s="44" t="s">
        <v>249</v>
      </c>
      <c r="D417" s="46" t="s">
        <v>82</v>
      </c>
      <c r="E417" s="46" t="s">
        <v>83</v>
      </c>
      <c r="F417" s="46" t="s">
        <v>8</v>
      </c>
      <c r="G417" s="46" t="s">
        <v>119</v>
      </c>
      <c r="H417" s="49" t="s">
        <v>159</v>
      </c>
      <c r="I417" s="53">
        <v>56</v>
      </c>
      <c r="J417" s="53">
        <v>23.6</v>
      </c>
      <c r="K417" s="54">
        <v>0.421428571428571</v>
      </c>
    </row>
    <row r="418" spans="1:11">
      <c r="A418" s="44" t="s">
        <v>173</v>
      </c>
      <c r="B418" s="44">
        <v>2025</v>
      </c>
      <c r="C418" s="44" t="s">
        <v>249</v>
      </c>
      <c r="D418" s="46" t="s">
        <v>82</v>
      </c>
      <c r="E418" s="46" t="s">
        <v>83</v>
      </c>
      <c r="F418" s="46" t="s">
        <v>6</v>
      </c>
      <c r="G418" s="46" t="s">
        <v>116</v>
      </c>
      <c r="H418" s="49" t="s">
        <v>159</v>
      </c>
      <c r="I418" s="53">
        <v>70</v>
      </c>
      <c r="J418" s="53">
        <v>29.6</v>
      </c>
      <c r="K418" s="54">
        <v>0.422857142857143</v>
      </c>
    </row>
    <row r="419" spans="1:11">
      <c r="A419" s="44" t="s">
        <v>173</v>
      </c>
      <c r="B419" s="44">
        <v>2025</v>
      </c>
      <c r="C419" s="44" t="s">
        <v>249</v>
      </c>
      <c r="D419" s="46" t="s">
        <v>82</v>
      </c>
      <c r="E419" s="46" t="s">
        <v>83</v>
      </c>
      <c r="F419" s="46" t="s">
        <v>6</v>
      </c>
      <c r="G419" s="46" t="s">
        <v>117</v>
      </c>
      <c r="H419" s="49" t="s">
        <v>159</v>
      </c>
      <c r="I419" s="53">
        <v>70</v>
      </c>
      <c r="J419" s="53">
        <v>29.5</v>
      </c>
      <c r="K419" s="54">
        <v>0.421428571428571</v>
      </c>
    </row>
    <row r="420" spans="1:11">
      <c r="A420" s="44" t="s">
        <v>173</v>
      </c>
      <c r="B420" s="44">
        <v>2025</v>
      </c>
      <c r="C420" s="44" t="s">
        <v>249</v>
      </c>
      <c r="D420" s="46" t="s">
        <v>82</v>
      </c>
      <c r="E420" s="46" t="s">
        <v>83</v>
      </c>
      <c r="F420" s="46" t="s">
        <v>6</v>
      </c>
      <c r="G420" s="46" t="s">
        <v>118</v>
      </c>
      <c r="H420" s="49" t="s">
        <v>159</v>
      </c>
      <c r="I420" s="53">
        <v>70</v>
      </c>
      <c r="J420" s="53">
        <v>80.1</v>
      </c>
      <c r="K420" s="54">
        <v>1.14428571428571</v>
      </c>
    </row>
    <row r="421" spans="1:11">
      <c r="A421" s="44" t="s">
        <v>173</v>
      </c>
      <c r="B421" s="44">
        <v>2025</v>
      </c>
      <c r="C421" s="44" t="s">
        <v>249</v>
      </c>
      <c r="D421" s="46" t="s">
        <v>82</v>
      </c>
      <c r="E421" s="46" t="s">
        <v>83</v>
      </c>
      <c r="F421" s="46" t="s">
        <v>6</v>
      </c>
      <c r="G421" s="46" t="s">
        <v>119</v>
      </c>
      <c r="H421" s="49" t="s">
        <v>159</v>
      </c>
      <c r="I421" s="53">
        <v>70</v>
      </c>
      <c r="J421" s="53">
        <v>43.9</v>
      </c>
      <c r="K421" s="54">
        <v>0.627142857142857</v>
      </c>
    </row>
    <row r="422" spans="1:11">
      <c r="A422" s="46" t="s">
        <v>176</v>
      </c>
      <c r="B422" s="46" t="s">
        <v>242</v>
      </c>
      <c r="C422" s="46" t="s">
        <v>250</v>
      </c>
      <c r="D422" s="46" t="s">
        <v>82</v>
      </c>
      <c r="E422" s="46" t="s">
        <v>83</v>
      </c>
      <c r="F422" s="46" t="s">
        <v>3</v>
      </c>
      <c r="G422" s="46" t="s">
        <v>116</v>
      </c>
      <c r="H422" s="49" t="s">
        <v>148</v>
      </c>
      <c r="I422" s="53">
        <v>53</v>
      </c>
      <c r="J422" s="53">
        <v>41.5</v>
      </c>
      <c r="K422" s="54">
        <v>0.783018867924528</v>
      </c>
    </row>
    <row r="423" spans="1:11">
      <c r="A423" s="46" t="s">
        <v>176</v>
      </c>
      <c r="B423" s="46" t="s">
        <v>242</v>
      </c>
      <c r="C423" s="46" t="s">
        <v>250</v>
      </c>
      <c r="D423" s="46" t="s">
        <v>82</v>
      </c>
      <c r="E423" s="46" t="s">
        <v>83</v>
      </c>
      <c r="F423" s="46" t="s">
        <v>3</v>
      </c>
      <c r="G423" s="46" t="s">
        <v>117</v>
      </c>
      <c r="H423" s="49" t="s">
        <v>148</v>
      </c>
      <c r="I423" s="53">
        <v>53</v>
      </c>
      <c r="J423" s="53">
        <v>23.8</v>
      </c>
      <c r="K423" s="54">
        <v>0.449056603773585</v>
      </c>
    </row>
    <row r="424" spans="1:11">
      <c r="A424" s="46" t="s">
        <v>176</v>
      </c>
      <c r="B424" s="46" t="s">
        <v>242</v>
      </c>
      <c r="C424" s="46" t="s">
        <v>250</v>
      </c>
      <c r="D424" s="46" t="s">
        <v>82</v>
      </c>
      <c r="E424" s="46" t="s">
        <v>83</v>
      </c>
      <c r="F424" s="46" t="s">
        <v>3</v>
      </c>
      <c r="G424" s="46" t="s">
        <v>118</v>
      </c>
      <c r="H424" s="49" t="s">
        <v>148</v>
      </c>
      <c r="I424" s="53">
        <v>53</v>
      </c>
      <c r="J424" s="53">
        <v>121.2</v>
      </c>
      <c r="K424" s="54">
        <v>2.28679245283019</v>
      </c>
    </row>
    <row r="425" spans="1:11">
      <c r="A425" s="46" t="s">
        <v>176</v>
      </c>
      <c r="B425" s="46" t="s">
        <v>242</v>
      </c>
      <c r="C425" s="46" t="s">
        <v>250</v>
      </c>
      <c r="D425" s="46" t="s">
        <v>82</v>
      </c>
      <c r="E425" s="46" t="s">
        <v>83</v>
      </c>
      <c r="F425" s="46" t="s">
        <v>3</v>
      </c>
      <c r="G425" s="46" t="s">
        <v>119</v>
      </c>
      <c r="H425" s="49" t="s">
        <v>148</v>
      </c>
      <c r="I425" s="53">
        <v>53</v>
      </c>
      <c r="J425" s="53">
        <v>56.5</v>
      </c>
      <c r="K425" s="54">
        <v>1.06603773584906</v>
      </c>
    </row>
    <row r="426" spans="1:11">
      <c r="A426" s="46" t="s">
        <v>176</v>
      </c>
      <c r="B426" s="46" t="s">
        <v>242</v>
      </c>
      <c r="C426" s="46" t="s">
        <v>250</v>
      </c>
      <c r="D426" s="46" t="s">
        <v>82</v>
      </c>
      <c r="E426" s="46" t="s">
        <v>83</v>
      </c>
      <c r="F426" s="46" t="s">
        <v>9</v>
      </c>
      <c r="G426" s="46" t="s">
        <v>116</v>
      </c>
      <c r="H426" s="49" t="s">
        <v>148</v>
      </c>
      <c r="I426" s="53">
        <v>57</v>
      </c>
      <c r="J426" s="53">
        <v>41</v>
      </c>
      <c r="K426" s="54">
        <v>0.719298245614035</v>
      </c>
    </row>
    <row r="427" spans="1:11">
      <c r="A427" s="46" t="s">
        <v>176</v>
      </c>
      <c r="B427" s="46" t="s">
        <v>242</v>
      </c>
      <c r="C427" s="46" t="s">
        <v>250</v>
      </c>
      <c r="D427" s="46" t="s">
        <v>82</v>
      </c>
      <c r="E427" s="46" t="s">
        <v>83</v>
      </c>
      <c r="F427" s="46" t="s">
        <v>9</v>
      </c>
      <c r="G427" s="46" t="s">
        <v>117</v>
      </c>
      <c r="H427" s="49" t="s">
        <v>148</v>
      </c>
      <c r="I427" s="53">
        <v>57</v>
      </c>
      <c r="J427" s="53">
        <v>32.8</v>
      </c>
      <c r="K427" s="54">
        <v>0.575438596491228</v>
      </c>
    </row>
    <row r="428" spans="1:11">
      <c r="A428" s="46" t="s">
        <v>176</v>
      </c>
      <c r="B428" s="46" t="s">
        <v>242</v>
      </c>
      <c r="C428" s="46" t="s">
        <v>250</v>
      </c>
      <c r="D428" s="46" t="s">
        <v>82</v>
      </c>
      <c r="E428" s="46" t="s">
        <v>83</v>
      </c>
      <c r="F428" s="46" t="s">
        <v>9</v>
      </c>
      <c r="G428" s="46" t="s">
        <v>118</v>
      </c>
      <c r="H428" s="49" t="s">
        <v>148</v>
      </c>
      <c r="I428" s="53">
        <v>57</v>
      </c>
      <c r="J428" s="53">
        <v>102</v>
      </c>
      <c r="K428" s="54">
        <v>1.78947368421053</v>
      </c>
    </row>
    <row r="429" spans="1:11">
      <c r="A429" s="46" t="s">
        <v>176</v>
      </c>
      <c r="B429" s="46" t="s">
        <v>242</v>
      </c>
      <c r="C429" s="46" t="s">
        <v>250</v>
      </c>
      <c r="D429" s="46" t="s">
        <v>82</v>
      </c>
      <c r="E429" s="46" t="s">
        <v>83</v>
      </c>
      <c r="F429" s="46" t="s">
        <v>9</v>
      </c>
      <c r="G429" s="46" t="s">
        <v>119</v>
      </c>
      <c r="H429" s="49" t="s">
        <v>148</v>
      </c>
      <c r="I429" s="53">
        <v>57</v>
      </c>
      <c r="J429" s="53">
        <v>67.9</v>
      </c>
      <c r="K429" s="54">
        <v>1.19122807017544</v>
      </c>
    </row>
    <row r="430" spans="1:11">
      <c r="A430" s="46" t="s">
        <v>176</v>
      </c>
      <c r="B430" s="46" t="s">
        <v>242</v>
      </c>
      <c r="C430" s="46" t="s">
        <v>250</v>
      </c>
      <c r="D430" s="46" t="s">
        <v>82</v>
      </c>
      <c r="E430" s="46" t="s">
        <v>83</v>
      </c>
      <c r="F430" s="46" t="s">
        <v>5</v>
      </c>
      <c r="G430" s="46" t="s">
        <v>116</v>
      </c>
      <c r="H430" s="49" t="s">
        <v>148</v>
      </c>
      <c r="I430" s="53">
        <v>48</v>
      </c>
      <c r="J430" s="53">
        <v>75.5</v>
      </c>
      <c r="K430" s="54">
        <v>1.57291666666667</v>
      </c>
    </row>
    <row r="431" spans="1:11">
      <c r="A431" s="46" t="s">
        <v>176</v>
      </c>
      <c r="B431" s="46" t="s">
        <v>242</v>
      </c>
      <c r="C431" s="46" t="s">
        <v>250</v>
      </c>
      <c r="D431" s="46" t="s">
        <v>82</v>
      </c>
      <c r="E431" s="46" t="s">
        <v>83</v>
      </c>
      <c r="F431" s="46" t="s">
        <v>5</v>
      </c>
      <c r="G431" s="46" t="s">
        <v>117</v>
      </c>
      <c r="H431" s="49" t="s">
        <v>148</v>
      </c>
      <c r="I431" s="53">
        <v>48</v>
      </c>
      <c r="J431" s="53">
        <v>40.1</v>
      </c>
      <c r="K431" s="54">
        <v>0.835416666666667</v>
      </c>
    </row>
    <row r="432" spans="1:11">
      <c r="A432" s="46" t="s">
        <v>176</v>
      </c>
      <c r="B432" s="46" t="s">
        <v>242</v>
      </c>
      <c r="C432" s="46" t="s">
        <v>250</v>
      </c>
      <c r="D432" s="46" t="s">
        <v>82</v>
      </c>
      <c r="E432" s="46" t="s">
        <v>83</v>
      </c>
      <c r="F432" s="46" t="s">
        <v>5</v>
      </c>
      <c r="G432" s="46" t="s">
        <v>118</v>
      </c>
      <c r="H432" s="49" t="s">
        <v>148</v>
      </c>
      <c r="I432" s="53">
        <v>48</v>
      </c>
      <c r="J432" s="53">
        <v>121.8</v>
      </c>
      <c r="K432" s="54">
        <v>2.5375</v>
      </c>
    </row>
    <row r="433" spans="1:11">
      <c r="A433" s="46" t="s">
        <v>176</v>
      </c>
      <c r="B433" s="46" t="s">
        <v>242</v>
      </c>
      <c r="C433" s="46" t="s">
        <v>250</v>
      </c>
      <c r="D433" s="46" t="s">
        <v>82</v>
      </c>
      <c r="E433" s="46" t="s">
        <v>83</v>
      </c>
      <c r="F433" s="46" t="s">
        <v>5</v>
      </c>
      <c r="G433" s="46" t="s">
        <v>119</v>
      </c>
      <c r="H433" s="49" t="s">
        <v>148</v>
      </c>
      <c r="I433" s="53">
        <v>48</v>
      </c>
      <c r="J433" s="53">
        <v>58.9</v>
      </c>
      <c r="K433" s="54">
        <v>1.22708333333333</v>
      </c>
    </row>
    <row r="434" spans="1:11">
      <c r="A434" s="46" t="s">
        <v>176</v>
      </c>
      <c r="B434" s="46" t="s">
        <v>242</v>
      </c>
      <c r="C434" s="46" t="s">
        <v>250</v>
      </c>
      <c r="D434" s="46" t="s">
        <v>82</v>
      </c>
      <c r="E434" s="46" t="s">
        <v>83</v>
      </c>
      <c r="F434" s="46" t="s">
        <v>4</v>
      </c>
      <c r="G434" s="46" t="s">
        <v>116</v>
      </c>
      <c r="H434" s="49" t="s">
        <v>148</v>
      </c>
      <c r="I434" s="53">
        <v>36</v>
      </c>
      <c r="J434" s="53">
        <v>18.9</v>
      </c>
      <c r="K434" s="54">
        <v>0.525</v>
      </c>
    </row>
    <row r="435" spans="1:11">
      <c r="A435" s="46" t="s">
        <v>176</v>
      </c>
      <c r="B435" s="46" t="s">
        <v>242</v>
      </c>
      <c r="C435" s="46" t="s">
        <v>250</v>
      </c>
      <c r="D435" s="46" t="s">
        <v>82</v>
      </c>
      <c r="E435" s="46" t="s">
        <v>83</v>
      </c>
      <c r="F435" s="46" t="s">
        <v>4</v>
      </c>
      <c r="G435" s="46" t="s">
        <v>117</v>
      </c>
      <c r="H435" s="49" t="s">
        <v>148</v>
      </c>
      <c r="I435" s="53">
        <v>36</v>
      </c>
      <c r="J435" s="53">
        <v>18.2</v>
      </c>
      <c r="K435" s="54">
        <v>0.505555555555556</v>
      </c>
    </row>
    <row r="436" spans="1:11">
      <c r="A436" s="46" t="s">
        <v>176</v>
      </c>
      <c r="B436" s="46" t="s">
        <v>242</v>
      </c>
      <c r="C436" s="46" t="s">
        <v>250</v>
      </c>
      <c r="D436" s="46" t="s">
        <v>82</v>
      </c>
      <c r="E436" s="46" t="s">
        <v>83</v>
      </c>
      <c r="F436" s="46" t="s">
        <v>4</v>
      </c>
      <c r="G436" s="46" t="s">
        <v>118</v>
      </c>
      <c r="H436" s="49" t="s">
        <v>148</v>
      </c>
      <c r="I436" s="53">
        <v>36</v>
      </c>
      <c r="J436" s="53">
        <v>70</v>
      </c>
      <c r="K436" s="54">
        <v>1.94444444444444</v>
      </c>
    </row>
    <row r="437" spans="1:11">
      <c r="A437" s="46" t="s">
        <v>176</v>
      </c>
      <c r="B437" s="46" t="s">
        <v>242</v>
      </c>
      <c r="C437" s="46" t="s">
        <v>250</v>
      </c>
      <c r="D437" s="46" t="s">
        <v>82</v>
      </c>
      <c r="E437" s="46" t="s">
        <v>83</v>
      </c>
      <c r="F437" s="46" t="s">
        <v>4</v>
      </c>
      <c r="G437" s="46" t="s">
        <v>119</v>
      </c>
      <c r="H437" s="49" t="s">
        <v>148</v>
      </c>
      <c r="I437" s="53">
        <v>36</v>
      </c>
      <c r="J437" s="53">
        <v>26.5</v>
      </c>
      <c r="K437" s="54">
        <v>0.736111111111111</v>
      </c>
    </row>
    <row r="438" spans="1:11">
      <c r="A438" s="46" t="s">
        <v>176</v>
      </c>
      <c r="B438" s="46" t="s">
        <v>242</v>
      </c>
      <c r="C438" s="46" t="s">
        <v>250</v>
      </c>
      <c r="D438" s="46" t="s">
        <v>82</v>
      </c>
      <c r="E438" s="46" t="s">
        <v>83</v>
      </c>
      <c r="F438" s="46" t="s">
        <v>7</v>
      </c>
      <c r="G438" s="46" t="s">
        <v>116</v>
      </c>
      <c r="H438" s="49" t="s">
        <v>148</v>
      </c>
      <c r="I438" s="53">
        <v>55</v>
      </c>
      <c r="J438" s="53">
        <v>42.4</v>
      </c>
      <c r="K438" s="54">
        <v>0.770909090909091</v>
      </c>
    </row>
    <row r="439" spans="1:11">
      <c r="A439" s="46" t="s">
        <v>176</v>
      </c>
      <c r="B439" s="46" t="s">
        <v>242</v>
      </c>
      <c r="C439" s="46" t="s">
        <v>250</v>
      </c>
      <c r="D439" s="46" t="s">
        <v>82</v>
      </c>
      <c r="E439" s="46" t="s">
        <v>83</v>
      </c>
      <c r="F439" s="46" t="s">
        <v>7</v>
      </c>
      <c r="G439" s="46" t="s">
        <v>117</v>
      </c>
      <c r="H439" s="49" t="s">
        <v>148</v>
      </c>
      <c r="I439" s="53">
        <v>55</v>
      </c>
      <c r="J439" s="53">
        <v>56</v>
      </c>
      <c r="K439" s="54">
        <v>1.01818181818182</v>
      </c>
    </row>
    <row r="440" spans="1:11">
      <c r="A440" s="46" t="s">
        <v>176</v>
      </c>
      <c r="B440" s="46" t="s">
        <v>242</v>
      </c>
      <c r="C440" s="46" t="s">
        <v>250</v>
      </c>
      <c r="D440" s="46" t="s">
        <v>82</v>
      </c>
      <c r="E440" s="46" t="s">
        <v>83</v>
      </c>
      <c r="F440" s="46" t="s">
        <v>7</v>
      </c>
      <c r="G440" s="46" t="s">
        <v>118</v>
      </c>
      <c r="H440" s="49" t="s">
        <v>148</v>
      </c>
      <c r="I440" s="53">
        <v>55</v>
      </c>
      <c r="J440" s="53">
        <v>143.8</v>
      </c>
      <c r="K440" s="54">
        <v>2.61454545454545</v>
      </c>
    </row>
    <row r="441" spans="1:11">
      <c r="A441" s="46" t="s">
        <v>176</v>
      </c>
      <c r="B441" s="46" t="s">
        <v>242</v>
      </c>
      <c r="C441" s="46" t="s">
        <v>250</v>
      </c>
      <c r="D441" s="46" t="s">
        <v>82</v>
      </c>
      <c r="E441" s="46" t="s">
        <v>83</v>
      </c>
      <c r="F441" s="46" t="s">
        <v>7</v>
      </c>
      <c r="G441" s="46" t="s">
        <v>119</v>
      </c>
      <c r="H441" s="49" t="s">
        <v>148</v>
      </c>
      <c r="I441" s="53">
        <v>55</v>
      </c>
      <c r="J441" s="53">
        <v>74.5</v>
      </c>
      <c r="K441" s="54">
        <v>1.35454545454545</v>
      </c>
    </row>
    <row r="442" spans="1:11">
      <c r="A442" s="46" t="s">
        <v>176</v>
      </c>
      <c r="B442" s="46" t="s">
        <v>242</v>
      </c>
      <c r="C442" s="46" t="s">
        <v>250</v>
      </c>
      <c r="D442" s="46" t="s">
        <v>82</v>
      </c>
      <c r="E442" s="46" t="s">
        <v>83</v>
      </c>
      <c r="F442" s="46" t="s">
        <v>8</v>
      </c>
      <c r="G442" s="46" t="s">
        <v>116</v>
      </c>
      <c r="H442" s="49" t="s">
        <v>148</v>
      </c>
      <c r="I442" s="53">
        <v>56</v>
      </c>
      <c r="J442" s="53">
        <v>23.9</v>
      </c>
      <c r="K442" s="54">
        <v>0.426785714285714</v>
      </c>
    </row>
    <row r="443" spans="1:11">
      <c r="A443" s="46" t="s">
        <v>176</v>
      </c>
      <c r="B443" s="46" t="s">
        <v>242</v>
      </c>
      <c r="C443" s="46" t="s">
        <v>250</v>
      </c>
      <c r="D443" s="46" t="s">
        <v>82</v>
      </c>
      <c r="E443" s="46" t="s">
        <v>83</v>
      </c>
      <c r="F443" s="46" t="s">
        <v>8</v>
      </c>
      <c r="G443" s="46" t="s">
        <v>117</v>
      </c>
      <c r="H443" s="49" t="s">
        <v>148</v>
      </c>
      <c r="I443" s="53">
        <v>56</v>
      </c>
      <c r="J443" s="53">
        <v>21</v>
      </c>
      <c r="K443" s="54">
        <v>0.375</v>
      </c>
    </row>
    <row r="444" spans="1:11">
      <c r="A444" s="46" t="s">
        <v>176</v>
      </c>
      <c r="B444" s="46" t="s">
        <v>242</v>
      </c>
      <c r="C444" s="46" t="s">
        <v>250</v>
      </c>
      <c r="D444" s="46" t="s">
        <v>82</v>
      </c>
      <c r="E444" s="46" t="s">
        <v>83</v>
      </c>
      <c r="F444" s="46" t="s">
        <v>8</v>
      </c>
      <c r="G444" s="46" t="s">
        <v>118</v>
      </c>
      <c r="H444" s="49" t="s">
        <v>148</v>
      </c>
      <c r="I444" s="53">
        <v>56</v>
      </c>
      <c r="J444" s="53">
        <v>110.5</v>
      </c>
      <c r="K444" s="54">
        <v>1.97321428571429</v>
      </c>
    </row>
    <row r="445" spans="1:11">
      <c r="A445" s="46" t="s">
        <v>176</v>
      </c>
      <c r="B445" s="46" t="s">
        <v>242</v>
      </c>
      <c r="C445" s="46" t="s">
        <v>250</v>
      </c>
      <c r="D445" s="46" t="s">
        <v>82</v>
      </c>
      <c r="E445" s="46" t="s">
        <v>83</v>
      </c>
      <c r="F445" s="46" t="s">
        <v>8</v>
      </c>
      <c r="G445" s="46" t="s">
        <v>119</v>
      </c>
      <c r="H445" s="49" t="s">
        <v>148</v>
      </c>
      <c r="I445" s="53">
        <v>56</v>
      </c>
      <c r="J445" s="53">
        <v>47</v>
      </c>
      <c r="K445" s="54">
        <v>0.839285714285714</v>
      </c>
    </row>
    <row r="446" spans="1:11">
      <c r="A446" s="46" t="s">
        <v>176</v>
      </c>
      <c r="B446" s="46" t="s">
        <v>242</v>
      </c>
      <c r="C446" s="46" t="s">
        <v>250</v>
      </c>
      <c r="D446" s="46" t="s">
        <v>82</v>
      </c>
      <c r="E446" s="46" t="s">
        <v>83</v>
      </c>
      <c r="F446" s="46" t="s">
        <v>6</v>
      </c>
      <c r="G446" s="46" t="s">
        <v>116</v>
      </c>
      <c r="H446" s="49" t="s">
        <v>148</v>
      </c>
      <c r="I446" s="53">
        <v>70</v>
      </c>
      <c r="J446" s="53">
        <v>54.6</v>
      </c>
      <c r="K446" s="54">
        <v>0.78</v>
      </c>
    </row>
    <row r="447" spans="1:11">
      <c r="A447" s="46" t="s">
        <v>176</v>
      </c>
      <c r="B447" s="46" t="s">
        <v>242</v>
      </c>
      <c r="C447" s="46" t="s">
        <v>250</v>
      </c>
      <c r="D447" s="46" t="s">
        <v>82</v>
      </c>
      <c r="E447" s="46" t="s">
        <v>83</v>
      </c>
      <c r="F447" s="46" t="s">
        <v>6</v>
      </c>
      <c r="G447" s="46" t="s">
        <v>117</v>
      </c>
      <c r="H447" s="49" t="s">
        <v>148</v>
      </c>
      <c r="I447" s="53">
        <v>70</v>
      </c>
      <c r="J447" s="53">
        <v>37.4</v>
      </c>
      <c r="K447" s="54">
        <v>0.534285714285714</v>
      </c>
    </row>
    <row r="448" spans="1:11">
      <c r="A448" s="46" t="s">
        <v>176</v>
      </c>
      <c r="B448" s="46" t="s">
        <v>242</v>
      </c>
      <c r="C448" s="46" t="s">
        <v>250</v>
      </c>
      <c r="D448" s="46" t="s">
        <v>82</v>
      </c>
      <c r="E448" s="46" t="s">
        <v>83</v>
      </c>
      <c r="F448" s="46" t="s">
        <v>6</v>
      </c>
      <c r="G448" s="46" t="s">
        <v>118</v>
      </c>
      <c r="H448" s="49" t="s">
        <v>148</v>
      </c>
      <c r="I448" s="53">
        <v>70</v>
      </c>
      <c r="J448" s="53">
        <v>141.4</v>
      </c>
      <c r="K448" s="54">
        <v>2.02</v>
      </c>
    </row>
    <row r="449" spans="1:11">
      <c r="A449" s="46" t="s">
        <v>176</v>
      </c>
      <c r="B449" s="46" t="s">
        <v>242</v>
      </c>
      <c r="C449" s="46" t="s">
        <v>250</v>
      </c>
      <c r="D449" s="46" t="s">
        <v>82</v>
      </c>
      <c r="E449" s="46" t="s">
        <v>83</v>
      </c>
      <c r="F449" s="46" t="s">
        <v>6</v>
      </c>
      <c r="G449" s="46" t="s">
        <v>119</v>
      </c>
      <c r="H449" s="49" t="s">
        <v>148</v>
      </c>
      <c r="I449" s="53">
        <v>70</v>
      </c>
      <c r="J449" s="53">
        <v>79.2</v>
      </c>
      <c r="K449" s="54">
        <v>1.13142857142857</v>
      </c>
    </row>
    <row r="450" spans="1:11">
      <c r="A450" s="44" t="s">
        <v>190</v>
      </c>
      <c r="B450" s="44" t="s">
        <v>243</v>
      </c>
      <c r="C450" s="44" t="s">
        <v>250</v>
      </c>
      <c r="D450" s="46" t="s">
        <v>82</v>
      </c>
      <c r="E450" s="46" t="s">
        <v>83</v>
      </c>
      <c r="F450" s="46" t="s">
        <v>3</v>
      </c>
      <c r="G450" s="46" t="s">
        <v>116</v>
      </c>
      <c r="H450" s="49" t="s">
        <v>159</v>
      </c>
      <c r="I450" s="53">
        <v>53</v>
      </c>
      <c r="J450" s="53">
        <v>37</v>
      </c>
      <c r="K450" s="54">
        <v>0.69811320754717</v>
      </c>
    </row>
    <row r="451" spans="1:11">
      <c r="A451" s="44" t="s">
        <v>190</v>
      </c>
      <c r="B451" s="44" t="s">
        <v>243</v>
      </c>
      <c r="C451" s="44" t="s">
        <v>250</v>
      </c>
      <c r="D451" s="46" t="s">
        <v>82</v>
      </c>
      <c r="E451" s="46" t="s">
        <v>83</v>
      </c>
      <c r="F451" s="46" t="s">
        <v>3</v>
      </c>
      <c r="G451" s="46" t="s">
        <v>117</v>
      </c>
      <c r="H451" s="49" t="s">
        <v>159</v>
      </c>
      <c r="I451" s="53">
        <v>53</v>
      </c>
      <c r="J451" s="53">
        <v>23</v>
      </c>
      <c r="K451" s="54">
        <v>0.433962264150943</v>
      </c>
    </row>
    <row r="452" spans="1:11">
      <c r="A452" s="44" t="s">
        <v>190</v>
      </c>
      <c r="B452" s="44" t="s">
        <v>243</v>
      </c>
      <c r="C452" s="44" t="s">
        <v>250</v>
      </c>
      <c r="D452" s="46" t="s">
        <v>82</v>
      </c>
      <c r="E452" s="46" t="s">
        <v>83</v>
      </c>
      <c r="F452" s="46" t="s">
        <v>3</v>
      </c>
      <c r="G452" s="46" t="s">
        <v>118</v>
      </c>
      <c r="H452" s="49" t="s">
        <v>159</v>
      </c>
      <c r="I452" s="53">
        <v>53</v>
      </c>
      <c r="J452" s="53">
        <v>114</v>
      </c>
      <c r="K452" s="54">
        <v>2.15094339622641</v>
      </c>
    </row>
    <row r="453" spans="1:11">
      <c r="A453" s="44" t="s">
        <v>190</v>
      </c>
      <c r="B453" s="44" t="s">
        <v>243</v>
      </c>
      <c r="C453" s="44" t="s">
        <v>250</v>
      </c>
      <c r="D453" s="46" t="s">
        <v>82</v>
      </c>
      <c r="E453" s="46" t="s">
        <v>83</v>
      </c>
      <c r="F453" s="46" t="s">
        <v>3</v>
      </c>
      <c r="G453" s="46" t="s">
        <v>119</v>
      </c>
      <c r="H453" s="49" t="s">
        <v>159</v>
      </c>
      <c r="I453" s="53">
        <v>53</v>
      </c>
      <c r="J453" s="53">
        <v>58</v>
      </c>
      <c r="K453" s="54">
        <v>1.09433962264151</v>
      </c>
    </row>
    <row r="454" spans="1:11">
      <c r="A454" s="44" t="s">
        <v>190</v>
      </c>
      <c r="B454" s="44" t="s">
        <v>243</v>
      </c>
      <c r="C454" s="44" t="s">
        <v>250</v>
      </c>
      <c r="D454" s="46" t="s">
        <v>82</v>
      </c>
      <c r="E454" s="46" t="s">
        <v>83</v>
      </c>
      <c r="F454" s="46" t="s">
        <v>9</v>
      </c>
      <c r="G454" s="46" t="s">
        <v>116</v>
      </c>
      <c r="H454" s="49" t="s">
        <v>159</v>
      </c>
      <c r="I454" s="53">
        <v>57</v>
      </c>
      <c r="J454" s="53">
        <v>30</v>
      </c>
      <c r="K454" s="54">
        <v>0.526315789473684</v>
      </c>
    </row>
    <row r="455" spans="1:11">
      <c r="A455" s="44" t="s">
        <v>190</v>
      </c>
      <c r="B455" s="44" t="s">
        <v>243</v>
      </c>
      <c r="C455" s="44" t="s">
        <v>250</v>
      </c>
      <c r="D455" s="46" t="s">
        <v>82</v>
      </c>
      <c r="E455" s="46" t="s">
        <v>83</v>
      </c>
      <c r="F455" s="46" t="s">
        <v>9</v>
      </c>
      <c r="G455" s="46" t="s">
        <v>117</v>
      </c>
      <c r="H455" s="49" t="s">
        <v>159</v>
      </c>
      <c r="I455" s="53">
        <v>57</v>
      </c>
      <c r="J455" s="53">
        <v>29</v>
      </c>
      <c r="K455" s="54">
        <v>0.508771929824561</v>
      </c>
    </row>
    <row r="456" spans="1:11">
      <c r="A456" s="44" t="s">
        <v>190</v>
      </c>
      <c r="B456" s="44" t="s">
        <v>243</v>
      </c>
      <c r="C456" s="44" t="s">
        <v>250</v>
      </c>
      <c r="D456" s="46" t="s">
        <v>82</v>
      </c>
      <c r="E456" s="46" t="s">
        <v>83</v>
      </c>
      <c r="F456" s="46" t="s">
        <v>9</v>
      </c>
      <c r="G456" s="46" t="s">
        <v>118</v>
      </c>
      <c r="H456" s="49" t="s">
        <v>159</v>
      </c>
      <c r="I456" s="53">
        <v>57</v>
      </c>
      <c r="J456" s="53">
        <v>103</v>
      </c>
      <c r="K456" s="54">
        <v>1.80701754385965</v>
      </c>
    </row>
    <row r="457" spans="1:11">
      <c r="A457" s="44" t="s">
        <v>190</v>
      </c>
      <c r="B457" s="44" t="s">
        <v>243</v>
      </c>
      <c r="C457" s="44" t="s">
        <v>250</v>
      </c>
      <c r="D457" s="46" t="s">
        <v>82</v>
      </c>
      <c r="E457" s="46" t="s">
        <v>83</v>
      </c>
      <c r="F457" s="46" t="s">
        <v>9</v>
      </c>
      <c r="G457" s="46" t="s">
        <v>119</v>
      </c>
      <c r="H457" s="49" t="s">
        <v>159</v>
      </c>
      <c r="I457" s="53">
        <v>57</v>
      </c>
      <c r="J457" s="53">
        <v>16</v>
      </c>
      <c r="K457" s="54">
        <v>0.280701754385965</v>
      </c>
    </row>
    <row r="458" spans="1:11">
      <c r="A458" s="44" t="s">
        <v>190</v>
      </c>
      <c r="B458" s="44" t="s">
        <v>243</v>
      </c>
      <c r="C458" s="44" t="s">
        <v>250</v>
      </c>
      <c r="D458" s="46" t="s">
        <v>82</v>
      </c>
      <c r="E458" s="46" t="s">
        <v>83</v>
      </c>
      <c r="F458" s="46" t="s">
        <v>5</v>
      </c>
      <c r="G458" s="46" t="s">
        <v>116</v>
      </c>
      <c r="H458" s="49" t="s">
        <v>159</v>
      </c>
      <c r="I458" s="53">
        <v>48</v>
      </c>
      <c r="J458" s="53">
        <v>64</v>
      </c>
      <c r="K458" s="54">
        <v>1.33333333333333</v>
      </c>
    </row>
    <row r="459" spans="1:11">
      <c r="A459" s="44" t="s">
        <v>190</v>
      </c>
      <c r="B459" s="44" t="s">
        <v>243</v>
      </c>
      <c r="C459" s="44" t="s">
        <v>250</v>
      </c>
      <c r="D459" s="46" t="s">
        <v>82</v>
      </c>
      <c r="E459" s="46" t="s">
        <v>83</v>
      </c>
      <c r="F459" s="46" t="s">
        <v>5</v>
      </c>
      <c r="G459" s="46" t="s">
        <v>117</v>
      </c>
      <c r="H459" s="49" t="s">
        <v>159</v>
      </c>
      <c r="I459" s="53">
        <v>48</v>
      </c>
      <c r="J459" s="53">
        <v>58</v>
      </c>
      <c r="K459" s="54">
        <v>1.20833333333333</v>
      </c>
    </row>
    <row r="460" spans="1:11">
      <c r="A460" s="44" t="s">
        <v>190</v>
      </c>
      <c r="B460" s="44" t="s">
        <v>243</v>
      </c>
      <c r="C460" s="44" t="s">
        <v>250</v>
      </c>
      <c r="D460" s="46" t="s">
        <v>82</v>
      </c>
      <c r="E460" s="46" t="s">
        <v>83</v>
      </c>
      <c r="F460" s="46" t="s">
        <v>5</v>
      </c>
      <c r="G460" s="46" t="s">
        <v>118</v>
      </c>
      <c r="H460" s="49" t="s">
        <v>159</v>
      </c>
      <c r="I460" s="53">
        <v>48</v>
      </c>
      <c r="J460" s="53">
        <v>119</v>
      </c>
      <c r="K460" s="54">
        <v>2.47916666666667</v>
      </c>
    </row>
    <row r="461" spans="1:11">
      <c r="A461" s="44" t="s">
        <v>190</v>
      </c>
      <c r="B461" s="44" t="s">
        <v>243</v>
      </c>
      <c r="C461" s="44" t="s">
        <v>250</v>
      </c>
      <c r="D461" s="46" t="s">
        <v>82</v>
      </c>
      <c r="E461" s="46" t="s">
        <v>83</v>
      </c>
      <c r="F461" s="46" t="s">
        <v>5</v>
      </c>
      <c r="G461" s="46" t="s">
        <v>119</v>
      </c>
      <c r="H461" s="49" t="s">
        <v>159</v>
      </c>
      <c r="I461" s="53">
        <v>48</v>
      </c>
      <c r="J461" s="53">
        <v>32</v>
      </c>
      <c r="K461" s="54">
        <v>0.666666666666667</v>
      </c>
    </row>
    <row r="462" spans="1:11">
      <c r="A462" s="44" t="s">
        <v>190</v>
      </c>
      <c r="B462" s="44" t="s">
        <v>243</v>
      </c>
      <c r="C462" s="44" t="s">
        <v>250</v>
      </c>
      <c r="D462" s="46" t="s">
        <v>82</v>
      </c>
      <c r="E462" s="46" t="s">
        <v>83</v>
      </c>
      <c r="F462" s="46" t="s">
        <v>4</v>
      </c>
      <c r="G462" s="46" t="s">
        <v>116</v>
      </c>
      <c r="H462" s="49" t="s">
        <v>159</v>
      </c>
      <c r="I462" s="53">
        <v>36</v>
      </c>
      <c r="J462" s="53">
        <v>26</v>
      </c>
      <c r="K462" s="54">
        <v>0.722222222222222</v>
      </c>
    </row>
    <row r="463" spans="1:11">
      <c r="A463" s="44" t="s">
        <v>190</v>
      </c>
      <c r="B463" s="44" t="s">
        <v>243</v>
      </c>
      <c r="C463" s="44" t="s">
        <v>250</v>
      </c>
      <c r="D463" s="46" t="s">
        <v>82</v>
      </c>
      <c r="E463" s="46" t="s">
        <v>83</v>
      </c>
      <c r="F463" s="46" t="s">
        <v>4</v>
      </c>
      <c r="G463" s="46" t="s">
        <v>117</v>
      </c>
      <c r="H463" s="49" t="s">
        <v>159</v>
      </c>
      <c r="I463" s="53">
        <v>36</v>
      </c>
      <c r="J463" s="53">
        <v>9</v>
      </c>
      <c r="K463" s="54">
        <v>0.25</v>
      </c>
    </row>
    <row r="464" spans="1:11">
      <c r="A464" s="44" t="s">
        <v>190</v>
      </c>
      <c r="B464" s="44" t="s">
        <v>243</v>
      </c>
      <c r="C464" s="44" t="s">
        <v>250</v>
      </c>
      <c r="D464" s="46" t="s">
        <v>82</v>
      </c>
      <c r="E464" s="46" t="s">
        <v>83</v>
      </c>
      <c r="F464" s="46" t="s">
        <v>4</v>
      </c>
      <c r="G464" s="46" t="s">
        <v>118</v>
      </c>
      <c r="H464" s="49" t="s">
        <v>159</v>
      </c>
      <c r="I464" s="53">
        <v>36</v>
      </c>
      <c r="J464" s="53">
        <v>62</v>
      </c>
      <c r="K464" s="54">
        <v>1.72222222222222</v>
      </c>
    </row>
    <row r="465" spans="1:11">
      <c r="A465" s="44" t="s">
        <v>190</v>
      </c>
      <c r="B465" s="44" t="s">
        <v>243</v>
      </c>
      <c r="C465" s="44" t="s">
        <v>250</v>
      </c>
      <c r="D465" s="46" t="s">
        <v>82</v>
      </c>
      <c r="E465" s="46" t="s">
        <v>83</v>
      </c>
      <c r="F465" s="46" t="s">
        <v>4</v>
      </c>
      <c r="G465" s="46" t="s">
        <v>119</v>
      </c>
      <c r="H465" s="49" t="s">
        <v>159</v>
      </c>
      <c r="I465" s="53">
        <v>36</v>
      </c>
      <c r="J465" s="53">
        <v>11</v>
      </c>
      <c r="K465" s="54">
        <v>0.305555555555556</v>
      </c>
    </row>
    <row r="466" spans="1:11">
      <c r="A466" s="44" t="s">
        <v>190</v>
      </c>
      <c r="B466" s="44" t="s">
        <v>243</v>
      </c>
      <c r="C466" s="44" t="s">
        <v>250</v>
      </c>
      <c r="D466" s="46" t="s">
        <v>82</v>
      </c>
      <c r="E466" s="46" t="s">
        <v>83</v>
      </c>
      <c r="F466" s="46" t="s">
        <v>7</v>
      </c>
      <c r="G466" s="46" t="s">
        <v>116</v>
      </c>
      <c r="H466" s="49" t="s">
        <v>159</v>
      </c>
      <c r="I466" s="53">
        <v>55</v>
      </c>
      <c r="J466" s="53">
        <v>54</v>
      </c>
      <c r="K466" s="54">
        <v>0.981818181818182</v>
      </c>
    </row>
    <row r="467" spans="1:11">
      <c r="A467" s="44" t="s">
        <v>190</v>
      </c>
      <c r="B467" s="44" t="s">
        <v>243</v>
      </c>
      <c r="C467" s="44" t="s">
        <v>250</v>
      </c>
      <c r="D467" s="46" t="s">
        <v>82</v>
      </c>
      <c r="E467" s="46" t="s">
        <v>83</v>
      </c>
      <c r="F467" s="46" t="s">
        <v>7</v>
      </c>
      <c r="G467" s="46" t="s">
        <v>117</v>
      </c>
      <c r="H467" s="49" t="s">
        <v>159</v>
      </c>
      <c r="I467" s="53">
        <v>55</v>
      </c>
      <c r="J467" s="53">
        <v>33</v>
      </c>
      <c r="K467" s="54">
        <v>0.6</v>
      </c>
    </row>
    <row r="468" spans="1:11">
      <c r="A468" s="44" t="s">
        <v>190</v>
      </c>
      <c r="B468" s="44" t="s">
        <v>243</v>
      </c>
      <c r="C468" s="44" t="s">
        <v>250</v>
      </c>
      <c r="D468" s="46" t="s">
        <v>82</v>
      </c>
      <c r="E468" s="46" t="s">
        <v>83</v>
      </c>
      <c r="F468" s="46" t="s">
        <v>7</v>
      </c>
      <c r="G468" s="46" t="s">
        <v>118</v>
      </c>
      <c r="H468" s="49" t="s">
        <v>159</v>
      </c>
      <c r="I468" s="53">
        <v>55</v>
      </c>
      <c r="J468" s="53">
        <v>141</v>
      </c>
      <c r="K468" s="54">
        <v>2.56363636363636</v>
      </c>
    </row>
    <row r="469" spans="1:11">
      <c r="A469" s="44" t="s">
        <v>190</v>
      </c>
      <c r="B469" s="44" t="s">
        <v>243</v>
      </c>
      <c r="C469" s="44" t="s">
        <v>250</v>
      </c>
      <c r="D469" s="46" t="s">
        <v>82</v>
      </c>
      <c r="E469" s="46" t="s">
        <v>83</v>
      </c>
      <c r="F469" s="46" t="s">
        <v>7</v>
      </c>
      <c r="G469" s="46" t="s">
        <v>119</v>
      </c>
      <c r="H469" s="49" t="s">
        <v>159</v>
      </c>
      <c r="I469" s="53">
        <v>55</v>
      </c>
      <c r="J469" s="53">
        <v>66</v>
      </c>
      <c r="K469" s="54">
        <v>1.2</v>
      </c>
    </row>
    <row r="470" spans="1:11">
      <c r="A470" s="44" t="s">
        <v>190</v>
      </c>
      <c r="B470" s="44" t="s">
        <v>243</v>
      </c>
      <c r="C470" s="44" t="s">
        <v>250</v>
      </c>
      <c r="D470" s="46" t="s">
        <v>82</v>
      </c>
      <c r="E470" s="46" t="s">
        <v>83</v>
      </c>
      <c r="F470" s="46" t="s">
        <v>8</v>
      </c>
      <c r="G470" s="46" t="s">
        <v>116</v>
      </c>
      <c r="H470" s="49" t="s">
        <v>159</v>
      </c>
      <c r="I470" s="53">
        <v>56</v>
      </c>
      <c r="J470" s="53">
        <v>16</v>
      </c>
      <c r="K470" s="54">
        <v>0.285714285714286</v>
      </c>
    </row>
    <row r="471" spans="1:11">
      <c r="A471" s="44" t="s">
        <v>190</v>
      </c>
      <c r="B471" s="44" t="s">
        <v>243</v>
      </c>
      <c r="C471" s="44" t="s">
        <v>250</v>
      </c>
      <c r="D471" s="46" t="s">
        <v>82</v>
      </c>
      <c r="E471" s="46" t="s">
        <v>83</v>
      </c>
      <c r="F471" s="46" t="s">
        <v>8</v>
      </c>
      <c r="G471" s="46" t="s">
        <v>117</v>
      </c>
      <c r="H471" s="49" t="s">
        <v>159</v>
      </c>
      <c r="I471" s="53">
        <v>56</v>
      </c>
      <c r="J471" s="53">
        <v>20</v>
      </c>
      <c r="K471" s="54">
        <v>0.357142857142857</v>
      </c>
    </row>
    <row r="472" spans="1:11">
      <c r="A472" s="44" t="s">
        <v>190</v>
      </c>
      <c r="B472" s="44" t="s">
        <v>243</v>
      </c>
      <c r="C472" s="44" t="s">
        <v>250</v>
      </c>
      <c r="D472" s="46" t="s">
        <v>82</v>
      </c>
      <c r="E472" s="46" t="s">
        <v>83</v>
      </c>
      <c r="F472" s="46" t="s">
        <v>8</v>
      </c>
      <c r="G472" s="46" t="s">
        <v>118</v>
      </c>
      <c r="H472" s="49" t="s">
        <v>159</v>
      </c>
      <c r="I472" s="53">
        <v>56</v>
      </c>
      <c r="J472" s="53">
        <v>62</v>
      </c>
      <c r="K472" s="54">
        <v>1.10714285714286</v>
      </c>
    </row>
    <row r="473" spans="1:11">
      <c r="A473" s="44" t="s">
        <v>190</v>
      </c>
      <c r="B473" s="44" t="s">
        <v>243</v>
      </c>
      <c r="C473" s="44" t="s">
        <v>250</v>
      </c>
      <c r="D473" s="46" t="s">
        <v>82</v>
      </c>
      <c r="E473" s="46" t="s">
        <v>83</v>
      </c>
      <c r="F473" s="46" t="s">
        <v>8</v>
      </c>
      <c r="G473" s="46" t="s">
        <v>119</v>
      </c>
      <c r="H473" s="49" t="s">
        <v>159</v>
      </c>
      <c r="I473" s="53">
        <v>56</v>
      </c>
      <c r="J473" s="53">
        <v>17</v>
      </c>
      <c r="K473" s="54">
        <v>0.303571428571429</v>
      </c>
    </row>
    <row r="474" spans="1:11">
      <c r="A474" s="44" t="s">
        <v>190</v>
      </c>
      <c r="B474" s="44" t="s">
        <v>243</v>
      </c>
      <c r="C474" s="44" t="s">
        <v>250</v>
      </c>
      <c r="D474" s="46" t="s">
        <v>82</v>
      </c>
      <c r="E474" s="46" t="s">
        <v>83</v>
      </c>
      <c r="F474" s="46" t="s">
        <v>6</v>
      </c>
      <c r="G474" s="46" t="s">
        <v>116</v>
      </c>
      <c r="H474" s="49" t="s">
        <v>159</v>
      </c>
      <c r="I474" s="53">
        <v>70</v>
      </c>
      <c r="J474" s="53">
        <v>51</v>
      </c>
      <c r="K474" s="54">
        <v>0.728571428571429</v>
      </c>
    </row>
    <row r="475" spans="1:11">
      <c r="A475" s="44" t="s">
        <v>190</v>
      </c>
      <c r="B475" s="44" t="s">
        <v>243</v>
      </c>
      <c r="C475" s="44" t="s">
        <v>250</v>
      </c>
      <c r="D475" s="46" t="s">
        <v>82</v>
      </c>
      <c r="E475" s="46" t="s">
        <v>83</v>
      </c>
      <c r="F475" s="46" t="s">
        <v>6</v>
      </c>
      <c r="G475" s="46" t="s">
        <v>117</v>
      </c>
      <c r="H475" s="49" t="s">
        <v>159</v>
      </c>
      <c r="I475" s="53">
        <v>70</v>
      </c>
      <c r="J475" s="53">
        <v>41</v>
      </c>
      <c r="K475" s="54">
        <v>0.585714285714286</v>
      </c>
    </row>
    <row r="476" spans="1:11">
      <c r="A476" s="44" t="s">
        <v>190</v>
      </c>
      <c r="B476" s="44" t="s">
        <v>243</v>
      </c>
      <c r="C476" s="44" t="s">
        <v>250</v>
      </c>
      <c r="D476" s="46" t="s">
        <v>82</v>
      </c>
      <c r="E476" s="46" t="s">
        <v>83</v>
      </c>
      <c r="F476" s="46" t="s">
        <v>6</v>
      </c>
      <c r="G476" s="46" t="s">
        <v>118</v>
      </c>
      <c r="H476" s="49" t="s">
        <v>159</v>
      </c>
      <c r="I476" s="53">
        <v>70</v>
      </c>
      <c r="J476" s="53">
        <v>110</v>
      </c>
      <c r="K476" s="54">
        <v>1.57142857142857</v>
      </c>
    </row>
    <row r="477" spans="1:11">
      <c r="A477" s="44" t="s">
        <v>190</v>
      </c>
      <c r="B477" s="44" t="s">
        <v>243</v>
      </c>
      <c r="C477" s="44" t="s">
        <v>250</v>
      </c>
      <c r="D477" s="46" t="s">
        <v>82</v>
      </c>
      <c r="E477" s="46" t="s">
        <v>83</v>
      </c>
      <c r="F477" s="46" t="s">
        <v>6</v>
      </c>
      <c r="G477" s="46" t="s">
        <v>119</v>
      </c>
      <c r="H477" s="49" t="s">
        <v>159</v>
      </c>
      <c r="I477" s="53">
        <v>70</v>
      </c>
      <c r="J477" s="53">
        <v>67</v>
      </c>
      <c r="K477" s="54">
        <v>0.957142857142857</v>
      </c>
    </row>
    <row r="478" spans="1:11">
      <c r="A478" s="46" t="s">
        <v>175</v>
      </c>
      <c r="B478" s="46">
        <v>2025</v>
      </c>
      <c r="C478" s="46" t="s">
        <v>250</v>
      </c>
      <c r="D478" s="46" t="s">
        <v>82</v>
      </c>
      <c r="E478" s="46" t="s">
        <v>83</v>
      </c>
      <c r="F478" s="46" t="s">
        <v>3</v>
      </c>
      <c r="G478" s="46" t="s">
        <v>116</v>
      </c>
      <c r="H478" s="49" t="s">
        <v>159</v>
      </c>
      <c r="I478" s="53">
        <v>53</v>
      </c>
      <c r="J478" s="53">
        <v>31.7</v>
      </c>
      <c r="K478" s="54">
        <v>0.59811320754717</v>
      </c>
    </row>
    <row r="479" spans="1:11">
      <c r="A479" s="46" t="s">
        <v>175</v>
      </c>
      <c r="B479" s="46">
        <v>2025</v>
      </c>
      <c r="C479" s="46" t="s">
        <v>250</v>
      </c>
      <c r="D479" s="46" t="s">
        <v>82</v>
      </c>
      <c r="E479" s="46" t="s">
        <v>83</v>
      </c>
      <c r="F479" s="46" t="s">
        <v>3</v>
      </c>
      <c r="G479" s="46" t="s">
        <v>117</v>
      </c>
      <c r="H479" s="49" t="s">
        <v>159</v>
      </c>
      <c r="I479" s="53">
        <v>53</v>
      </c>
      <c r="J479" s="53">
        <v>30.2</v>
      </c>
      <c r="K479" s="54">
        <v>0.569811320754717</v>
      </c>
    </row>
    <row r="480" spans="1:11">
      <c r="A480" s="46" t="s">
        <v>175</v>
      </c>
      <c r="B480" s="46">
        <v>2025</v>
      </c>
      <c r="C480" s="46" t="s">
        <v>250</v>
      </c>
      <c r="D480" s="46" t="s">
        <v>82</v>
      </c>
      <c r="E480" s="46" t="s">
        <v>83</v>
      </c>
      <c r="F480" s="46" t="s">
        <v>3</v>
      </c>
      <c r="G480" s="46" t="s">
        <v>118</v>
      </c>
      <c r="H480" s="49" t="s">
        <v>159</v>
      </c>
      <c r="I480" s="53">
        <v>53</v>
      </c>
      <c r="J480" s="53">
        <v>74.9</v>
      </c>
      <c r="K480" s="54">
        <v>1.41320754716981</v>
      </c>
    </row>
    <row r="481" spans="1:11">
      <c r="A481" s="46" t="s">
        <v>175</v>
      </c>
      <c r="B481" s="46">
        <v>2025</v>
      </c>
      <c r="C481" s="46" t="s">
        <v>250</v>
      </c>
      <c r="D481" s="46" t="s">
        <v>82</v>
      </c>
      <c r="E481" s="46" t="s">
        <v>83</v>
      </c>
      <c r="F481" s="46" t="s">
        <v>3</v>
      </c>
      <c r="G481" s="46" t="s">
        <v>119</v>
      </c>
      <c r="H481" s="49" t="s">
        <v>159</v>
      </c>
      <c r="I481" s="53">
        <v>53</v>
      </c>
      <c r="J481" s="53">
        <v>40.6</v>
      </c>
      <c r="K481" s="54">
        <v>0.766037735849057</v>
      </c>
    </row>
    <row r="482" spans="1:11">
      <c r="A482" s="46" t="s">
        <v>175</v>
      </c>
      <c r="B482" s="46">
        <v>2025</v>
      </c>
      <c r="C482" s="46" t="s">
        <v>250</v>
      </c>
      <c r="D482" s="46" t="s">
        <v>82</v>
      </c>
      <c r="E482" s="46" t="s">
        <v>83</v>
      </c>
      <c r="F482" s="46" t="s">
        <v>9</v>
      </c>
      <c r="G482" s="46" t="s">
        <v>116</v>
      </c>
      <c r="H482" s="49" t="s">
        <v>159</v>
      </c>
      <c r="I482" s="53">
        <v>57</v>
      </c>
      <c r="J482" s="53">
        <v>33.7</v>
      </c>
      <c r="K482" s="54">
        <v>0.591228070175439</v>
      </c>
    </row>
    <row r="483" spans="1:11">
      <c r="A483" s="46" t="s">
        <v>175</v>
      </c>
      <c r="B483" s="46">
        <v>2025</v>
      </c>
      <c r="C483" s="46" t="s">
        <v>250</v>
      </c>
      <c r="D483" s="46" t="s">
        <v>82</v>
      </c>
      <c r="E483" s="46" t="s">
        <v>83</v>
      </c>
      <c r="F483" s="46" t="s">
        <v>9</v>
      </c>
      <c r="G483" s="46" t="s">
        <v>117</v>
      </c>
      <c r="H483" s="49" t="s">
        <v>159</v>
      </c>
      <c r="I483" s="53">
        <v>57</v>
      </c>
      <c r="J483" s="53">
        <v>25.6</v>
      </c>
      <c r="K483" s="54">
        <v>0.449122807017544</v>
      </c>
    </row>
    <row r="484" spans="1:11">
      <c r="A484" s="46" t="s">
        <v>175</v>
      </c>
      <c r="B484" s="46">
        <v>2025</v>
      </c>
      <c r="C484" s="46" t="s">
        <v>250</v>
      </c>
      <c r="D484" s="46" t="s">
        <v>82</v>
      </c>
      <c r="E484" s="46" t="s">
        <v>83</v>
      </c>
      <c r="F484" s="46" t="s">
        <v>9</v>
      </c>
      <c r="G484" s="46" t="s">
        <v>118</v>
      </c>
      <c r="H484" s="49" t="s">
        <v>159</v>
      </c>
      <c r="I484" s="53">
        <v>57</v>
      </c>
      <c r="J484" s="53">
        <v>76.7</v>
      </c>
      <c r="K484" s="54">
        <v>1.34561403508772</v>
      </c>
    </row>
    <row r="485" spans="1:11">
      <c r="A485" s="46" t="s">
        <v>175</v>
      </c>
      <c r="B485" s="46">
        <v>2025</v>
      </c>
      <c r="C485" s="46" t="s">
        <v>250</v>
      </c>
      <c r="D485" s="46" t="s">
        <v>82</v>
      </c>
      <c r="E485" s="46" t="s">
        <v>83</v>
      </c>
      <c r="F485" s="46" t="s">
        <v>9</v>
      </c>
      <c r="G485" s="46" t="s">
        <v>119</v>
      </c>
      <c r="H485" s="49" t="s">
        <v>159</v>
      </c>
      <c r="I485" s="53">
        <v>57</v>
      </c>
      <c r="J485" s="53">
        <v>15.8</v>
      </c>
      <c r="K485" s="54">
        <v>0.27719298245614</v>
      </c>
    </row>
    <row r="486" spans="1:11">
      <c r="A486" s="46" t="s">
        <v>175</v>
      </c>
      <c r="B486" s="46">
        <v>2025</v>
      </c>
      <c r="C486" s="46" t="s">
        <v>250</v>
      </c>
      <c r="D486" s="46" t="s">
        <v>82</v>
      </c>
      <c r="E486" s="46" t="s">
        <v>83</v>
      </c>
      <c r="F486" s="46" t="s">
        <v>5</v>
      </c>
      <c r="G486" s="46" t="s">
        <v>116</v>
      </c>
      <c r="H486" s="49" t="s">
        <v>159</v>
      </c>
      <c r="I486" s="53">
        <v>48</v>
      </c>
      <c r="J486" s="53">
        <v>46.8</v>
      </c>
      <c r="K486" s="54">
        <v>0.975</v>
      </c>
    </row>
    <row r="487" spans="1:11">
      <c r="A487" s="46" t="s">
        <v>175</v>
      </c>
      <c r="B487" s="46">
        <v>2025</v>
      </c>
      <c r="C487" s="46" t="s">
        <v>250</v>
      </c>
      <c r="D487" s="46" t="s">
        <v>82</v>
      </c>
      <c r="E487" s="46" t="s">
        <v>83</v>
      </c>
      <c r="F487" s="46" t="s">
        <v>5</v>
      </c>
      <c r="G487" s="46" t="s">
        <v>117</v>
      </c>
      <c r="H487" s="49" t="s">
        <v>159</v>
      </c>
      <c r="I487" s="53">
        <v>48</v>
      </c>
      <c r="J487" s="53">
        <v>26</v>
      </c>
      <c r="K487" s="54">
        <v>0.541666666666667</v>
      </c>
    </row>
    <row r="488" spans="1:11">
      <c r="A488" s="46" t="s">
        <v>175</v>
      </c>
      <c r="B488" s="46">
        <v>2025</v>
      </c>
      <c r="C488" s="46" t="s">
        <v>250</v>
      </c>
      <c r="D488" s="46" t="s">
        <v>82</v>
      </c>
      <c r="E488" s="46" t="s">
        <v>83</v>
      </c>
      <c r="F488" s="46" t="s">
        <v>5</v>
      </c>
      <c r="G488" s="46" t="s">
        <v>118</v>
      </c>
      <c r="H488" s="49" t="s">
        <v>159</v>
      </c>
      <c r="I488" s="53">
        <v>48</v>
      </c>
      <c r="J488" s="53">
        <v>89.1</v>
      </c>
      <c r="K488" s="54">
        <v>1.85625</v>
      </c>
    </row>
    <row r="489" spans="1:11">
      <c r="A489" s="46" t="s">
        <v>175</v>
      </c>
      <c r="B489" s="46">
        <v>2025</v>
      </c>
      <c r="C489" s="46" t="s">
        <v>250</v>
      </c>
      <c r="D489" s="46" t="s">
        <v>82</v>
      </c>
      <c r="E489" s="46" t="s">
        <v>83</v>
      </c>
      <c r="F489" s="46" t="s">
        <v>5</v>
      </c>
      <c r="G489" s="46" t="s">
        <v>119</v>
      </c>
      <c r="H489" s="49" t="s">
        <v>159</v>
      </c>
      <c r="I489" s="53">
        <v>48</v>
      </c>
      <c r="J489" s="53">
        <v>26.6</v>
      </c>
      <c r="K489" s="54">
        <v>0.554166666666667</v>
      </c>
    </row>
    <row r="490" spans="1:11">
      <c r="A490" s="46" t="s">
        <v>175</v>
      </c>
      <c r="B490" s="46">
        <v>2025</v>
      </c>
      <c r="C490" s="46" t="s">
        <v>250</v>
      </c>
      <c r="D490" s="46" t="s">
        <v>82</v>
      </c>
      <c r="E490" s="46" t="s">
        <v>83</v>
      </c>
      <c r="F490" s="46" t="s">
        <v>4</v>
      </c>
      <c r="G490" s="46" t="s">
        <v>116</v>
      </c>
      <c r="H490" s="49" t="s">
        <v>159</v>
      </c>
      <c r="I490" s="53">
        <v>36</v>
      </c>
      <c r="J490" s="53">
        <v>27.3</v>
      </c>
      <c r="K490" s="54">
        <v>0.758333333333333</v>
      </c>
    </row>
    <row r="491" spans="1:11">
      <c r="A491" s="46" t="s">
        <v>175</v>
      </c>
      <c r="B491" s="46">
        <v>2025</v>
      </c>
      <c r="C491" s="46" t="s">
        <v>250</v>
      </c>
      <c r="D491" s="46" t="s">
        <v>82</v>
      </c>
      <c r="E491" s="46" t="s">
        <v>83</v>
      </c>
      <c r="F491" s="46" t="s">
        <v>4</v>
      </c>
      <c r="G491" s="46" t="s">
        <v>117</v>
      </c>
      <c r="H491" s="49" t="s">
        <v>159</v>
      </c>
      <c r="I491" s="53">
        <v>36</v>
      </c>
      <c r="J491" s="53">
        <v>19.5</v>
      </c>
      <c r="K491" s="54">
        <v>0.541666666666667</v>
      </c>
    </row>
    <row r="492" spans="1:11">
      <c r="A492" s="46" t="s">
        <v>175</v>
      </c>
      <c r="B492" s="46">
        <v>2025</v>
      </c>
      <c r="C492" s="46" t="s">
        <v>250</v>
      </c>
      <c r="D492" s="46" t="s">
        <v>82</v>
      </c>
      <c r="E492" s="46" t="s">
        <v>83</v>
      </c>
      <c r="F492" s="46" t="s">
        <v>4</v>
      </c>
      <c r="G492" s="46" t="s">
        <v>118</v>
      </c>
      <c r="H492" s="49" t="s">
        <v>159</v>
      </c>
      <c r="I492" s="53">
        <v>36</v>
      </c>
      <c r="J492" s="53">
        <v>58.3</v>
      </c>
      <c r="K492" s="54">
        <v>1.61944444444444</v>
      </c>
    </row>
    <row r="493" spans="1:11">
      <c r="A493" s="46" t="s">
        <v>175</v>
      </c>
      <c r="B493" s="46">
        <v>2025</v>
      </c>
      <c r="C493" s="46" t="s">
        <v>250</v>
      </c>
      <c r="D493" s="46" t="s">
        <v>82</v>
      </c>
      <c r="E493" s="46" t="s">
        <v>83</v>
      </c>
      <c r="F493" s="46" t="s">
        <v>4</v>
      </c>
      <c r="G493" s="46" t="s">
        <v>119</v>
      </c>
      <c r="H493" s="49" t="s">
        <v>159</v>
      </c>
      <c r="I493" s="53">
        <v>36</v>
      </c>
      <c r="J493" s="53">
        <v>12.7</v>
      </c>
      <c r="K493" s="54">
        <v>0.352777777777778</v>
      </c>
    </row>
    <row r="494" spans="1:11">
      <c r="A494" s="46" t="s">
        <v>175</v>
      </c>
      <c r="B494" s="46">
        <v>2025</v>
      </c>
      <c r="C494" s="46" t="s">
        <v>250</v>
      </c>
      <c r="D494" s="46" t="s">
        <v>82</v>
      </c>
      <c r="E494" s="46" t="s">
        <v>83</v>
      </c>
      <c r="F494" s="46" t="s">
        <v>7</v>
      </c>
      <c r="G494" s="46" t="s">
        <v>116</v>
      </c>
      <c r="H494" s="49" t="s">
        <v>159</v>
      </c>
      <c r="I494" s="53">
        <v>55</v>
      </c>
      <c r="J494" s="53">
        <v>41.8</v>
      </c>
      <c r="K494" s="54">
        <v>0.76</v>
      </c>
    </row>
    <row r="495" spans="1:11">
      <c r="A495" s="46" t="s">
        <v>175</v>
      </c>
      <c r="B495" s="46">
        <v>2025</v>
      </c>
      <c r="C495" s="46" t="s">
        <v>250</v>
      </c>
      <c r="D495" s="46" t="s">
        <v>82</v>
      </c>
      <c r="E495" s="46" t="s">
        <v>83</v>
      </c>
      <c r="F495" s="46" t="s">
        <v>7</v>
      </c>
      <c r="G495" s="46" t="s">
        <v>117</v>
      </c>
      <c r="H495" s="49" t="s">
        <v>159</v>
      </c>
      <c r="I495" s="53">
        <v>55</v>
      </c>
      <c r="J495" s="53">
        <v>24.7</v>
      </c>
      <c r="K495" s="54">
        <v>0.449090909090909</v>
      </c>
    </row>
    <row r="496" spans="1:11">
      <c r="A496" s="46" t="s">
        <v>175</v>
      </c>
      <c r="B496" s="46">
        <v>2025</v>
      </c>
      <c r="C496" s="46" t="s">
        <v>250</v>
      </c>
      <c r="D496" s="46" t="s">
        <v>82</v>
      </c>
      <c r="E496" s="46" t="s">
        <v>83</v>
      </c>
      <c r="F496" s="46" t="s">
        <v>7</v>
      </c>
      <c r="G496" s="46" t="s">
        <v>118</v>
      </c>
      <c r="H496" s="49" t="s">
        <v>159</v>
      </c>
      <c r="I496" s="53">
        <v>55</v>
      </c>
      <c r="J496" s="53">
        <v>125.6</v>
      </c>
      <c r="K496" s="54">
        <v>2.28363636363636</v>
      </c>
    </row>
    <row r="497" spans="1:11">
      <c r="A497" s="46" t="s">
        <v>175</v>
      </c>
      <c r="B497" s="46">
        <v>2025</v>
      </c>
      <c r="C497" s="46" t="s">
        <v>250</v>
      </c>
      <c r="D497" s="46" t="s">
        <v>82</v>
      </c>
      <c r="E497" s="46" t="s">
        <v>83</v>
      </c>
      <c r="F497" s="46" t="s">
        <v>7</v>
      </c>
      <c r="G497" s="46" t="s">
        <v>119</v>
      </c>
      <c r="H497" s="49" t="s">
        <v>159</v>
      </c>
      <c r="I497" s="53">
        <v>55</v>
      </c>
      <c r="J497" s="53">
        <v>42.6</v>
      </c>
      <c r="K497" s="54">
        <v>0.774545454545454</v>
      </c>
    </row>
    <row r="498" spans="1:11">
      <c r="A498" s="46" t="s">
        <v>175</v>
      </c>
      <c r="B498" s="46">
        <v>2025</v>
      </c>
      <c r="C498" s="46" t="s">
        <v>250</v>
      </c>
      <c r="D498" s="46" t="s">
        <v>82</v>
      </c>
      <c r="E498" s="46" t="s">
        <v>83</v>
      </c>
      <c r="F498" s="46" t="s">
        <v>8</v>
      </c>
      <c r="G498" s="46" t="s">
        <v>116</v>
      </c>
      <c r="H498" s="49" t="s">
        <v>159</v>
      </c>
      <c r="I498" s="53">
        <v>56</v>
      </c>
      <c r="J498" s="53">
        <v>21.5</v>
      </c>
      <c r="K498" s="54">
        <v>0.383928571428571</v>
      </c>
    </row>
    <row r="499" spans="1:11">
      <c r="A499" s="46" t="s">
        <v>175</v>
      </c>
      <c r="B499" s="46">
        <v>2025</v>
      </c>
      <c r="C499" s="46" t="s">
        <v>250</v>
      </c>
      <c r="D499" s="46" t="s">
        <v>82</v>
      </c>
      <c r="E499" s="46" t="s">
        <v>83</v>
      </c>
      <c r="F499" s="46" t="s">
        <v>8</v>
      </c>
      <c r="G499" s="46" t="s">
        <v>117</v>
      </c>
      <c r="H499" s="49" t="s">
        <v>159</v>
      </c>
      <c r="I499" s="53">
        <v>56</v>
      </c>
      <c r="J499" s="53">
        <v>18.9</v>
      </c>
      <c r="K499" s="54">
        <v>0.3375</v>
      </c>
    </row>
    <row r="500" spans="1:11">
      <c r="A500" s="46" t="s">
        <v>175</v>
      </c>
      <c r="B500" s="46">
        <v>2025</v>
      </c>
      <c r="C500" s="46" t="s">
        <v>250</v>
      </c>
      <c r="D500" s="46" t="s">
        <v>82</v>
      </c>
      <c r="E500" s="46" t="s">
        <v>83</v>
      </c>
      <c r="F500" s="46" t="s">
        <v>8</v>
      </c>
      <c r="G500" s="46" t="s">
        <v>118</v>
      </c>
      <c r="H500" s="49" t="s">
        <v>159</v>
      </c>
      <c r="I500" s="53">
        <v>56</v>
      </c>
      <c r="J500" s="53">
        <v>69.3</v>
      </c>
      <c r="K500" s="54">
        <v>1.2375</v>
      </c>
    </row>
    <row r="501" spans="1:11">
      <c r="A501" s="46" t="s">
        <v>175</v>
      </c>
      <c r="B501" s="46">
        <v>2025</v>
      </c>
      <c r="C501" s="46" t="s">
        <v>250</v>
      </c>
      <c r="D501" s="46" t="s">
        <v>82</v>
      </c>
      <c r="E501" s="46" t="s">
        <v>83</v>
      </c>
      <c r="F501" s="46" t="s">
        <v>8</v>
      </c>
      <c r="G501" s="46" t="s">
        <v>119</v>
      </c>
      <c r="H501" s="49" t="s">
        <v>159</v>
      </c>
      <c r="I501" s="53">
        <v>56</v>
      </c>
      <c r="J501" s="53">
        <v>18.7</v>
      </c>
      <c r="K501" s="54">
        <v>0.333928571428571</v>
      </c>
    </row>
    <row r="502" spans="1:11">
      <c r="A502" s="46" t="s">
        <v>175</v>
      </c>
      <c r="B502" s="46">
        <v>2025</v>
      </c>
      <c r="C502" s="46" t="s">
        <v>250</v>
      </c>
      <c r="D502" s="46" t="s">
        <v>82</v>
      </c>
      <c r="E502" s="46" t="s">
        <v>83</v>
      </c>
      <c r="F502" s="46" t="s">
        <v>6</v>
      </c>
      <c r="G502" s="46" t="s">
        <v>116</v>
      </c>
      <c r="H502" s="49" t="s">
        <v>159</v>
      </c>
      <c r="I502" s="53">
        <v>70</v>
      </c>
      <c r="J502" s="53">
        <v>40.7</v>
      </c>
      <c r="K502" s="54">
        <v>0.581428571428572</v>
      </c>
    </row>
    <row r="503" spans="1:11">
      <c r="A503" s="46" t="s">
        <v>175</v>
      </c>
      <c r="B503" s="46">
        <v>2025</v>
      </c>
      <c r="C503" s="46" t="s">
        <v>250</v>
      </c>
      <c r="D503" s="46" t="s">
        <v>82</v>
      </c>
      <c r="E503" s="46" t="s">
        <v>83</v>
      </c>
      <c r="F503" s="46" t="s">
        <v>6</v>
      </c>
      <c r="G503" s="46" t="s">
        <v>117</v>
      </c>
      <c r="H503" s="49" t="s">
        <v>159</v>
      </c>
      <c r="I503" s="53">
        <v>70</v>
      </c>
      <c r="J503" s="53">
        <v>27.9</v>
      </c>
      <c r="K503" s="54">
        <v>0.398571428571429</v>
      </c>
    </row>
    <row r="504" spans="1:11">
      <c r="A504" s="46" t="s">
        <v>175</v>
      </c>
      <c r="B504" s="46">
        <v>2025</v>
      </c>
      <c r="C504" s="46" t="s">
        <v>250</v>
      </c>
      <c r="D504" s="46" t="s">
        <v>82</v>
      </c>
      <c r="E504" s="46" t="s">
        <v>83</v>
      </c>
      <c r="F504" s="46" t="s">
        <v>6</v>
      </c>
      <c r="G504" s="46" t="s">
        <v>118</v>
      </c>
      <c r="H504" s="49" t="s">
        <v>159</v>
      </c>
      <c r="I504" s="53">
        <v>70</v>
      </c>
      <c r="J504" s="53">
        <v>89.7</v>
      </c>
      <c r="K504" s="54">
        <v>1.28142857142857</v>
      </c>
    </row>
    <row r="505" spans="1:11">
      <c r="A505" s="46" t="s">
        <v>175</v>
      </c>
      <c r="B505" s="46">
        <v>2025</v>
      </c>
      <c r="C505" s="46" t="s">
        <v>250</v>
      </c>
      <c r="D505" s="46" t="s">
        <v>82</v>
      </c>
      <c r="E505" s="46" t="s">
        <v>83</v>
      </c>
      <c r="F505" s="46" t="s">
        <v>6</v>
      </c>
      <c r="G505" s="46" t="s">
        <v>119</v>
      </c>
      <c r="H505" s="49" t="s">
        <v>159</v>
      </c>
      <c r="I505" s="53">
        <v>70</v>
      </c>
      <c r="J505" s="53">
        <v>46.6</v>
      </c>
      <c r="K505" s="54">
        <v>0.665714285714286</v>
      </c>
    </row>
    <row r="506" spans="1:11">
      <c r="A506" s="44" t="s">
        <v>178</v>
      </c>
      <c r="B506" s="44" t="s">
        <v>242</v>
      </c>
      <c r="C506" s="44" t="s">
        <v>251</v>
      </c>
      <c r="D506" s="46" t="s">
        <v>82</v>
      </c>
      <c r="E506" s="46" t="s">
        <v>83</v>
      </c>
      <c r="F506" s="46" t="s">
        <v>3</v>
      </c>
      <c r="G506" s="46" t="s">
        <v>116</v>
      </c>
      <c r="H506" s="49" t="s">
        <v>148</v>
      </c>
      <c r="I506" s="53">
        <v>53</v>
      </c>
      <c r="J506" s="53">
        <v>46.7</v>
      </c>
      <c r="K506" s="54">
        <v>0.881132075471698</v>
      </c>
    </row>
    <row r="507" spans="1:11">
      <c r="A507" s="44" t="s">
        <v>178</v>
      </c>
      <c r="B507" s="44" t="s">
        <v>242</v>
      </c>
      <c r="C507" s="44" t="s">
        <v>251</v>
      </c>
      <c r="D507" s="46" t="s">
        <v>82</v>
      </c>
      <c r="E507" s="46" t="s">
        <v>83</v>
      </c>
      <c r="F507" s="46" t="s">
        <v>3</v>
      </c>
      <c r="G507" s="46" t="s">
        <v>117</v>
      </c>
      <c r="H507" s="49" t="s">
        <v>148</v>
      </c>
      <c r="I507" s="53">
        <v>53</v>
      </c>
      <c r="J507" s="53">
        <v>29.8</v>
      </c>
      <c r="K507" s="54">
        <v>0.562264150943396</v>
      </c>
    </row>
    <row r="508" spans="1:11">
      <c r="A508" s="44" t="s">
        <v>178</v>
      </c>
      <c r="B508" s="44" t="s">
        <v>242</v>
      </c>
      <c r="C508" s="44" t="s">
        <v>251</v>
      </c>
      <c r="D508" s="46" t="s">
        <v>82</v>
      </c>
      <c r="E508" s="46" t="s">
        <v>83</v>
      </c>
      <c r="F508" s="46" t="s">
        <v>3</v>
      </c>
      <c r="G508" s="46" t="s">
        <v>118</v>
      </c>
      <c r="H508" s="49" t="s">
        <v>148</v>
      </c>
      <c r="I508" s="53">
        <v>53</v>
      </c>
      <c r="J508" s="53">
        <v>133.7</v>
      </c>
      <c r="K508" s="54">
        <v>2.52264150943396</v>
      </c>
    </row>
    <row r="509" spans="1:11">
      <c r="A509" s="44" t="s">
        <v>178</v>
      </c>
      <c r="B509" s="44" t="s">
        <v>242</v>
      </c>
      <c r="C509" s="44" t="s">
        <v>251</v>
      </c>
      <c r="D509" s="46" t="s">
        <v>82</v>
      </c>
      <c r="E509" s="46" t="s">
        <v>83</v>
      </c>
      <c r="F509" s="46" t="s">
        <v>3</v>
      </c>
      <c r="G509" s="46" t="s">
        <v>119</v>
      </c>
      <c r="H509" s="49" t="s">
        <v>148</v>
      </c>
      <c r="I509" s="53">
        <v>53</v>
      </c>
      <c r="J509" s="53">
        <v>42.9</v>
      </c>
      <c r="K509" s="54">
        <v>0.809433962264151</v>
      </c>
    </row>
    <row r="510" spans="1:11">
      <c r="A510" s="44" t="s">
        <v>178</v>
      </c>
      <c r="B510" s="44" t="s">
        <v>242</v>
      </c>
      <c r="C510" s="44" t="s">
        <v>251</v>
      </c>
      <c r="D510" s="46" t="s">
        <v>82</v>
      </c>
      <c r="E510" s="46" t="s">
        <v>83</v>
      </c>
      <c r="F510" s="46" t="s">
        <v>9</v>
      </c>
      <c r="G510" s="46" t="s">
        <v>116</v>
      </c>
      <c r="H510" s="49" t="s">
        <v>148</v>
      </c>
      <c r="I510" s="53">
        <v>57</v>
      </c>
      <c r="J510" s="53">
        <v>35.2</v>
      </c>
      <c r="K510" s="54">
        <v>0.617543859649123</v>
      </c>
    </row>
    <row r="511" spans="1:11">
      <c r="A511" s="44" t="s">
        <v>178</v>
      </c>
      <c r="B511" s="44" t="s">
        <v>242</v>
      </c>
      <c r="C511" s="44" t="s">
        <v>251</v>
      </c>
      <c r="D511" s="46" t="s">
        <v>82</v>
      </c>
      <c r="E511" s="46" t="s">
        <v>83</v>
      </c>
      <c r="F511" s="46" t="s">
        <v>9</v>
      </c>
      <c r="G511" s="46" t="s">
        <v>117</v>
      </c>
      <c r="H511" s="49" t="s">
        <v>148</v>
      </c>
      <c r="I511" s="53">
        <v>57</v>
      </c>
      <c r="J511" s="53">
        <v>33.6</v>
      </c>
      <c r="K511" s="54">
        <v>0.589473684210526</v>
      </c>
    </row>
    <row r="512" spans="1:11">
      <c r="A512" s="44" t="s">
        <v>178</v>
      </c>
      <c r="B512" s="44" t="s">
        <v>242</v>
      </c>
      <c r="C512" s="44" t="s">
        <v>251</v>
      </c>
      <c r="D512" s="46" t="s">
        <v>82</v>
      </c>
      <c r="E512" s="46" t="s">
        <v>83</v>
      </c>
      <c r="F512" s="46" t="s">
        <v>9</v>
      </c>
      <c r="G512" s="46" t="s">
        <v>118</v>
      </c>
      <c r="H512" s="49" t="s">
        <v>148</v>
      </c>
      <c r="I512" s="53">
        <v>57</v>
      </c>
      <c r="J512" s="53">
        <v>135.9</v>
      </c>
      <c r="K512" s="54">
        <v>2.38421052631579</v>
      </c>
    </row>
    <row r="513" spans="1:11">
      <c r="A513" s="44" t="s">
        <v>178</v>
      </c>
      <c r="B513" s="44" t="s">
        <v>242</v>
      </c>
      <c r="C513" s="44" t="s">
        <v>251</v>
      </c>
      <c r="D513" s="46" t="s">
        <v>82</v>
      </c>
      <c r="E513" s="46" t="s">
        <v>83</v>
      </c>
      <c r="F513" s="46" t="s">
        <v>9</v>
      </c>
      <c r="G513" s="46" t="s">
        <v>119</v>
      </c>
      <c r="H513" s="49" t="s">
        <v>148</v>
      </c>
      <c r="I513" s="53">
        <v>57</v>
      </c>
      <c r="J513" s="53">
        <v>52.7</v>
      </c>
      <c r="K513" s="54">
        <v>0.924561403508772</v>
      </c>
    </row>
    <row r="514" spans="1:11">
      <c r="A514" s="44" t="s">
        <v>178</v>
      </c>
      <c r="B514" s="44" t="s">
        <v>242</v>
      </c>
      <c r="C514" s="44" t="s">
        <v>251</v>
      </c>
      <c r="D514" s="46" t="s">
        <v>82</v>
      </c>
      <c r="E514" s="46" t="s">
        <v>83</v>
      </c>
      <c r="F514" s="46" t="s">
        <v>5</v>
      </c>
      <c r="G514" s="46" t="s">
        <v>116</v>
      </c>
      <c r="H514" s="49" t="s">
        <v>148</v>
      </c>
      <c r="I514" s="53">
        <v>48</v>
      </c>
      <c r="J514" s="53">
        <v>41</v>
      </c>
      <c r="K514" s="54">
        <v>0.854166666666667</v>
      </c>
    </row>
    <row r="515" spans="1:11">
      <c r="A515" s="44" t="s">
        <v>178</v>
      </c>
      <c r="B515" s="44" t="s">
        <v>242</v>
      </c>
      <c r="C515" s="44" t="s">
        <v>251</v>
      </c>
      <c r="D515" s="46" t="s">
        <v>82</v>
      </c>
      <c r="E515" s="46" t="s">
        <v>83</v>
      </c>
      <c r="F515" s="46" t="s">
        <v>5</v>
      </c>
      <c r="G515" s="46" t="s">
        <v>117</v>
      </c>
      <c r="H515" s="49" t="s">
        <v>148</v>
      </c>
      <c r="I515" s="53">
        <v>48</v>
      </c>
      <c r="J515" s="53">
        <v>38.3</v>
      </c>
      <c r="K515" s="54">
        <v>0.797916666666667</v>
      </c>
    </row>
    <row r="516" spans="1:11">
      <c r="A516" s="44" t="s">
        <v>178</v>
      </c>
      <c r="B516" s="44" t="s">
        <v>242</v>
      </c>
      <c r="C516" s="44" t="s">
        <v>251</v>
      </c>
      <c r="D516" s="46" t="s">
        <v>82</v>
      </c>
      <c r="E516" s="46" t="s">
        <v>83</v>
      </c>
      <c r="F516" s="46" t="s">
        <v>5</v>
      </c>
      <c r="G516" s="46" t="s">
        <v>118</v>
      </c>
      <c r="H516" s="49" t="s">
        <v>148</v>
      </c>
      <c r="I516" s="53">
        <v>48</v>
      </c>
      <c r="J516" s="53">
        <v>128.6</v>
      </c>
      <c r="K516" s="54">
        <v>2.67916666666667</v>
      </c>
    </row>
    <row r="517" spans="1:11">
      <c r="A517" s="44" t="s">
        <v>178</v>
      </c>
      <c r="B517" s="44" t="s">
        <v>242</v>
      </c>
      <c r="C517" s="44" t="s">
        <v>251</v>
      </c>
      <c r="D517" s="46" t="s">
        <v>82</v>
      </c>
      <c r="E517" s="46" t="s">
        <v>83</v>
      </c>
      <c r="F517" s="46" t="s">
        <v>5</v>
      </c>
      <c r="G517" s="46" t="s">
        <v>119</v>
      </c>
      <c r="H517" s="49" t="s">
        <v>148</v>
      </c>
      <c r="I517" s="53">
        <v>48</v>
      </c>
      <c r="J517" s="53">
        <v>38.8</v>
      </c>
      <c r="K517" s="54">
        <v>0.808333333333333</v>
      </c>
    </row>
    <row r="518" spans="1:11">
      <c r="A518" s="44" t="s">
        <v>178</v>
      </c>
      <c r="B518" s="44" t="s">
        <v>242</v>
      </c>
      <c r="C518" s="44" t="s">
        <v>251</v>
      </c>
      <c r="D518" s="46" t="s">
        <v>82</v>
      </c>
      <c r="E518" s="46" t="s">
        <v>83</v>
      </c>
      <c r="F518" s="46" t="s">
        <v>4</v>
      </c>
      <c r="G518" s="46" t="s">
        <v>116</v>
      </c>
      <c r="H518" s="49" t="s">
        <v>148</v>
      </c>
      <c r="I518" s="53">
        <v>36</v>
      </c>
      <c r="J518" s="53">
        <v>22.5</v>
      </c>
      <c r="K518" s="54">
        <v>0.625</v>
      </c>
    </row>
    <row r="519" spans="1:11">
      <c r="A519" s="44" t="s">
        <v>178</v>
      </c>
      <c r="B519" s="44" t="s">
        <v>242</v>
      </c>
      <c r="C519" s="44" t="s">
        <v>251</v>
      </c>
      <c r="D519" s="46" t="s">
        <v>82</v>
      </c>
      <c r="E519" s="46" t="s">
        <v>83</v>
      </c>
      <c r="F519" s="46" t="s">
        <v>4</v>
      </c>
      <c r="G519" s="46" t="s">
        <v>117</v>
      </c>
      <c r="H519" s="49" t="s">
        <v>148</v>
      </c>
      <c r="I519" s="53">
        <v>36</v>
      </c>
      <c r="J519" s="53">
        <v>18</v>
      </c>
      <c r="K519" s="54">
        <v>0.5</v>
      </c>
    </row>
    <row r="520" spans="1:11">
      <c r="A520" s="44" t="s">
        <v>178</v>
      </c>
      <c r="B520" s="44" t="s">
        <v>242</v>
      </c>
      <c r="C520" s="44" t="s">
        <v>251</v>
      </c>
      <c r="D520" s="46" t="s">
        <v>82</v>
      </c>
      <c r="E520" s="46" t="s">
        <v>83</v>
      </c>
      <c r="F520" s="46" t="s">
        <v>4</v>
      </c>
      <c r="G520" s="46" t="s">
        <v>118</v>
      </c>
      <c r="H520" s="49" t="s">
        <v>148</v>
      </c>
      <c r="I520" s="53">
        <v>36</v>
      </c>
      <c r="J520" s="53">
        <v>71.9</v>
      </c>
      <c r="K520" s="54">
        <v>1.99722222222222</v>
      </c>
    </row>
    <row r="521" spans="1:11">
      <c r="A521" s="44" t="s">
        <v>178</v>
      </c>
      <c r="B521" s="44" t="s">
        <v>242</v>
      </c>
      <c r="C521" s="44" t="s">
        <v>251</v>
      </c>
      <c r="D521" s="46" t="s">
        <v>82</v>
      </c>
      <c r="E521" s="46" t="s">
        <v>83</v>
      </c>
      <c r="F521" s="46" t="s">
        <v>4</v>
      </c>
      <c r="G521" s="46" t="s">
        <v>119</v>
      </c>
      <c r="H521" s="49" t="s">
        <v>148</v>
      </c>
      <c r="I521" s="53">
        <v>36</v>
      </c>
      <c r="J521" s="53">
        <v>22.3</v>
      </c>
      <c r="K521" s="54">
        <v>0.619444444444444</v>
      </c>
    </row>
    <row r="522" spans="1:11">
      <c r="A522" s="44" t="s">
        <v>178</v>
      </c>
      <c r="B522" s="44" t="s">
        <v>242</v>
      </c>
      <c r="C522" s="44" t="s">
        <v>251</v>
      </c>
      <c r="D522" s="46" t="s">
        <v>82</v>
      </c>
      <c r="E522" s="46" t="s">
        <v>83</v>
      </c>
      <c r="F522" s="46" t="s">
        <v>7</v>
      </c>
      <c r="G522" s="46" t="s">
        <v>116</v>
      </c>
      <c r="H522" s="49" t="s">
        <v>148</v>
      </c>
      <c r="I522" s="53">
        <v>55</v>
      </c>
      <c r="J522" s="53">
        <v>51</v>
      </c>
      <c r="K522" s="54">
        <v>0.927272727272727</v>
      </c>
    </row>
    <row r="523" spans="1:11">
      <c r="A523" s="44" t="s">
        <v>178</v>
      </c>
      <c r="B523" s="44" t="s">
        <v>242</v>
      </c>
      <c r="C523" s="44" t="s">
        <v>251</v>
      </c>
      <c r="D523" s="46" t="s">
        <v>82</v>
      </c>
      <c r="E523" s="46" t="s">
        <v>83</v>
      </c>
      <c r="F523" s="46" t="s">
        <v>7</v>
      </c>
      <c r="G523" s="46" t="s">
        <v>117</v>
      </c>
      <c r="H523" s="49" t="s">
        <v>148</v>
      </c>
      <c r="I523" s="53">
        <v>55</v>
      </c>
      <c r="J523" s="53">
        <v>33.6</v>
      </c>
      <c r="K523" s="54">
        <v>0.610909090909091</v>
      </c>
    </row>
    <row r="524" spans="1:11">
      <c r="A524" s="44" t="s">
        <v>178</v>
      </c>
      <c r="B524" s="44" t="s">
        <v>242</v>
      </c>
      <c r="C524" s="44" t="s">
        <v>251</v>
      </c>
      <c r="D524" s="46" t="s">
        <v>82</v>
      </c>
      <c r="E524" s="46" t="s">
        <v>83</v>
      </c>
      <c r="F524" s="46" t="s">
        <v>7</v>
      </c>
      <c r="G524" s="46" t="s">
        <v>118</v>
      </c>
      <c r="H524" s="49" t="s">
        <v>148</v>
      </c>
      <c r="I524" s="53">
        <v>55</v>
      </c>
      <c r="J524" s="53">
        <v>152</v>
      </c>
      <c r="K524" s="54">
        <v>2.76363636363636</v>
      </c>
    </row>
    <row r="525" spans="1:11">
      <c r="A525" s="44" t="s">
        <v>178</v>
      </c>
      <c r="B525" s="44" t="s">
        <v>242</v>
      </c>
      <c r="C525" s="44" t="s">
        <v>251</v>
      </c>
      <c r="D525" s="46" t="s">
        <v>82</v>
      </c>
      <c r="E525" s="46" t="s">
        <v>83</v>
      </c>
      <c r="F525" s="46" t="s">
        <v>7</v>
      </c>
      <c r="G525" s="46" t="s">
        <v>119</v>
      </c>
      <c r="H525" s="49" t="s">
        <v>148</v>
      </c>
      <c r="I525" s="53">
        <v>55</v>
      </c>
      <c r="J525" s="53">
        <v>65.6</v>
      </c>
      <c r="K525" s="54">
        <v>1.19272727272727</v>
      </c>
    </row>
    <row r="526" spans="1:11">
      <c r="A526" s="44" t="s">
        <v>178</v>
      </c>
      <c r="B526" s="44" t="s">
        <v>242</v>
      </c>
      <c r="C526" s="44" t="s">
        <v>251</v>
      </c>
      <c r="D526" s="46" t="s">
        <v>82</v>
      </c>
      <c r="E526" s="46" t="s">
        <v>83</v>
      </c>
      <c r="F526" s="46" t="s">
        <v>8</v>
      </c>
      <c r="G526" s="46" t="s">
        <v>116</v>
      </c>
      <c r="H526" s="49" t="s">
        <v>148</v>
      </c>
      <c r="I526" s="53">
        <v>56</v>
      </c>
      <c r="J526" s="53">
        <v>48.3</v>
      </c>
      <c r="K526" s="54">
        <v>0.8625</v>
      </c>
    </row>
    <row r="527" spans="1:11">
      <c r="A527" s="44" t="s">
        <v>178</v>
      </c>
      <c r="B527" s="44" t="s">
        <v>242</v>
      </c>
      <c r="C527" s="44" t="s">
        <v>251</v>
      </c>
      <c r="D527" s="46" t="s">
        <v>82</v>
      </c>
      <c r="E527" s="46" t="s">
        <v>83</v>
      </c>
      <c r="F527" s="46" t="s">
        <v>8</v>
      </c>
      <c r="G527" s="46" t="s">
        <v>117</v>
      </c>
      <c r="H527" s="49" t="s">
        <v>148</v>
      </c>
      <c r="I527" s="53">
        <v>56</v>
      </c>
      <c r="J527" s="53">
        <v>24.6</v>
      </c>
      <c r="K527" s="54">
        <v>0.439285714285714</v>
      </c>
    </row>
    <row r="528" spans="1:11">
      <c r="A528" s="44" t="s">
        <v>178</v>
      </c>
      <c r="B528" s="44" t="s">
        <v>242</v>
      </c>
      <c r="C528" s="44" t="s">
        <v>251</v>
      </c>
      <c r="D528" s="46" t="s">
        <v>82</v>
      </c>
      <c r="E528" s="46" t="s">
        <v>83</v>
      </c>
      <c r="F528" s="46" t="s">
        <v>8</v>
      </c>
      <c r="G528" s="46" t="s">
        <v>118</v>
      </c>
      <c r="H528" s="49" t="s">
        <v>148</v>
      </c>
      <c r="I528" s="53">
        <v>56</v>
      </c>
      <c r="J528" s="53">
        <v>122.4</v>
      </c>
      <c r="K528" s="54">
        <v>2.18571428571429</v>
      </c>
    </row>
    <row r="529" spans="1:11">
      <c r="A529" s="44" t="s">
        <v>178</v>
      </c>
      <c r="B529" s="44" t="s">
        <v>242</v>
      </c>
      <c r="C529" s="44" t="s">
        <v>251</v>
      </c>
      <c r="D529" s="46" t="s">
        <v>82</v>
      </c>
      <c r="E529" s="46" t="s">
        <v>83</v>
      </c>
      <c r="F529" s="46" t="s">
        <v>8</v>
      </c>
      <c r="G529" s="46" t="s">
        <v>119</v>
      </c>
      <c r="H529" s="49" t="s">
        <v>148</v>
      </c>
      <c r="I529" s="53">
        <v>56</v>
      </c>
      <c r="J529" s="53">
        <v>43.5</v>
      </c>
      <c r="K529" s="54">
        <v>0.776785714285714</v>
      </c>
    </row>
    <row r="530" spans="1:11">
      <c r="A530" s="44" t="s">
        <v>178</v>
      </c>
      <c r="B530" s="44" t="s">
        <v>242</v>
      </c>
      <c r="C530" s="44" t="s">
        <v>251</v>
      </c>
      <c r="D530" s="46" t="s">
        <v>82</v>
      </c>
      <c r="E530" s="46" t="s">
        <v>83</v>
      </c>
      <c r="F530" s="46" t="s">
        <v>6</v>
      </c>
      <c r="G530" s="46" t="s">
        <v>116</v>
      </c>
      <c r="H530" s="49" t="s">
        <v>148</v>
      </c>
      <c r="I530" s="53">
        <v>70</v>
      </c>
      <c r="J530" s="53">
        <v>54</v>
      </c>
      <c r="K530" s="54">
        <v>0.771428571428571</v>
      </c>
    </row>
    <row r="531" spans="1:11">
      <c r="A531" s="44" t="s">
        <v>178</v>
      </c>
      <c r="B531" s="44" t="s">
        <v>242</v>
      </c>
      <c r="C531" s="44" t="s">
        <v>251</v>
      </c>
      <c r="D531" s="46" t="s">
        <v>82</v>
      </c>
      <c r="E531" s="46" t="s">
        <v>83</v>
      </c>
      <c r="F531" s="46" t="s">
        <v>6</v>
      </c>
      <c r="G531" s="46" t="s">
        <v>117</v>
      </c>
      <c r="H531" s="49" t="s">
        <v>148</v>
      </c>
      <c r="I531" s="53">
        <v>70</v>
      </c>
      <c r="J531" s="53">
        <v>35.1</v>
      </c>
      <c r="K531" s="54">
        <v>0.501428571428571</v>
      </c>
    </row>
    <row r="532" spans="1:11">
      <c r="A532" s="44" t="s">
        <v>178</v>
      </c>
      <c r="B532" s="44" t="s">
        <v>242</v>
      </c>
      <c r="C532" s="44" t="s">
        <v>251</v>
      </c>
      <c r="D532" s="46" t="s">
        <v>82</v>
      </c>
      <c r="E532" s="46" t="s">
        <v>83</v>
      </c>
      <c r="F532" s="46" t="s">
        <v>6</v>
      </c>
      <c r="G532" s="46" t="s">
        <v>118</v>
      </c>
      <c r="H532" s="49" t="s">
        <v>148</v>
      </c>
      <c r="I532" s="53">
        <v>70</v>
      </c>
      <c r="J532" s="53">
        <v>163</v>
      </c>
      <c r="K532" s="54">
        <v>2.32857142857143</v>
      </c>
    </row>
    <row r="533" spans="1:11">
      <c r="A533" s="44" t="s">
        <v>178</v>
      </c>
      <c r="B533" s="44" t="s">
        <v>242</v>
      </c>
      <c r="C533" s="44" t="s">
        <v>251</v>
      </c>
      <c r="D533" s="46" t="s">
        <v>82</v>
      </c>
      <c r="E533" s="46" t="s">
        <v>83</v>
      </c>
      <c r="F533" s="46" t="s">
        <v>6</v>
      </c>
      <c r="G533" s="46" t="s">
        <v>119</v>
      </c>
      <c r="H533" s="49" t="s">
        <v>148</v>
      </c>
      <c r="I533" s="53">
        <v>70</v>
      </c>
      <c r="J533" s="53">
        <v>70.8</v>
      </c>
      <c r="K533" s="54">
        <v>1.01142857142857</v>
      </c>
    </row>
    <row r="534" spans="1:11">
      <c r="A534" s="46" t="s">
        <v>191</v>
      </c>
      <c r="B534" s="46" t="s">
        <v>243</v>
      </c>
      <c r="C534" s="46" t="s">
        <v>251</v>
      </c>
      <c r="D534" s="46" t="s">
        <v>82</v>
      </c>
      <c r="E534" s="46" t="s">
        <v>83</v>
      </c>
      <c r="F534" s="46" t="s">
        <v>3</v>
      </c>
      <c r="G534" s="46" t="s">
        <v>116</v>
      </c>
      <c r="H534" s="49" t="s">
        <v>148</v>
      </c>
      <c r="I534" s="53">
        <v>53</v>
      </c>
      <c r="J534" s="53">
        <v>41</v>
      </c>
      <c r="K534" s="54">
        <v>0.773584905660377</v>
      </c>
    </row>
    <row r="535" spans="1:11">
      <c r="A535" s="46" t="s">
        <v>191</v>
      </c>
      <c r="B535" s="46" t="s">
        <v>243</v>
      </c>
      <c r="C535" s="46" t="s">
        <v>251</v>
      </c>
      <c r="D535" s="46" t="s">
        <v>82</v>
      </c>
      <c r="E535" s="46" t="s">
        <v>83</v>
      </c>
      <c r="F535" s="46" t="s">
        <v>3</v>
      </c>
      <c r="G535" s="46" t="s">
        <v>117</v>
      </c>
      <c r="H535" s="49" t="s">
        <v>148</v>
      </c>
      <c r="I535" s="53">
        <v>53</v>
      </c>
      <c r="J535" s="53">
        <v>17</v>
      </c>
      <c r="K535" s="54">
        <v>0.320754716981132</v>
      </c>
    </row>
    <row r="536" spans="1:11">
      <c r="A536" s="46" t="s">
        <v>191</v>
      </c>
      <c r="B536" s="46" t="s">
        <v>243</v>
      </c>
      <c r="C536" s="46" t="s">
        <v>251</v>
      </c>
      <c r="D536" s="46" t="s">
        <v>82</v>
      </c>
      <c r="E536" s="46" t="s">
        <v>83</v>
      </c>
      <c r="F536" s="46" t="s">
        <v>3</v>
      </c>
      <c r="G536" s="46" t="s">
        <v>118</v>
      </c>
      <c r="H536" s="49" t="s">
        <v>148</v>
      </c>
      <c r="I536" s="53">
        <v>53</v>
      </c>
      <c r="J536" s="53">
        <v>121</v>
      </c>
      <c r="K536" s="54">
        <v>2.28301886792453</v>
      </c>
    </row>
    <row r="537" spans="1:11">
      <c r="A537" s="46" t="s">
        <v>191</v>
      </c>
      <c r="B537" s="46" t="s">
        <v>243</v>
      </c>
      <c r="C537" s="46" t="s">
        <v>251</v>
      </c>
      <c r="D537" s="46" t="s">
        <v>82</v>
      </c>
      <c r="E537" s="46" t="s">
        <v>83</v>
      </c>
      <c r="F537" s="46" t="s">
        <v>3</v>
      </c>
      <c r="G537" s="46" t="s">
        <v>119</v>
      </c>
      <c r="H537" s="49" t="s">
        <v>148</v>
      </c>
      <c r="I537" s="53">
        <v>53</v>
      </c>
      <c r="J537" s="53">
        <v>53</v>
      </c>
      <c r="K537" s="54">
        <v>1</v>
      </c>
    </row>
    <row r="538" spans="1:11">
      <c r="A538" s="46" t="s">
        <v>191</v>
      </c>
      <c r="B538" s="46" t="s">
        <v>243</v>
      </c>
      <c r="C538" s="46" t="s">
        <v>251</v>
      </c>
      <c r="D538" s="46" t="s">
        <v>82</v>
      </c>
      <c r="E538" s="46" t="s">
        <v>83</v>
      </c>
      <c r="F538" s="46" t="s">
        <v>9</v>
      </c>
      <c r="G538" s="46" t="s">
        <v>116</v>
      </c>
      <c r="H538" s="49" t="s">
        <v>148</v>
      </c>
      <c r="I538" s="53">
        <v>57</v>
      </c>
      <c r="J538" s="53">
        <v>29</v>
      </c>
      <c r="K538" s="54">
        <v>0.508771929824561</v>
      </c>
    </row>
    <row r="539" spans="1:11">
      <c r="A539" s="46" t="s">
        <v>191</v>
      </c>
      <c r="B539" s="46" t="s">
        <v>243</v>
      </c>
      <c r="C539" s="46" t="s">
        <v>251</v>
      </c>
      <c r="D539" s="46" t="s">
        <v>82</v>
      </c>
      <c r="E539" s="46" t="s">
        <v>83</v>
      </c>
      <c r="F539" s="46" t="s">
        <v>9</v>
      </c>
      <c r="G539" s="46" t="s">
        <v>117</v>
      </c>
      <c r="H539" s="49" t="s">
        <v>148</v>
      </c>
      <c r="I539" s="53">
        <v>57</v>
      </c>
      <c r="J539" s="53">
        <v>38</v>
      </c>
      <c r="K539" s="54">
        <v>0.666666666666667</v>
      </c>
    </row>
    <row r="540" spans="1:11">
      <c r="A540" s="46" t="s">
        <v>191</v>
      </c>
      <c r="B540" s="46" t="s">
        <v>243</v>
      </c>
      <c r="C540" s="46" t="s">
        <v>251</v>
      </c>
      <c r="D540" s="46" t="s">
        <v>82</v>
      </c>
      <c r="E540" s="46" t="s">
        <v>83</v>
      </c>
      <c r="F540" s="46" t="s">
        <v>9</v>
      </c>
      <c r="G540" s="46" t="s">
        <v>118</v>
      </c>
      <c r="H540" s="49" t="s">
        <v>148</v>
      </c>
      <c r="I540" s="53">
        <v>57</v>
      </c>
      <c r="J540" s="53">
        <v>132</v>
      </c>
      <c r="K540" s="54">
        <v>2.31578947368421</v>
      </c>
    </row>
    <row r="541" spans="1:11">
      <c r="A541" s="46" t="s">
        <v>191</v>
      </c>
      <c r="B541" s="46" t="s">
        <v>243</v>
      </c>
      <c r="C541" s="46" t="s">
        <v>251</v>
      </c>
      <c r="D541" s="46" t="s">
        <v>82</v>
      </c>
      <c r="E541" s="46" t="s">
        <v>83</v>
      </c>
      <c r="F541" s="46" t="s">
        <v>9</v>
      </c>
      <c r="G541" s="46" t="s">
        <v>119</v>
      </c>
      <c r="H541" s="49" t="s">
        <v>148</v>
      </c>
      <c r="I541" s="53">
        <v>57</v>
      </c>
      <c r="J541" s="53">
        <v>12</v>
      </c>
      <c r="K541" s="54">
        <v>0.210526315789474</v>
      </c>
    </row>
    <row r="542" spans="1:11">
      <c r="A542" s="46" t="s">
        <v>191</v>
      </c>
      <c r="B542" s="46" t="s">
        <v>243</v>
      </c>
      <c r="C542" s="46" t="s">
        <v>251</v>
      </c>
      <c r="D542" s="46" t="s">
        <v>82</v>
      </c>
      <c r="E542" s="46" t="s">
        <v>83</v>
      </c>
      <c r="F542" s="46" t="s">
        <v>5</v>
      </c>
      <c r="G542" s="46" t="s">
        <v>116</v>
      </c>
      <c r="H542" s="49" t="s">
        <v>148</v>
      </c>
      <c r="I542" s="53">
        <v>48</v>
      </c>
      <c r="J542" s="53">
        <v>105</v>
      </c>
      <c r="K542" s="54">
        <v>2.1875</v>
      </c>
    </row>
    <row r="543" spans="1:11">
      <c r="A543" s="46" t="s">
        <v>191</v>
      </c>
      <c r="B543" s="46" t="s">
        <v>243</v>
      </c>
      <c r="C543" s="46" t="s">
        <v>251</v>
      </c>
      <c r="D543" s="46" t="s">
        <v>82</v>
      </c>
      <c r="E543" s="46" t="s">
        <v>83</v>
      </c>
      <c r="F543" s="46" t="s">
        <v>5</v>
      </c>
      <c r="G543" s="46" t="s">
        <v>117</v>
      </c>
      <c r="H543" s="49" t="s">
        <v>148</v>
      </c>
      <c r="I543" s="53">
        <v>48</v>
      </c>
      <c r="J543" s="53">
        <v>90</v>
      </c>
      <c r="K543" s="54">
        <v>1.875</v>
      </c>
    </row>
    <row r="544" spans="1:11">
      <c r="A544" s="46" t="s">
        <v>191</v>
      </c>
      <c r="B544" s="46" t="s">
        <v>243</v>
      </c>
      <c r="C544" s="46" t="s">
        <v>251</v>
      </c>
      <c r="D544" s="46" t="s">
        <v>82</v>
      </c>
      <c r="E544" s="46" t="s">
        <v>83</v>
      </c>
      <c r="F544" s="46" t="s">
        <v>5</v>
      </c>
      <c r="G544" s="46" t="s">
        <v>118</v>
      </c>
      <c r="H544" s="49" t="s">
        <v>148</v>
      </c>
      <c r="I544" s="53">
        <v>48</v>
      </c>
      <c r="J544" s="53">
        <v>140</v>
      </c>
      <c r="K544" s="54">
        <v>2.91666666666667</v>
      </c>
    </row>
    <row r="545" spans="1:11">
      <c r="A545" s="46" t="s">
        <v>191</v>
      </c>
      <c r="B545" s="46" t="s">
        <v>243</v>
      </c>
      <c r="C545" s="46" t="s">
        <v>251</v>
      </c>
      <c r="D545" s="46" t="s">
        <v>82</v>
      </c>
      <c r="E545" s="46" t="s">
        <v>83</v>
      </c>
      <c r="F545" s="46" t="s">
        <v>5</v>
      </c>
      <c r="G545" s="46" t="s">
        <v>119</v>
      </c>
      <c r="H545" s="49" t="s">
        <v>148</v>
      </c>
      <c r="I545" s="53">
        <v>48</v>
      </c>
      <c r="J545" s="53">
        <v>47</v>
      </c>
      <c r="K545" s="54">
        <v>0.979166666666667</v>
      </c>
    </row>
    <row r="546" spans="1:11">
      <c r="A546" s="46" t="s">
        <v>191</v>
      </c>
      <c r="B546" s="46" t="s">
        <v>243</v>
      </c>
      <c r="C546" s="46" t="s">
        <v>251</v>
      </c>
      <c r="D546" s="46" t="s">
        <v>82</v>
      </c>
      <c r="E546" s="46" t="s">
        <v>83</v>
      </c>
      <c r="F546" s="46" t="s">
        <v>4</v>
      </c>
      <c r="G546" s="46" t="s">
        <v>116</v>
      </c>
      <c r="H546" s="49" t="s">
        <v>148</v>
      </c>
      <c r="I546" s="53">
        <v>36</v>
      </c>
      <c r="J546" s="53">
        <v>30</v>
      </c>
      <c r="K546" s="54">
        <v>0.833333333333333</v>
      </c>
    </row>
    <row r="547" spans="1:11">
      <c r="A547" s="46" t="s">
        <v>191</v>
      </c>
      <c r="B547" s="46" t="s">
        <v>243</v>
      </c>
      <c r="C547" s="46" t="s">
        <v>251</v>
      </c>
      <c r="D547" s="46" t="s">
        <v>82</v>
      </c>
      <c r="E547" s="46" t="s">
        <v>83</v>
      </c>
      <c r="F547" s="46" t="s">
        <v>4</v>
      </c>
      <c r="G547" s="46" t="s">
        <v>117</v>
      </c>
      <c r="H547" s="49" t="s">
        <v>148</v>
      </c>
      <c r="I547" s="53">
        <v>36</v>
      </c>
      <c r="J547" s="53">
        <v>11</v>
      </c>
      <c r="K547" s="54">
        <v>0.305555555555556</v>
      </c>
    </row>
    <row r="548" spans="1:11">
      <c r="A548" s="46" t="s">
        <v>191</v>
      </c>
      <c r="B548" s="46" t="s">
        <v>243</v>
      </c>
      <c r="C548" s="46" t="s">
        <v>251</v>
      </c>
      <c r="D548" s="46" t="s">
        <v>82</v>
      </c>
      <c r="E548" s="46" t="s">
        <v>83</v>
      </c>
      <c r="F548" s="46" t="s">
        <v>4</v>
      </c>
      <c r="G548" s="46" t="s">
        <v>118</v>
      </c>
      <c r="H548" s="49" t="s">
        <v>148</v>
      </c>
      <c r="I548" s="53">
        <v>36</v>
      </c>
      <c r="J548" s="53">
        <v>84</v>
      </c>
      <c r="K548" s="54">
        <v>2.33333333333333</v>
      </c>
    </row>
    <row r="549" spans="1:11">
      <c r="A549" s="46" t="s">
        <v>191</v>
      </c>
      <c r="B549" s="46" t="s">
        <v>243</v>
      </c>
      <c r="C549" s="46" t="s">
        <v>251</v>
      </c>
      <c r="D549" s="46" t="s">
        <v>82</v>
      </c>
      <c r="E549" s="46" t="s">
        <v>83</v>
      </c>
      <c r="F549" s="46" t="s">
        <v>4</v>
      </c>
      <c r="G549" s="46" t="s">
        <v>119</v>
      </c>
      <c r="H549" s="49" t="s">
        <v>148</v>
      </c>
      <c r="I549" s="53">
        <v>36</v>
      </c>
      <c r="J549" s="53">
        <v>31</v>
      </c>
      <c r="K549" s="54">
        <v>0.861111111111111</v>
      </c>
    </row>
    <row r="550" spans="1:11">
      <c r="A550" s="46" t="s">
        <v>191</v>
      </c>
      <c r="B550" s="46" t="s">
        <v>243</v>
      </c>
      <c r="C550" s="46" t="s">
        <v>251</v>
      </c>
      <c r="D550" s="46" t="s">
        <v>82</v>
      </c>
      <c r="E550" s="46" t="s">
        <v>83</v>
      </c>
      <c r="F550" s="46" t="s">
        <v>7</v>
      </c>
      <c r="G550" s="46" t="s">
        <v>116</v>
      </c>
      <c r="H550" s="49" t="s">
        <v>148</v>
      </c>
      <c r="I550" s="53">
        <v>55</v>
      </c>
      <c r="J550" s="53">
        <v>49</v>
      </c>
      <c r="K550" s="54">
        <v>0.890909090909091</v>
      </c>
    </row>
    <row r="551" spans="1:11">
      <c r="A551" s="46" t="s">
        <v>191</v>
      </c>
      <c r="B551" s="46" t="s">
        <v>243</v>
      </c>
      <c r="C551" s="46" t="s">
        <v>251</v>
      </c>
      <c r="D551" s="46" t="s">
        <v>82</v>
      </c>
      <c r="E551" s="46" t="s">
        <v>83</v>
      </c>
      <c r="F551" s="46" t="s">
        <v>7</v>
      </c>
      <c r="G551" s="46" t="s">
        <v>117</v>
      </c>
      <c r="H551" s="49" t="s">
        <v>148</v>
      </c>
      <c r="I551" s="53">
        <v>55</v>
      </c>
      <c r="J551" s="53">
        <v>63</v>
      </c>
      <c r="K551" s="54">
        <v>1.14545454545455</v>
      </c>
    </row>
    <row r="552" spans="1:11">
      <c r="A552" s="46" t="s">
        <v>191</v>
      </c>
      <c r="B552" s="46" t="s">
        <v>243</v>
      </c>
      <c r="C552" s="46" t="s">
        <v>251</v>
      </c>
      <c r="D552" s="46" t="s">
        <v>82</v>
      </c>
      <c r="E552" s="46" t="s">
        <v>83</v>
      </c>
      <c r="F552" s="46" t="s">
        <v>7</v>
      </c>
      <c r="G552" s="46" t="s">
        <v>118</v>
      </c>
      <c r="H552" s="49" t="s">
        <v>148</v>
      </c>
      <c r="I552" s="53">
        <v>55</v>
      </c>
      <c r="J552" s="53">
        <v>148</v>
      </c>
      <c r="K552" s="54">
        <v>2.69090909090909</v>
      </c>
    </row>
    <row r="553" spans="1:11">
      <c r="A553" s="46" t="s">
        <v>191</v>
      </c>
      <c r="B553" s="46" t="s">
        <v>243</v>
      </c>
      <c r="C553" s="46" t="s">
        <v>251</v>
      </c>
      <c r="D553" s="46" t="s">
        <v>82</v>
      </c>
      <c r="E553" s="46" t="s">
        <v>83</v>
      </c>
      <c r="F553" s="46" t="s">
        <v>7</v>
      </c>
      <c r="G553" s="46" t="s">
        <v>119</v>
      </c>
      <c r="H553" s="49" t="s">
        <v>148</v>
      </c>
      <c r="I553" s="53">
        <v>55</v>
      </c>
      <c r="J553" s="53">
        <v>58</v>
      </c>
      <c r="K553" s="54">
        <v>1.05454545454545</v>
      </c>
    </row>
    <row r="554" spans="1:11">
      <c r="A554" s="46" t="s">
        <v>191</v>
      </c>
      <c r="B554" s="46" t="s">
        <v>243</v>
      </c>
      <c r="C554" s="46" t="s">
        <v>251</v>
      </c>
      <c r="D554" s="46" t="s">
        <v>82</v>
      </c>
      <c r="E554" s="46" t="s">
        <v>83</v>
      </c>
      <c r="F554" s="46" t="s">
        <v>8</v>
      </c>
      <c r="G554" s="46" t="s">
        <v>116</v>
      </c>
      <c r="H554" s="49" t="s">
        <v>148</v>
      </c>
      <c r="I554" s="53">
        <v>56</v>
      </c>
      <c r="J554" s="53">
        <v>29</v>
      </c>
      <c r="K554" s="54">
        <v>0.517857142857143</v>
      </c>
    </row>
    <row r="555" spans="1:11">
      <c r="A555" s="46" t="s">
        <v>191</v>
      </c>
      <c r="B555" s="46" t="s">
        <v>243</v>
      </c>
      <c r="C555" s="46" t="s">
        <v>251</v>
      </c>
      <c r="D555" s="46" t="s">
        <v>82</v>
      </c>
      <c r="E555" s="46" t="s">
        <v>83</v>
      </c>
      <c r="F555" s="46" t="s">
        <v>8</v>
      </c>
      <c r="G555" s="46" t="s">
        <v>117</v>
      </c>
      <c r="H555" s="49" t="s">
        <v>148</v>
      </c>
      <c r="I555" s="53">
        <v>56</v>
      </c>
      <c r="J555" s="53">
        <v>16</v>
      </c>
      <c r="K555" s="54">
        <v>0.285714285714286</v>
      </c>
    </row>
    <row r="556" spans="1:11">
      <c r="A556" s="46" t="s">
        <v>191</v>
      </c>
      <c r="B556" s="46" t="s">
        <v>243</v>
      </c>
      <c r="C556" s="46" t="s">
        <v>251</v>
      </c>
      <c r="D556" s="46" t="s">
        <v>82</v>
      </c>
      <c r="E556" s="46" t="s">
        <v>83</v>
      </c>
      <c r="F556" s="46" t="s">
        <v>8</v>
      </c>
      <c r="G556" s="46" t="s">
        <v>118</v>
      </c>
      <c r="H556" s="49" t="s">
        <v>148</v>
      </c>
      <c r="I556" s="53">
        <v>56</v>
      </c>
      <c r="J556" s="53">
        <v>93</v>
      </c>
      <c r="K556" s="54">
        <v>1.66071428571429</v>
      </c>
    </row>
    <row r="557" spans="1:11">
      <c r="A557" s="46" t="s">
        <v>191</v>
      </c>
      <c r="B557" s="46" t="s">
        <v>243</v>
      </c>
      <c r="C557" s="46" t="s">
        <v>251</v>
      </c>
      <c r="D557" s="46" t="s">
        <v>82</v>
      </c>
      <c r="E557" s="46" t="s">
        <v>83</v>
      </c>
      <c r="F557" s="46" t="s">
        <v>8</v>
      </c>
      <c r="G557" s="46" t="s">
        <v>119</v>
      </c>
      <c r="H557" s="49" t="s">
        <v>148</v>
      </c>
      <c r="I557" s="53">
        <v>56</v>
      </c>
      <c r="J557" s="53">
        <v>29</v>
      </c>
      <c r="K557" s="54">
        <v>0.517857142857143</v>
      </c>
    </row>
    <row r="558" spans="1:11">
      <c r="A558" s="46" t="s">
        <v>191</v>
      </c>
      <c r="B558" s="46" t="s">
        <v>243</v>
      </c>
      <c r="C558" s="46" t="s">
        <v>251</v>
      </c>
      <c r="D558" s="46" t="s">
        <v>82</v>
      </c>
      <c r="E558" s="46" t="s">
        <v>83</v>
      </c>
      <c r="F558" s="46" t="s">
        <v>6</v>
      </c>
      <c r="G558" s="46" t="s">
        <v>116</v>
      </c>
      <c r="H558" s="49" t="s">
        <v>148</v>
      </c>
      <c r="I558" s="53">
        <v>70</v>
      </c>
      <c r="J558" s="53">
        <v>128</v>
      </c>
      <c r="K558" s="54">
        <v>1.82857142857143</v>
      </c>
    </row>
    <row r="559" spans="1:11">
      <c r="A559" s="46" t="s">
        <v>191</v>
      </c>
      <c r="B559" s="46" t="s">
        <v>243</v>
      </c>
      <c r="C559" s="46" t="s">
        <v>251</v>
      </c>
      <c r="D559" s="46" t="s">
        <v>82</v>
      </c>
      <c r="E559" s="46" t="s">
        <v>83</v>
      </c>
      <c r="F559" s="46" t="s">
        <v>6</v>
      </c>
      <c r="G559" s="46" t="s">
        <v>117</v>
      </c>
      <c r="H559" s="49" t="s">
        <v>148</v>
      </c>
      <c r="I559" s="53">
        <v>70</v>
      </c>
      <c r="J559" s="53">
        <v>99</v>
      </c>
      <c r="K559" s="54">
        <v>1.41428571428571</v>
      </c>
    </row>
    <row r="560" spans="1:11">
      <c r="A560" s="46" t="s">
        <v>191</v>
      </c>
      <c r="B560" s="46" t="s">
        <v>243</v>
      </c>
      <c r="C560" s="46" t="s">
        <v>251</v>
      </c>
      <c r="D560" s="46" t="s">
        <v>82</v>
      </c>
      <c r="E560" s="46" t="s">
        <v>83</v>
      </c>
      <c r="F560" s="46" t="s">
        <v>6</v>
      </c>
      <c r="G560" s="46" t="s">
        <v>118</v>
      </c>
      <c r="H560" s="49" t="s">
        <v>148</v>
      </c>
      <c r="I560" s="53">
        <v>70</v>
      </c>
      <c r="J560" s="53">
        <v>160</v>
      </c>
      <c r="K560" s="54">
        <v>2.28571428571429</v>
      </c>
    </row>
    <row r="561" spans="1:11">
      <c r="A561" s="46" t="s">
        <v>191</v>
      </c>
      <c r="B561" s="46" t="s">
        <v>243</v>
      </c>
      <c r="C561" s="46" t="s">
        <v>251</v>
      </c>
      <c r="D561" s="46" t="s">
        <v>82</v>
      </c>
      <c r="E561" s="46" t="s">
        <v>83</v>
      </c>
      <c r="F561" s="46" t="s">
        <v>6</v>
      </c>
      <c r="G561" s="46" t="s">
        <v>119</v>
      </c>
      <c r="H561" s="49" t="s">
        <v>148</v>
      </c>
      <c r="I561" s="53">
        <v>70</v>
      </c>
      <c r="J561" s="53">
        <v>95</v>
      </c>
      <c r="K561" s="54">
        <v>1.35714285714286</v>
      </c>
    </row>
    <row r="562" spans="1:11">
      <c r="A562" s="44" t="s">
        <v>177</v>
      </c>
      <c r="B562" s="44">
        <v>2025</v>
      </c>
      <c r="C562" s="44" t="s">
        <v>251</v>
      </c>
      <c r="D562" s="46" t="s">
        <v>82</v>
      </c>
      <c r="E562" s="46" t="s">
        <v>83</v>
      </c>
      <c r="F562" s="46" t="s">
        <v>3</v>
      </c>
      <c r="G562" s="46" t="s">
        <v>116</v>
      </c>
      <c r="H562" s="49" t="s">
        <v>159</v>
      </c>
      <c r="I562" s="53">
        <v>53</v>
      </c>
      <c r="J562" s="53">
        <v>47.4</v>
      </c>
      <c r="K562" s="54">
        <v>0.894339622641509</v>
      </c>
    </row>
    <row r="563" spans="1:11">
      <c r="A563" s="44" t="s">
        <v>177</v>
      </c>
      <c r="B563" s="44">
        <v>2025</v>
      </c>
      <c r="C563" s="44" t="s">
        <v>251</v>
      </c>
      <c r="D563" s="46" t="s">
        <v>82</v>
      </c>
      <c r="E563" s="46" t="s">
        <v>83</v>
      </c>
      <c r="F563" s="46" t="s">
        <v>3</v>
      </c>
      <c r="G563" s="46" t="s">
        <v>117</v>
      </c>
      <c r="H563" s="49" t="s">
        <v>159</v>
      </c>
      <c r="I563" s="53">
        <v>53</v>
      </c>
      <c r="J563" s="53">
        <v>26.6</v>
      </c>
      <c r="K563" s="54">
        <v>0.50188679245283</v>
      </c>
    </row>
    <row r="564" spans="1:11">
      <c r="A564" s="44" t="s">
        <v>177</v>
      </c>
      <c r="B564" s="44">
        <v>2025</v>
      </c>
      <c r="C564" s="44" t="s">
        <v>251</v>
      </c>
      <c r="D564" s="46" t="s">
        <v>82</v>
      </c>
      <c r="E564" s="46" t="s">
        <v>83</v>
      </c>
      <c r="F564" s="46" t="s">
        <v>3</v>
      </c>
      <c r="G564" s="46" t="s">
        <v>118</v>
      </c>
      <c r="H564" s="49" t="s">
        <v>159</v>
      </c>
      <c r="I564" s="53">
        <v>53</v>
      </c>
      <c r="J564" s="53">
        <v>90.9</v>
      </c>
      <c r="K564" s="54">
        <v>1.71509433962264</v>
      </c>
    </row>
    <row r="565" spans="1:11">
      <c r="A565" s="44" t="s">
        <v>177</v>
      </c>
      <c r="B565" s="44">
        <v>2025</v>
      </c>
      <c r="C565" s="44" t="s">
        <v>251</v>
      </c>
      <c r="D565" s="46" t="s">
        <v>82</v>
      </c>
      <c r="E565" s="46" t="s">
        <v>83</v>
      </c>
      <c r="F565" s="46" t="s">
        <v>3</v>
      </c>
      <c r="G565" s="46" t="s">
        <v>119</v>
      </c>
      <c r="H565" s="49" t="s">
        <v>159</v>
      </c>
      <c r="I565" s="53">
        <v>53</v>
      </c>
      <c r="J565" s="53">
        <v>35.3</v>
      </c>
      <c r="K565" s="54">
        <v>0.666037735849057</v>
      </c>
    </row>
    <row r="566" spans="1:11">
      <c r="A566" s="44" t="s">
        <v>177</v>
      </c>
      <c r="B566" s="44">
        <v>2025</v>
      </c>
      <c r="C566" s="44" t="s">
        <v>251</v>
      </c>
      <c r="D566" s="46" t="s">
        <v>82</v>
      </c>
      <c r="E566" s="46" t="s">
        <v>83</v>
      </c>
      <c r="F566" s="46" t="s">
        <v>9</v>
      </c>
      <c r="G566" s="46" t="s">
        <v>116</v>
      </c>
      <c r="H566" s="49" t="s">
        <v>159</v>
      </c>
      <c r="I566" s="53">
        <v>57</v>
      </c>
      <c r="J566" s="53">
        <v>46.7</v>
      </c>
      <c r="K566" s="54">
        <v>0.819298245614035</v>
      </c>
    </row>
    <row r="567" spans="1:11">
      <c r="A567" s="44" t="s">
        <v>177</v>
      </c>
      <c r="B567" s="44">
        <v>2025</v>
      </c>
      <c r="C567" s="44" t="s">
        <v>251</v>
      </c>
      <c r="D567" s="46" t="s">
        <v>82</v>
      </c>
      <c r="E567" s="46" t="s">
        <v>83</v>
      </c>
      <c r="F567" s="46" t="s">
        <v>9</v>
      </c>
      <c r="G567" s="46" t="s">
        <v>117</v>
      </c>
      <c r="H567" s="49" t="s">
        <v>159</v>
      </c>
      <c r="I567" s="53">
        <v>57</v>
      </c>
      <c r="J567" s="53">
        <v>21.2</v>
      </c>
      <c r="K567" s="54">
        <v>0.371929824561403</v>
      </c>
    </row>
    <row r="568" spans="1:11">
      <c r="A568" s="44" t="s">
        <v>177</v>
      </c>
      <c r="B568" s="44">
        <v>2025</v>
      </c>
      <c r="C568" s="44" t="s">
        <v>251</v>
      </c>
      <c r="D568" s="46" t="s">
        <v>82</v>
      </c>
      <c r="E568" s="46" t="s">
        <v>83</v>
      </c>
      <c r="F568" s="46" t="s">
        <v>9</v>
      </c>
      <c r="G568" s="46" t="s">
        <v>118</v>
      </c>
      <c r="H568" s="49" t="s">
        <v>159</v>
      </c>
      <c r="I568" s="53">
        <v>57</v>
      </c>
      <c r="J568" s="53">
        <v>79.7</v>
      </c>
      <c r="K568" s="54">
        <v>1.39824561403509</v>
      </c>
    </row>
    <row r="569" spans="1:11">
      <c r="A569" s="44" t="s">
        <v>177</v>
      </c>
      <c r="B569" s="44">
        <v>2025</v>
      </c>
      <c r="C569" s="44" t="s">
        <v>251</v>
      </c>
      <c r="D569" s="46" t="s">
        <v>82</v>
      </c>
      <c r="E569" s="46" t="s">
        <v>83</v>
      </c>
      <c r="F569" s="46" t="s">
        <v>9</v>
      </c>
      <c r="G569" s="46" t="s">
        <v>119</v>
      </c>
      <c r="H569" s="49" t="s">
        <v>159</v>
      </c>
      <c r="I569" s="53">
        <v>57</v>
      </c>
      <c r="J569" s="53">
        <v>28.9</v>
      </c>
      <c r="K569" s="54">
        <v>0.507017543859649</v>
      </c>
    </row>
    <row r="570" spans="1:11">
      <c r="A570" s="44" t="s">
        <v>177</v>
      </c>
      <c r="B570" s="44">
        <v>2025</v>
      </c>
      <c r="C570" s="44" t="s">
        <v>251</v>
      </c>
      <c r="D570" s="46" t="s">
        <v>82</v>
      </c>
      <c r="E570" s="46" t="s">
        <v>83</v>
      </c>
      <c r="F570" s="46" t="s">
        <v>5</v>
      </c>
      <c r="G570" s="46" t="s">
        <v>116</v>
      </c>
      <c r="H570" s="49" t="s">
        <v>159</v>
      </c>
      <c r="I570" s="53">
        <v>48</v>
      </c>
      <c r="J570" s="53">
        <v>50.7</v>
      </c>
      <c r="K570" s="54">
        <v>1.05625</v>
      </c>
    </row>
    <row r="571" spans="1:11">
      <c r="A571" s="44" t="s">
        <v>177</v>
      </c>
      <c r="B571" s="44">
        <v>2025</v>
      </c>
      <c r="C571" s="44" t="s">
        <v>251</v>
      </c>
      <c r="D571" s="46" t="s">
        <v>82</v>
      </c>
      <c r="E571" s="46" t="s">
        <v>83</v>
      </c>
      <c r="F571" s="46" t="s">
        <v>5</v>
      </c>
      <c r="G571" s="46" t="s">
        <v>117</v>
      </c>
      <c r="H571" s="49" t="s">
        <v>159</v>
      </c>
      <c r="I571" s="53">
        <v>48</v>
      </c>
      <c r="J571" s="53">
        <v>34</v>
      </c>
      <c r="K571" s="54">
        <v>0.708333333333333</v>
      </c>
    </row>
    <row r="572" spans="1:11">
      <c r="A572" s="44" t="s">
        <v>177</v>
      </c>
      <c r="B572" s="44">
        <v>2025</v>
      </c>
      <c r="C572" s="44" t="s">
        <v>251</v>
      </c>
      <c r="D572" s="46" t="s">
        <v>82</v>
      </c>
      <c r="E572" s="46" t="s">
        <v>83</v>
      </c>
      <c r="F572" s="46" t="s">
        <v>5</v>
      </c>
      <c r="G572" s="46" t="s">
        <v>118</v>
      </c>
      <c r="H572" s="49" t="s">
        <v>159</v>
      </c>
      <c r="I572" s="53">
        <v>48</v>
      </c>
      <c r="J572" s="53">
        <v>86.3</v>
      </c>
      <c r="K572" s="54">
        <v>1.79791666666667</v>
      </c>
    </row>
    <row r="573" spans="1:11">
      <c r="A573" s="44" t="s">
        <v>177</v>
      </c>
      <c r="B573" s="44">
        <v>2025</v>
      </c>
      <c r="C573" s="44" t="s">
        <v>251</v>
      </c>
      <c r="D573" s="46" t="s">
        <v>82</v>
      </c>
      <c r="E573" s="46" t="s">
        <v>83</v>
      </c>
      <c r="F573" s="46" t="s">
        <v>5</v>
      </c>
      <c r="G573" s="46" t="s">
        <v>119</v>
      </c>
      <c r="H573" s="49" t="s">
        <v>159</v>
      </c>
      <c r="I573" s="53">
        <v>48</v>
      </c>
      <c r="J573" s="53">
        <v>29.9</v>
      </c>
      <c r="K573" s="54">
        <v>0.622916666666667</v>
      </c>
    </row>
    <row r="574" spans="1:11">
      <c r="A574" s="44" t="s">
        <v>177</v>
      </c>
      <c r="B574" s="44">
        <v>2025</v>
      </c>
      <c r="C574" s="44" t="s">
        <v>251</v>
      </c>
      <c r="D574" s="46" t="s">
        <v>82</v>
      </c>
      <c r="E574" s="46" t="s">
        <v>83</v>
      </c>
      <c r="F574" s="46" t="s">
        <v>4</v>
      </c>
      <c r="G574" s="46" t="s">
        <v>116</v>
      </c>
      <c r="H574" s="49" t="s">
        <v>159</v>
      </c>
      <c r="I574" s="53">
        <v>36</v>
      </c>
      <c r="J574" s="53">
        <v>22.9</v>
      </c>
      <c r="K574" s="54">
        <v>0.636111111111111</v>
      </c>
    </row>
    <row r="575" spans="1:11">
      <c r="A575" s="44" t="s">
        <v>177</v>
      </c>
      <c r="B575" s="44">
        <v>2025</v>
      </c>
      <c r="C575" s="44" t="s">
        <v>251</v>
      </c>
      <c r="D575" s="46" t="s">
        <v>82</v>
      </c>
      <c r="E575" s="46" t="s">
        <v>83</v>
      </c>
      <c r="F575" s="46" t="s">
        <v>4</v>
      </c>
      <c r="G575" s="46" t="s">
        <v>117</v>
      </c>
      <c r="H575" s="49" t="s">
        <v>159</v>
      </c>
      <c r="I575" s="53">
        <v>36</v>
      </c>
      <c r="J575" s="53">
        <v>16.9</v>
      </c>
      <c r="K575" s="54">
        <v>0.469444444444444</v>
      </c>
    </row>
    <row r="576" spans="1:11">
      <c r="A576" s="44" t="s">
        <v>177</v>
      </c>
      <c r="B576" s="44">
        <v>2025</v>
      </c>
      <c r="C576" s="44" t="s">
        <v>251</v>
      </c>
      <c r="D576" s="46" t="s">
        <v>82</v>
      </c>
      <c r="E576" s="46" t="s">
        <v>83</v>
      </c>
      <c r="F576" s="46" t="s">
        <v>4</v>
      </c>
      <c r="G576" s="46" t="s">
        <v>118</v>
      </c>
      <c r="H576" s="49" t="s">
        <v>159</v>
      </c>
      <c r="I576" s="53">
        <v>36</v>
      </c>
      <c r="J576" s="53">
        <v>55.7</v>
      </c>
      <c r="K576" s="54">
        <v>1.54722222222222</v>
      </c>
    </row>
    <row r="577" spans="1:11">
      <c r="A577" s="44" t="s">
        <v>177</v>
      </c>
      <c r="B577" s="44">
        <v>2025</v>
      </c>
      <c r="C577" s="44" t="s">
        <v>251</v>
      </c>
      <c r="D577" s="46" t="s">
        <v>82</v>
      </c>
      <c r="E577" s="46" t="s">
        <v>83</v>
      </c>
      <c r="F577" s="46" t="s">
        <v>4</v>
      </c>
      <c r="G577" s="46" t="s">
        <v>119</v>
      </c>
      <c r="H577" s="49" t="s">
        <v>159</v>
      </c>
      <c r="I577" s="53">
        <v>36</v>
      </c>
      <c r="J577" s="53">
        <v>7.7</v>
      </c>
      <c r="K577" s="54">
        <v>0.213888888888889</v>
      </c>
    </row>
    <row r="578" spans="1:11">
      <c r="A578" s="44" t="s">
        <v>177</v>
      </c>
      <c r="B578" s="44">
        <v>2025</v>
      </c>
      <c r="C578" s="44" t="s">
        <v>251</v>
      </c>
      <c r="D578" s="46" t="s">
        <v>82</v>
      </c>
      <c r="E578" s="46" t="s">
        <v>83</v>
      </c>
      <c r="F578" s="46" t="s">
        <v>7</v>
      </c>
      <c r="G578" s="46" t="s">
        <v>116</v>
      </c>
      <c r="H578" s="49" t="s">
        <v>159</v>
      </c>
      <c r="I578" s="53">
        <v>55</v>
      </c>
      <c r="J578" s="53">
        <v>27</v>
      </c>
      <c r="K578" s="54">
        <v>0.490909090909091</v>
      </c>
    </row>
    <row r="579" spans="1:11">
      <c r="A579" s="44" t="s">
        <v>177</v>
      </c>
      <c r="B579" s="44">
        <v>2025</v>
      </c>
      <c r="C579" s="44" t="s">
        <v>251</v>
      </c>
      <c r="D579" s="46" t="s">
        <v>82</v>
      </c>
      <c r="E579" s="46" t="s">
        <v>83</v>
      </c>
      <c r="F579" s="46" t="s">
        <v>7</v>
      </c>
      <c r="G579" s="46" t="s">
        <v>117</v>
      </c>
      <c r="H579" s="49" t="s">
        <v>159</v>
      </c>
      <c r="I579" s="53">
        <v>55</v>
      </c>
      <c r="J579" s="53">
        <v>19.8</v>
      </c>
      <c r="K579" s="54">
        <v>0.36</v>
      </c>
    </row>
    <row r="580" spans="1:11">
      <c r="A580" s="44" t="s">
        <v>177</v>
      </c>
      <c r="B580" s="44">
        <v>2025</v>
      </c>
      <c r="C580" s="44" t="s">
        <v>251</v>
      </c>
      <c r="D580" s="46" t="s">
        <v>82</v>
      </c>
      <c r="E580" s="46" t="s">
        <v>83</v>
      </c>
      <c r="F580" s="46" t="s">
        <v>7</v>
      </c>
      <c r="G580" s="46" t="s">
        <v>118</v>
      </c>
      <c r="H580" s="49" t="s">
        <v>159</v>
      </c>
      <c r="I580" s="53">
        <v>55</v>
      </c>
      <c r="J580" s="53">
        <v>103.2</v>
      </c>
      <c r="K580" s="54">
        <v>1.87636363636364</v>
      </c>
    </row>
    <row r="581" spans="1:11">
      <c r="A581" s="44" t="s">
        <v>177</v>
      </c>
      <c r="B581" s="44">
        <v>2025</v>
      </c>
      <c r="C581" s="44" t="s">
        <v>251</v>
      </c>
      <c r="D581" s="46" t="s">
        <v>82</v>
      </c>
      <c r="E581" s="46" t="s">
        <v>83</v>
      </c>
      <c r="F581" s="46" t="s">
        <v>7</v>
      </c>
      <c r="G581" s="46" t="s">
        <v>119</v>
      </c>
      <c r="H581" s="49" t="s">
        <v>159</v>
      </c>
      <c r="I581" s="53">
        <v>55</v>
      </c>
      <c r="J581" s="53">
        <v>50.5</v>
      </c>
      <c r="K581" s="54">
        <v>0.918181818181818</v>
      </c>
    </row>
    <row r="582" spans="1:11">
      <c r="A582" s="44" t="s">
        <v>177</v>
      </c>
      <c r="B582" s="44">
        <v>2025</v>
      </c>
      <c r="C582" s="44" t="s">
        <v>251</v>
      </c>
      <c r="D582" s="46" t="s">
        <v>82</v>
      </c>
      <c r="E582" s="46" t="s">
        <v>83</v>
      </c>
      <c r="F582" s="46" t="s">
        <v>8</v>
      </c>
      <c r="G582" s="46" t="s">
        <v>116</v>
      </c>
      <c r="H582" s="49" t="s">
        <v>159</v>
      </c>
      <c r="I582" s="53">
        <v>56</v>
      </c>
      <c r="J582" s="53">
        <v>34.9</v>
      </c>
      <c r="K582" s="54">
        <v>0.623214285714286</v>
      </c>
    </row>
    <row r="583" spans="1:11">
      <c r="A583" s="44" t="s">
        <v>177</v>
      </c>
      <c r="B583" s="44">
        <v>2025</v>
      </c>
      <c r="C583" s="44" t="s">
        <v>251</v>
      </c>
      <c r="D583" s="46" t="s">
        <v>82</v>
      </c>
      <c r="E583" s="46" t="s">
        <v>83</v>
      </c>
      <c r="F583" s="46" t="s">
        <v>8</v>
      </c>
      <c r="G583" s="46" t="s">
        <v>117</v>
      </c>
      <c r="H583" s="49" t="s">
        <v>159</v>
      </c>
      <c r="I583" s="53">
        <v>56</v>
      </c>
      <c r="J583" s="53">
        <v>18</v>
      </c>
      <c r="K583" s="54">
        <v>0.321428571428571</v>
      </c>
    </row>
    <row r="584" spans="1:11">
      <c r="A584" s="44" t="s">
        <v>177</v>
      </c>
      <c r="B584" s="44">
        <v>2025</v>
      </c>
      <c r="C584" s="44" t="s">
        <v>251</v>
      </c>
      <c r="D584" s="46" t="s">
        <v>82</v>
      </c>
      <c r="E584" s="46" t="s">
        <v>83</v>
      </c>
      <c r="F584" s="46" t="s">
        <v>8</v>
      </c>
      <c r="G584" s="46" t="s">
        <v>118</v>
      </c>
      <c r="H584" s="49" t="s">
        <v>159</v>
      </c>
      <c r="I584" s="53">
        <v>56</v>
      </c>
      <c r="J584" s="53">
        <v>56.2</v>
      </c>
      <c r="K584" s="54">
        <v>1.00357142857143</v>
      </c>
    </row>
    <row r="585" spans="1:11">
      <c r="A585" s="44" t="s">
        <v>177</v>
      </c>
      <c r="B585" s="44">
        <v>2025</v>
      </c>
      <c r="C585" s="44" t="s">
        <v>251</v>
      </c>
      <c r="D585" s="46" t="s">
        <v>82</v>
      </c>
      <c r="E585" s="46" t="s">
        <v>83</v>
      </c>
      <c r="F585" s="46" t="s">
        <v>8</v>
      </c>
      <c r="G585" s="46" t="s">
        <v>119</v>
      </c>
      <c r="H585" s="49" t="s">
        <v>159</v>
      </c>
      <c r="I585" s="53">
        <v>56</v>
      </c>
      <c r="J585" s="53">
        <v>23.5</v>
      </c>
      <c r="K585" s="54">
        <v>0.419642857142857</v>
      </c>
    </row>
    <row r="586" spans="1:11">
      <c r="A586" s="44" t="s">
        <v>177</v>
      </c>
      <c r="B586" s="44">
        <v>2025</v>
      </c>
      <c r="C586" s="44" t="s">
        <v>251</v>
      </c>
      <c r="D586" s="46" t="s">
        <v>82</v>
      </c>
      <c r="E586" s="46" t="s">
        <v>83</v>
      </c>
      <c r="F586" s="46" t="s">
        <v>6</v>
      </c>
      <c r="G586" s="46" t="s">
        <v>116</v>
      </c>
      <c r="H586" s="49" t="s">
        <v>159</v>
      </c>
      <c r="I586" s="53">
        <v>70</v>
      </c>
      <c r="J586" s="53">
        <v>27.6</v>
      </c>
      <c r="K586" s="54">
        <v>0.394285714285714</v>
      </c>
    </row>
    <row r="587" spans="1:11">
      <c r="A587" s="44" t="s">
        <v>177</v>
      </c>
      <c r="B587" s="44">
        <v>2025</v>
      </c>
      <c r="C587" s="44" t="s">
        <v>251</v>
      </c>
      <c r="D587" s="46" t="s">
        <v>82</v>
      </c>
      <c r="E587" s="46" t="s">
        <v>83</v>
      </c>
      <c r="F587" s="46" t="s">
        <v>6</v>
      </c>
      <c r="G587" s="46" t="s">
        <v>117</v>
      </c>
      <c r="H587" s="49" t="s">
        <v>159</v>
      </c>
      <c r="I587" s="53">
        <v>70</v>
      </c>
      <c r="J587" s="53">
        <v>30.1</v>
      </c>
      <c r="K587" s="54">
        <v>0.43</v>
      </c>
    </row>
    <row r="588" spans="1:11">
      <c r="A588" s="44" t="s">
        <v>177</v>
      </c>
      <c r="B588" s="44">
        <v>2025</v>
      </c>
      <c r="C588" s="44" t="s">
        <v>251</v>
      </c>
      <c r="D588" s="46" t="s">
        <v>82</v>
      </c>
      <c r="E588" s="46" t="s">
        <v>83</v>
      </c>
      <c r="F588" s="46" t="s">
        <v>6</v>
      </c>
      <c r="G588" s="46" t="s">
        <v>118</v>
      </c>
      <c r="H588" s="49" t="s">
        <v>159</v>
      </c>
      <c r="I588" s="53">
        <v>70</v>
      </c>
      <c r="J588" s="53">
        <v>84.7</v>
      </c>
      <c r="K588" s="54">
        <v>1.21</v>
      </c>
    </row>
    <row r="589" spans="1:11">
      <c r="A589" s="44" t="s">
        <v>177</v>
      </c>
      <c r="B589" s="44">
        <v>2025</v>
      </c>
      <c r="C589" s="44" t="s">
        <v>251</v>
      </c>
      <c r="D589" s="46" t="s">
        <v>82</v>
      </c>
      <c r="E589" s="46" t="s">
        <v>83</v>
      </c>
      <c r="F589" s="46" t="s">
        <v>6</v>
      </c>
      <c r="G589" s="46" t="s">
        <v>119</v>
      </c>
      <c r="H589" s="49" t="s">
        <v>159</v>
      </c>
      <c r="I589" s="53">
        <v>70</v>
      </c>
      <c r="J589" s="53">
        <v>54.6</v>
      </c>
      <c r="K589" s="54">
        <v>0.78</v>
      </c>
    </row>
    <row r="590" spans="1:11">
      <c r="A590" s="46" t="s">
        <v>180</v>
      </c>
      <c r="B590" s="46" t="s">
        <v>242</v>
      </c>
      <c r="C590" s="46" t="s">
        <v>252</v>
      </c>
      <c r="D590" s="46" t="s">
        <v>82</v>
      </c>
      <c r="E590" s="46" t="s">
        <v>83</v>
      </c>
      <c r="F590" s="46" t="s">
        <v>3</v>
      </c>
      <c r="G590" s="46" t="s">
        <v>116</v>
      </c>
      <c r="H590" s="49" t="s">
        <v>148</v>
      </c>
      <c r="I590" s="53">
        <v>53</v>
      </c>
      <c r="J590" s="53">
        <v>31.7</v>
      </c>
      <c r="K590" s="54">
        <v>0.59811320754717</v>
      </c>
    </row>
    <row r="591" spans="1:11">
      <c r="A591" s="46" t="s">
        <v>180</v>
      </c>
      <c r="B591" s="46" t="s">
        <v>242</v>
      </c>
      <c r="C591" s="46" t="s">
        <v>252</v>
      </c>
      <c r="D591" s="46" t="s">
        <v>82</v>
      </c>
      <c r="E591" s="46" t="s">
        <v>83</v>
      </c>
      <c r="F591" s="46" t="s">
        <v>3</v>
      </c>
      <c r="G591" s="46" t="s">
        <v>117</v>
      </c>
      <c r="H591" s="49" t="s">
        <v>148</v>
      </c>
      <c r="I591" s="53">
        <v>53</v>
      </c>
      <c r="J591" s="53">
        <v>36.3</v>
      </c>
      <c r="K591" s="54">
        <v>0.684905660377358</v>
      </c>
    </row>
    <row r="592" spans="1:11">
      <c r="A592" s="46" t="s">
        <v>180</v>
      </c>
      <c r="B592" s="46" t="s">
        <v>242</v>
      </c>
      <c r="C592" s="46" t="s">
        <v>252</v>
      </c>
      <c r="D592" s="46" t="s">
        <v>82</v>
      </c>
      <c r="E592" s="46" t="s">
        <v>83</v>
      </c>
      <c r="F592" s="46" t="s">
        <v>3</v>
      </c>
      <c r="G592" s="46" t="s">
        <v>118</v>
      </c>
      <c r="H592" s="49" t="s">
        <v>148</v>
      </c>
      <c r="I592" s="53">
        <v>53</v>
      </c>
      <c r="J592" s="53">
        <v>121.4</v>
      </c>
      <c r="K592" s="54">
        <v>2.29056603773585</v>
      </c>
    </row>
    <row r="593" spans="1:11">
      <c r="A593" s="46" t="s">
        <v>180</v>
      </c>
      <c r="B593" s="46" t="s">
        <v>242</v>
      </c>
      <c r="C593" s="46" t="s">
        <v>252</v>
      </c>
      <c r="D593" s="46" t="s">
        <v>82</v>
      </c>
      <c r="E593" s="46" t="s">
        <v>83</v>
      </c>
      <c r="F593" s="46" t="s">
        <v>3</v>
      </c>
      <c r="G593" s="46" t="s">
        <v>119</v>
      </c>
      <c r="H593" s="49" t="s">
        <v>148</v>
      </c>
      <c r="I593" s="53">
        <v>53</v>
      </c>
      <c r="J593" s="53">
        <v>43</v>
      </c>
      <c r="K593" s="54">
        <v>0.811320754716981</v>
      </c>
    </row>
    <row r="594" spans="1:11">
      <c r="A594" s="46" t="s">
        <v>180</v>
      </c>
      <c r="B594" s="46" t="s">
        <v>242</v>
      </c>
      <c r="C594" s="46" t="s">
        <v>252</v>
      </c>
      <c r="D594" s="46" t="s">
        <v>82</v>
      </c>
      <c r="E594" s="46" t="s">
        <v>83</v>
      </c>
      <c r="F594" s="46" t="s">
        <v>9</v>
      </c>
      <c r="G594" s="46" t="s">
        <v>116</v>
      </c>
      <c r="H594" s="49" t="s">
        <v>148</v>
      </c>
      <c r="I594" s="53">
        <v>57</v>
      </c>
      <c r="J594" s="53">
        <v>43</v>
      </c>
      <c r="K594" s="54">
        <v>0.754385964912281</v>
      </c>
    </row>
    <row r="595" spans="1:11">
      <c r="A595" s="46" t="s">
        <v>180</v>
      </c>
      <c r="B595" s="46" t="s">
        <v>242</v>
      </c>
      <c r="C595" s="46" t="s">
        <v>252</v>
      </c>
      <c r="D595" s="46" t="s">
        <v>82</v>
      </c>
      <c r="E595" s="46" t="s">
        <v>83</v>
      </c>
      <c r="F595" s="46" t="s">
        <v>9</v>
      </c>
      <c r="G595" s="46" t="s">
        <v>117</v>
      </c>
      <c r="H595" s="49" t="s">
        <v>148</v>
      </c>
      <c r="I595" s="53">
        <v>57</v>
      </c>
      <c r="J595" s="53">
        <v>41.3</v>
      </c>
      <c r="K595" s="54">
        <v>0.724561403508772</v>
      </c>
    </row>
    <row r="596" spans="1:11">
      <c r="A596" s="46" t="s">
        <v>180</v>
      </c>
      <c r="B596" s="46" t="s">
        <v>242</v>
      </c>
      <c r="C596" s="46" t="s">
        <v>252</v>
      </c>
      <c r="D596" s="46" t="s">
        <v>82</v>
      </c>
      <c r="E596" s="46" t="s">
        <v>83</v>
      </c>
      <c r="F596" s="46" t="s">
        <v>9</v>
      </c>
      <c r="G596" s="46" t="s">
        <v>118</v>
      </c>
      <c r="H596" s="49" t="s">
        <v>148</v>
      </c>
      <c r="I596" s="53">
        <v>57</v>
      </c>
      <c r="J596" s="53">
        <v>79.1</v>
      </c>
      <c r="K596" s="54">
        <v>1.38771929824561</v>
      </c>
    </row>
    <row r="597" spans="1:11">
      <c r="A597" s="46" t="s">
        <v>180</v>
      </c>
      <c r="B597" s="46" t="s">
        <v>242</v>
      </c>
      <c r="C597" s="46" t="s">
        <v>252</v>
      </c>
      <c r="D597" s="46" t="s">
        <v>82</v>
      </c>
      <c r="E597" s="46" t="s">
        <v>83</v>
      </c>
      <c r="F597" s="46" t="s">
        <v>9</v>
      </c>
      <c r="G597" s="46" t="s">
        <v>119</v>
      </c>
      <c r="H597" s="49" t="s">
        <v>148</v>
      </c>
      <c r="I597" s="53">
        <v>57</v>
      </c>
      <c r="J597" s="53">
        <v>26</v>
      </c>
      <c r="K597" s="54">
        <v>0.456140350877193</v>
      </c>
    </row>
    <row r="598" spans="1:11">
      <c r="A598" s="46" t="s">
        <v>180</v>
      </c>
      <c r="B598" s="46" t="s">
        <v>242</v>
      </c>
      <c r="C598" s="46" t="s">
        <v>252</v>
      </c>
      <c r="D598" s="46" t="s">
        <v>82</v>
      </c>
      <c r="E598" s="46" t="s">
        <v>83</v>
      </c>
      <c r="F598" s="46" t="s">
        <v>5</v>
      </c>
      <c r="G598" s="46" t="s">
        <v>116</v>
      </c>
      <c r="H598" s="49" t="s">
        <v>148</v>
      </c>
      <c r="I598" s="53">
        <v>48</v>
      </c>
      <c r="J598" s="53">
        <v>58</v>
      </c>
      <c r="K598" s="54">
        <v>1.20833333333333</v>
      </c>
    </row>
    <row r="599" spans="1:11">
      <c r="A599" s="46" t="s">
        <v>180</v>
      </c>
      <c r="B599" s="46" t="s">
        <v>242</v>
      </c>
      <c r="C599" s="46" t="s">
        <v>252</v>
      </c>
      <c r="D599" s="46" t="s">
        <v>82</v>
      </c>
      <c r="E599" s="46" t="s">
        <v>83</v>
      </c>
      <c r="F599" s="46" t="s">
        <v>5</v>
      </c>
      <c r="G599" s="46" t="s">
        <v>117</v>
      </c>
      <c r="H599" s="49" t="s">
        <v>148</v>
      </c>
      <c r="I599" s="53">
        <v>48</v>
      </c>
      <c r="J599" s="53">
        <v>54.3</v>
      </c>
      <c r="K599" s="54">
        <v>1.13125</v>
      </c>
    </row>
    <row r="600" spans="1:11">
      <c r="A600" s="46" t="s">
        <v>180</v>
      </c>
      <c r="B600" s="46" t="s">
        <v>242</v>
      </c>
      <c r="C600" s="46" t="s">
        <v>252</v>
      </c>
      <c r="D600" s="46" t="s">
        <v>82</v>
      </c>
      <c r="E600" s="46" t="s">
        <v>83</v>
      </c>
      <c r="F600" s="46" t="s">
        <v>5</v>
      </c>
      <c r="G600" s="46" t="s">
        <v>118</v>
      </c>
      <c r="H600" s="49" t="s">
        <v>148</v>
      </c>
      <c r="I600" s="53">
        <v>48</v>
      </c>
      <c r="J600" s="53">
        <v>126.5</v>
      </c>
      <c r="K600" s="54">
        <v>2.63541666666667</v>
      </c>
    </row>
    <row r="601" spans="1:11">
      <c r="A601" s="46" t="s">
        <v>180</v>
      </c>
      <c r="B601" s="46" t="s">
        <v>242</v>
      </c>
      <c r="C601" s="46" t="s">
        <v>252</v>
      </c>
      <c r="D601" s="46" t="s">
        <v>82</v>
      </c>
      <c r="E601" s="46" t="s">
        <v>83</v>
      </c>
      <c r="F601" s="46" t="s">
        <v>5</v>
      </c>
      <c r="G601" s="46" t="s">
        <v>119</v>
      </c>
      <c r="H601" s="49" t="s">
        <v>148</v>
      </c>
      <c r="I601" s="53">
        <v>48</v>
      </c>
      <c r="J601" s="53">
        <v>46.9</v>
      </c>
      <c r="K601" s="54">
        <v>0.977083333333333</v>
      </c>
    </row>
    <row r="602" spans="1:11">
      <c r="A602" s="46" t="s">
        <v>180</v>
      </c>
      <c r="B602" s="46" t="s">
        <v>242</v>
      </c>
      <c r="C602" s="46" t="s">
        <v>252</v>
      </c>
      <c r="D602" s="46" t="s">
        <v>82</v>
      </c>
      <c r="E602" s="46" t="s">
        <v>83</v>
      </c>
      <c r="F602" s="46" t="s">
        <v>4</v>
      </c>
      <c r="G602" s="46" t="s">
        <v>116</v>
      </c>
      <c r="H602" s="49" t="s">
        <v>148</v>
      </c>
      <c r="I602" s="53">
        <v>36</v>
      </c>
      <c r="J602" s="53">
        <v>31.1</v>
      </c>
      <c r="K602" s="54">
        <v>0.863888888888889</v>
      </c>
    </row>
    <row r="603" spans="1:11">
      <c r="A603" s="46" t="s">
        <v>180</v>
      </c>
      <c r="B603" s="46" t="s">
        <v>242</v>
      </c>
      <c r="C603" s="46" t="s">
        <v>252</v>
      </c>
      <c r="D603" s="46" t="s">
        <v>82</v>
      </c>
      <c r="E603" s="46" t="s">
        <v>83</v>
      </c>
      <c r="F603" s="46" t="s">
        <v>4</v>
      </c>
      <c r="G603" s="46" t="s">
        <v>117</v>
      </c>
      <c r="H603" s="49" t="s">
        <v>148</v>
      </c>
      <c r="I603" s="53">
        <v>36</v>
      </c>
      <c r="J603" s="53">
        <v>13.9</v>
      </c>
      <c r="K603" s="54">
        <v>0.386111111111111</v>
      </c>
    </row>
    <row r="604" spans="1:11">
      <c r="A604" s="46" t="s">
        <v>180</v>
      </c>
      <c r="B604" s="46" t="s">
        <v>242</v>
      </c>
      <c r="C604" s="46" t="s">
        <v>252</v>
      </c>
      <c r="D604" s="46" t="s">
        <v>82</v>
      </c>
      <c r="E604" s="46" t="s">
        <v>83</v>
      </c>
      <c r="F604" s="46" t="s">
        <v>4</v>
      </c>
      <c r="G604" s="46" t="s">
        <v>118</v>
      </c>
      <c r="H604" s="49" t="s">
        <v>148</v>
      </c>
      <c r="I604" s="53">
        <v>36</v>
      </c>
      <c r="J604" s="53">
        <v>72.4</v>
      </c>
      <c r="K604" s="54">
        <v>2.01111111111111</v>
      </c>
    </row>
    <row r="605" spans="1:11">
      <c r="A605" s="46" t="s">
        <v>180</v>
      </c>
      <c r="B605" s="46" t="s">
        <v>242</v>
      </c>
      <c r="C605" s="46" t="s">
        <v>252</v>
      </c>
      <c r="D605" s="46" t="s">
        <v>82</v>
      </c>
      <c r="E605" s="46" t="s">
        <v>83</v>
      </c>
      <c r="F605" s="46" t="s">
        <v>4</v>
      </c>
      <c r="G605" s="46" t="s">
        <v>119</v>
      </c>
      <c r="H605" s="49" t="s">
        <v>148</v>
      </c>
      <c r="I605" s="53">
        <v>36</v>
      </c>
      <c r="J605" s="53">
        <v>18.7</v>
      </c>
      <c r="K605" s="54">
        <v>0.519444444444444</v>
      </c>
    </row>
    <row r="606" spans="1:11">
      <c r="A606" s="46" t="s">
        <v>180</v>
      </c>
      <c r="B606" s="46" t="s">
        <v>242</v>
      </c>
      <c r="C606" s="46" t="s">
        <v>252</v>
      </c>
      <c r="D606" s="46" t="s">
        <v>82</v>
      </c>
      <c r="E606" s="46" t="s">
        <v>83</v>
      </c>
      <c r="F606" s="46" t="s">
        <v>7</v>
      </c>
      <c r="G606" s="46" t="s">
        <v>116</v>
      </c>
      <c r="H606" s="49" t="s">
        <v>148</v>
      </c>
      <c r="I606" s="53">
        <v>55</v>
      </c>
      <c r="J606" s="53">
        <v>47.8</v>
      </c>
      <c r="K606" s="54">
        <v>0.869090909090909</v>
      </c>
    </row>
    <row r="607" spans="1:11">
      <c r="A607" s="46" t="s">
        <v>180</v>
      </c>
      <c r="B607" s="46" t="s">
        <v>242</v>
      </c>
      <c r="C607" s="46" t="s">
        <v>252</v>
      </c>
      <c r="D607" s="46" t="s">
        <v>82</v>
      </c>
      <c r="E607" s="46" t="s">
        <v>83</v>
      </c>
      <c r="F607" s="46" t="s">
        <v>7</v>
      </c>
      <c r="G607" s="46" t="s">
        <v>117</v>
      </c>
      <c r="H607" s="49" t="s">
        <v>148</v>
      </c>
      <c r="I607" s="53">
        <v>55</v>
      </c>
      <c r="J607" s="53">
        <v>49.1</v>
      </c>
      <c r="K607" s="54">
        <v>0.892727272727273</v>
      </c>
    </row>
    <row r="608" spans="1:11">
      <c r="A608" s="46" t="s">
        <v>180</v>
      </c>
      <c r="B608" s="46" t="s">
        <v>242</v>
      </c>
      <c r="C608" s="46" t="s">
        <v>252</v>
      </c>
      <c r="D608" s="46" t="s">
        <v>82</v>
      </c>
      <c r="E608" s="46" t="s">
        <v>83</v>
      </c>
      <c r="F608" s="46" t="s">
        <v>7</v>
      </c>
      <c r="G608" s="46" t="s">
        <v>118</v>
      </c>
      <c r="H608" s="49" t="s">
        <v>148</v>
      </c>
      <c r="I608" s="53">
        <v>55</v>
      </c>
      <c r="J608" s="53">
        <v>145.3</v>
      </c>
      <c r="K608" s="54">
        <v>2.64181818181818</v>
      </c>
    </row>
    <row r="609" spans="1:11">
      <c r="A609" s="46" t="s">
        <v>180</v>
      </c>
      <c r="B609" s="46" t="s">
        <v>242</v>
      </c>
      <c r="C609" s="46" t="s">
        <v>252</v>
      </c>
      <c r="D609" s="46" t="s">
        <v>82</v>
      </c>
      <c r="E609" s="46" t="s">
        <v>83</v>
      </c>
      <c r="F609" s="46" t="s">
        <v>7</v>
      </c>
      <c r="G609" s="46" t="s">
        <v>119</v>
      </c>
      <c r="H609" s="49" t="s">
        <v>148</v>
      </c>
      <c r="I609" s="53">
        <v>55</v>
      </c>
      <c r="J609" s="53">
        <v>37.7</v>
      </c>
      <c r="K609" s="54">
        <v>0.685454545454546</v>
      </c>
    </row>
    <row r="610" spans="1:11">
      <c r="A610" s="46" t="s">
        <v>180</v>
      </c>
      <c r="B610" s="46" t="s">
        <v>242</v>
      </c>
      <c r="C610" s="46" t="s">
        <v>252</v>
      </c>
      <c r="D610" s="46" t="s">
        <v>82</v>
      </c>
      <c r="E610" s="46" t="s">
        <v>83</v>
      </c>
      <c r="F610" s="46" t="s">
        <v>8</v>
      </c>
      <c r="G610" s="46" t="s">
        <v>116</v>
      </c>
      <c r="H610" s="49" t="s">
        <v>148</v>
      </c>
      <c r="I610" s="53">
        <v>56</v>
      </c>
      <c r="J610" s="53">
        <v>41.6</v>
      </c>
      <c r="K610" s="54">
        <v>0.742857142857143</v>
      </c>
    </row>
    <row r="611" spans="1:11">
      <c r="A611" s="46" t="s">
        <v>180</v>
      </c>
      <c r="B611" s="46" t="s">
        <v>242</v>
      </c>
      <c r="C611" s="46" t="s">
        <v>252</v>
      </c>
      <c r="D611" s="46" t="s">
        <v>82</v>
      </c>
      <c r="E611" s="46" t="s">
        <v>83</v>
      </c>
      <c r="F611" s="46" t="s">
        <v>8</v>
      </c>
      <c r="G611" s="46" t="s">
        <v>117</v>
      </c>
      <c r="H611" s="49" t="s">
        <v>148</v>
      </c>
      <c r="I611" s="53">
        <v>56</v>
      </c>
      <c r="J611" s="53">
        <v>21.7</v>
      </c>
      <c r="K611" s="54">
        <v>0.3875</v>
      </c>
    </row>
    <row r="612" spans="1:11">
      <c r="A612" s="46" t="s">
        <v>180</v>
      </c>
      <c r="B612" s="46" t="s">
        <v>242</v>
      </c>
      <c r="C612" s="46" t="s">
        <v>252</v>
      </c>
      <c r="D612" s="46" t="s">
        <v>82</v>
      </c>
      <c r="E612" s="46" t="s">
        <v>83</v>
      </c>
      <c r="F612" s="46" t="s">
        <v>8</v>
      </c>
      <c r="G612" s="46" t="s">
        <v>118</v>
      </c>
      <c r="H612" s="49" t="s">
        <v>148</v>
      </c>
      <c r="I612" s="53">
        <v>56</v>
      </c>
      <c r="J612" s="53">
        <v>94.3</v>
      </c>
      <c r="K612" s="54">
        <v>1.68392857142857</v>
      </c>
    </row>
    <row r="613" spans="1:11">
      <c r="A613" s="46" t="s">
        <v>180</v>
      </c>
      <c r="B613" s="46" t="s">
        <v>242</v>
      </c>
      <c r="C613" s="46" t="s">
        <v>252</v>
      </c>
      <c r="D613" s="46" t="s">
        <v>82</v>
      </c>
      <c r="E613" s="46" t="s">
        <v>83</v>
      </c>
      <c r="F613" s="46" t="s">
        <v>8</v>
      </c>
      <c r="G613" s="46" t="s">
        <v>119</v>
      </c>
      <c r="H613" s="49" t="s">
        <v>148</v>
      </c>
      <c r="I613" s="53">
        <v>56</v>
      </c>
      <c r="J613" s="53">
        <v>28</v>
      </c>
      <c r="K613" s="54">
        <v>0.5</v>
      </c>
    </row>
    <row r="614" spans="1:11">
      <c r="A614" s="46" t="s">
        <v>180</v>
      </c>
      <c r="B614" s="46" t="s">
        <v>242</v>
      </c>
      <c r="C614" s="46" t="s">
        <v>252</v>
      </c>
      <c r="D614" s="46" t="s">
        <v>82</v>
      </c>
      <c r="E614" s="46" t="s">
        <v>83</v>
      </c>
      <c r="F614" s="46" t="s">
        <v>6</v>
      </c>
      <c r="G614" s="46" t="s">
        <v>116</v>
      </c>
      <c r="H614" s="49" t="s">
        <v>148</v>
      </c>
      <c r="I614" s="53">
        <v>70</v>
      </c>
      <c r="J614" s="53">
        <v>42.2</v>
      </c>
      <c r="K614" s="54">
        <v>0.602857142857143</v>
      </c>
    </row>
    <row r="615" spans="1:11">
      <c r="A615" s="46" t="s">
        <v>180</v>
      </c>
      <c r="B615" s="46" t="s">
        <v>242</v>
      </c>
      <c r="C615" s="46" t="s">
        <v>252</v>
      </c>
      <c r="D615" s="46" t="s">
        <v>82</v>
      </c>
      <c r="E615" s="46" t="s">
        <v>83</v>
      </c>
      <c r="F615" s="46" t="s">
        <v>6</v>
      </c>
      <c r="G615" s="46" t="s">
        <v>117</v>
      </c>
      <c r="H615" s="49" t="s">
        <v>148</v>
      </c>
      <c r="I615" s="53">
        <v>70</v>
      </c>
      <c r="J615" s="53">
        <v>28.5</v>
      </c>
      <c r="K615" s="54">
        <v>0.407142857142857</v>
      </c>
    </row>
    <row r="616" spans="1:11">
      <c r="A616" s="46" t="s">
        <v>180</v>
      </c>
      <c r="B616" s="46" t="s">
        <v>242</v>
      </c>
      <c r="C616" s="46" t="s">
        <v>252</v>
      </c>
      <c r="D616" s="46" t="s">
        <v>82</v>
      </c>
      <c r="E616" s="46" t="s">
        <v>83</v>
      </c>
      <c r="F616" s="46" t="s">
        <v>6</v>
      </c>
      <c r="G616" s="46" t="s">
        <v>118</v>
      </c>
      <c r="H616" s="49" t="s">
        <v>148</v>
      </c>
      <c r="I616" s="53">
        <v>70</v>
      </c>
      <c r="J616" s="53">
        <v>157.3</v>
      </c>
      <c r="K616" s="54">
        <v>2.24714285714286</v>
      </c>
    </row>
    <row r="617" spans="1:11">
      <c r="A617" s="46" t="s">
        <v>180</v>
      </c>
      <c r="B617" s="46" t="s">
        <v>242</v>
      </c>
      <c r="C617" s="46" t="s">
        <v>252</v>
      </c>
      <c r="D617" s="46" t="s">
        <v>82</v>
      </c>
      <c r="E617" s="46" t="s">
        <v>83</v>
      </c>
      <c r="F617" s="46" t="s">
        <v>6</v>
      </c>
      <c r="G617" s="46" t="s">
        <v>119</v>
      </c>
      <c r="H617" s="49" t="s">
        <v>148</v>
      </c>
      <c r="I617" s="53">
        <v>70</v>
      </c>
      <c r="J617" s="53">
        <v>60.8</v>
      </c>
      <c r="K617" s="54">
        <v>0.868571428571429</v>
      </c>
    </row>
    <row r="618" spans="1:11">
      <c r="A618" s="44" t="s">
        <v>192</v>
      </c>
      <c r="B618" s="44" t="s">
        <v>243</v>
      </c>
      <c r="C618" s="44" t="s">
        <v>252</v>
      </c>
      <c r="D618" s="46" t="s">
        <v>82</v>
      </c>
      <c r="E618" s="46" t="s">
        <v>83</v>
      </c>
      <c r="F618" s="46" t="s">
        <v>3</v>
      </c>
      <c r="G618" s="46" t="s">
        <v>116</v>
      </c>
      <c r="H618" s="49" t="s">
        <v>148</v>
      </c>
      <c r="I618" s="53">
        <v>53</v>
      </c>
      <c r="J618" s="53">
        <v>43</v>
      </c>
      <c r="K618" s="54">
        <v>0.811320754716981</v>
      </c>
    </row>
    <row r="619" spans="1:11">
      <c r="A619" s="44" t="s">
        <v>192</v>
      </c>
      <c r="B619" s="44" t="s">
        <v>243</v>
      </c>
      <c r="C619" s="44" t="s">
        <v>252</v>
      </c>
      <c r="D619" s="46" t="s">
        <v>82</v>
      </c>
      <c r="E619" s="46" t="s">
        <v>83</v>
      </c>
      <c r="F619" s="46" t="s">
        <v>3</v>
      </c>
      <c r="G619" s="46" t="s">
        <v>117</v>
      </c>
      <c r="H619" s="49" t="s">
        <v>148</v>
      </c>
      <c r="I619" s="53">
        <v>53</v>
      </c>
      <c r="J619" s="53">
        <v>31</v>
      </c>
      <c r="K619" s="54">
        <v>0.584905660377358</v>
      </c>
    </row>
    <row r="620" spans="1:11">
      <c r="A620" s="44" t="s">
        <v>192</v>
      </c>
      <c r="B620" s="44" t="s">
        <v>243</v>
      </c>
      <c r="C620" s="44" t="s">
        <v>252</v>
      </c>
      <c r="D620" s="46" t="s">
        <v>82</v>
      </c>
      <c r="E620" s="46" t="s">
        <v>83</v>
      </c>
      <c r="F620" s="46" t="s">
        <v>3</v>
      </c>
      <c r="G620" s="46" t="s">
        <v>118</v>
      </c>
      <c r="H620" s="49" t="s">
        <v>148</v>
      </c>
      <c r="I620" s="53">
        <v>53</v>
      </c>
      <c r="J620" s="53">
        <v>127</v>
      </c>
      <c r="K620" s="54">
        <v>2.39622641509434</v>
      </c>
    </row>
    <row r="621" spans="1:11">
      <c r="A621" s="44" t="s">
        <v>192</v>
      </c>
      <c r="B621" s="44" t="s">
        <v>243</v>
      </c>
      <c r="C621" s="44" t="s">
        <v>252</v>
      </c>
      <c r="D621" s="46" t="s">
        <v>82</v>
      </c>
      <c r="E621" s="46" t="s">
        <v>83</v>
      </c>
      <c r="F621" s="46" t="s">
        <v>3</v>
      </c>
      <c r="G621" s="46" t="s">
        <v>119</v>
      </c>
      <c r="H621" s="49" t="s">
        <v>148</v>
      </c>
      <c r="I621" s="53">
        <v>53</v>
      </c>
      <c r="J621" s="53">
        <v>58</v>
      </c>
      <c r="K621" s="54">
        <v>1.09433962264151</v>
      </c>
    </row>
    <row r="622" spans="1:11">
      <c r="A622" s="44" t="s">
        <v>192</v>
      </c>
      <c r="B622" s="44" t="s">
        <v>243</v>
      </c>
      <c r="C622" s="44" t="s">
        <v>252</v>
      </c>
      <c r="D622" s="46" t="s">
        <v>82</v>
      </c>
      <c r="E622" s="46" t="s">
        <v>83</v>
      </c>
      <c r="F622" s="46" t="s">
        <v>9</v>
      </c>
      <c r="G622" s="46" t="s">
        <v>116</v>
      </c>
      <c r="H622" s="49" t="s">
        <v>148</v>
      </c>
      <c r="I622" s="53">
        <v>57</v>
      </c>
      <c r="J622" s="53">
        <v>53</v>
      </c>
      <c r="K622" s="54">
        <v>0.929824561403509</v>
      </c>
    </row>
    <row r="623" spans="1:11">
      <c r="A623" s="44" t="s">
        <v>192</v>
      </c>
      <c r="B623" s="44" t="s">
        <v>243</v>
      </c>
      <c r="C623" s="44" t="s">
        <v>252</v>
      </c>
      <c r="D623" s="46" t="s">
        <v>82</v>
      </c>
      <c r="E623" s="46" t="s">
        <v>83</v>
      </c>
      <c r="F623" s="46" t="s">
        <v>9</v>
      </c>
      <c r="G623" s="46" t="s">
        <v>117</v>
      </c>
      <c r="H623" s="49" t="s">
        <v>148</v>
      </c>
      <c r="I623" s="53">
        <v>57</v>
      </c>
      <c r="J623" s="53">
        <v>30</v>
      </c>
      <c r="K623" s="54">
        <v>0.526315789473684</v>
      </c>
    </row>
    <row r="624" spans="1:11">
      <c r="A624" s="44" t="s">
        <v>192</v>
      </c>
      <c r="B624" s="44" t="s">
        <v>243</v>
      </c>
      <c r="C624" s="44" t="s">
        <v>252</v>
      </c>
      <c r="D624" s="46" t="s">
        <v>82</v>
      </c>
      <c r="E624" s="46" t="s">
        <v>83</v>
      </c>
      <c r="F624" s="46" t="s">
        <v>9</v>
      </c>
      <c r="G624" s="46" t="s">
        <v>118</v>
      </c>
      <c r="H624" s="49" t="s">
        <v>148</v>
      </c>
      <c r="I624" s="53">
        <v>57</v>
      </c>
      <c r="J624" s="53">
        <v>136</v>
      </c>
      <c r="K624" s="54">
        <v>2.3859649122807</v>
      </c>
    </row>
    <row r="625" spans="1:11">
      <c r="A625" s="44" t="s">
        <v>192</v>
      </c>
      <c r="B625" s="44" t="s">
        <v>243</v>
      </c>
      <c r="C625" s="44" t="s">
        <v>252</v>
      </c>
      <c r="D625" s="46" t="s">
        <v>82</v>
      </c>
      <c r="E625" s="46" t="s">
        <v>83</v>
      </c>
      <c r="F625" s="46" t="s">
        <v>9</v>
      </c>
      <c r="G625" s="46" t="s">
        <v>119</v>
      </c>
      <c r="H625" s="49" t="s">
        <v>148</v>
      </c>
      <c r="I625" s="53">
        <v>57</v>
      </c>
      <c r="J625" s="53">
        <v>14</v>
      </c>
      <c r="K625" s="54">
        <v>0.245614035087719</v>
      </c>
    </row>
    <row r="626" spans="1:11">
      <c r="A626" s="44" t="s">
        <v>192</v>
      </c>
      <c r="B626" s="44" t="s">
        <v>243</v>
      </c>
      <c r="C626" s="44" t="s">
        <v>252</v>
      </c>
      <c r="D626" s="46" t="s">
        <v>82</v>
      </c>
      <c r="E626" s="46" t="s">
        <v>83</v>
      </c>
      <c r="F626" s="46" t="s">
        <v>5</v>
      </c>
      <c r="G626" s="46" t="s">
        <v>116</v>
      </c>
      <c r="H626" s="49" t="s">
        <v>148</v>
      </c>
      <c r="I626" s="53">
        <v>48</v>
      </c>
      <c r="J626" s="53">
        <v>74</v>
      </c>
      <c r="K626" s="54">
        <v>1.54166666666667</v>
      </c>
    </row>
    <row r="627" spans="1:11">
      <c r="A627" s="44" t="s">
        <v>192</v>
      </c>
      <c r="B627" s="44" t="s">
        <v>243</v>
      </c>
      <c r="C627" s="44" t="s">
        <v>252</v>
      </c>
      <c r="D627" s="46" t="s">
        <v>82</v>
      </c>
      <c r="E627" s="46" t="s">
        <v>83</v>
      </c>
      <c r="F627" s="46" t="s">
        <v>5</v>
      </c>
      <c r="G627" s="46" t="s">
        <v>117</v>
      </c>
      <c r="H627" s="49" t="s">
        <v>148</v>
      </c>
      <c r="I627" s="53">
        <v>48</v>
      </c>
      <c r="J627" s="53">
        <v>63</v>
      </c>
      <c r="K627" s="54">
        <v>1.3125</v>
      </c>
    </row>
    <row r="628" spans="1:11">
      <c r="A628" s="44" t="s">
        <v>192</v>
      </c>
      <c r="B628" s="44" t="s">
        <v>243</v>
      </c>
      <c r="C628" s="44" t="s">
        <v>252</v>
      </c>
      <c r="D628" s="46" t="s">
        <v>82</v>
      </c>
      <c r="E628" s="46" t="s">
        <v>83</v>
      </c>
      <c r="F628" s="46" t="s">
        <v>5</v>
      </c>
      <c r="G628" s="46" t="s">
        <v>118</v>
      </c>
      <c r="H628" s="49" t="s">
        <v>148</v>
      </c>
      <c r="I628" s="53">
        <v>48</v>
      </c>
      <c r="J628" s="53">
        <v>125</v>
      </c>
      <c r="K628" s="54">
        <v>2.60416666666667</v>
      </c>
    </row>
    <row r="629" spans="1:11">
      <c r="A629" s="44" t="s">
        <v>192</v>
      </c>
      <c r="B629" s="44" t="s">
        <v>243</v>
      </c>
      <c r="C629" s="44" t="s">
        <v>252</v>
      </c>
      <c r="D629" s="46" t="s">
        <v>82</v>
      </c>
      <c r="E629" s="46" t="s">
        <v>83</v>
      </c>
      <c r="F629" s="46" t="s">
        <v>5</v>
      </c>
      <c r="G629" s="46" t="s">
        <v>119</v>
      </c>
      <c r="H629" s="49" t="s">
        <v>148</v>
      </c>
      <c r="I629" s="53">
        <v>48</v>
      </c>
      <c r="J629" s="53">
        <v>43</v>
      </c>
      <c r="K629" s="54">
        <v>0.895833333333333</v>
      </c>
    </row>
    <row r="630" spans="1:11">
      <c r="A630" s="44" t="s">
        <v>192</v>
      </c>
      <c r="B630" s="44" t="s">
        <v>243</v>
      </c>
      <c r="C630" s="44" t="s">
        <v>252</v>
      </c>
      <c r="D630" s="46" t="s">
        <v>82</v>
      </c>
      <c r="E630" s="46" t="s">
        <v>83</v>
      </c>
      <c r="F630" s="46" t="s">
        <v>4</v>
      </c>
      <c r="G630" s="46" t="s">
        <v>116</v>
      </c>
      <c r="H630" s="49" t="s">
        <v>148</v>
      </c>
      <c r="I630" s="53">
        <v>36</v>
      </c>
      <c r="J630" s="53">
        <v>18</v>
      </c>
      <c r="K630" s="54">
        <v>0.5</v>
      </c>
    </row>
    <row r="631" spans="1:11">
      <c r="A631" s="44" t="s">
        <v>192</v>
      </c>
      <c r="B631" s="44" t="s">
        <v>243</v>
      </c>
      <c r="C631" s="44" t="s">
        <v>252</v>
      </c>
      <c r="D631" s="46" t="s">
        <v>82</v>
      </c>
      <c r="E631" s="46" t="s">
        <v>83</v>
      </c>
      <c r="F631" s="46" t="s">
        <v>4</v>
      </c>
      <c r="G631" s="46" t="s">
        <v>117</v>
      </c>
      <c r="H631" s="49" t="s">
        <v>148</v>
      </c>
      <c r="I631" s="53">
        <v>36</v>
      </c>
      <c r="J631" s="53">
        <v>19</v>
      </c>
      <c r="K631" s="54">
        <v>0.527777777777778</v>
      </c>
    </row>
    <row r="632" spans="1:11">
      <c r="A632" s="44" t="s">
        <v>192</v>
      </c>
      <c r="B632" s="44" t="s">
        <v>243</v>
      </c>
      <c r="C632" s="44" t="s">
        <v>252</v>
      </c>
      <c r="D632" s="46" t="s">
        <v>82</v>
      </c>
      <c r="E632" s="46" t="s">
        <v>83</v>
      </c>
      <c r="F632" s="46" t="s">
        <v>4</v>
      </c>
      <c r="G632" s="46" t="s">
        <v>118</v>
      </c>
      <c r="H632" s="49" t="s">
        <v>148</v>
      </c>
      <c r="I632" s="53">
        <v>36</v>
      </c>
      <c r="J632" s="53">
        <v>82</v>
      </c>
      <c r="K632" s="54">
        <v>2.27777777777778</v>
      </c>
    </row>
    <row r="633" spans="1:11">
      <c r="A633" s="44" t="s">
        <v>192</v>
      </c>
      <c r="B633" s="44" t="s">
        <v>243</v>
      </c>
      <c r="C633" s="44" t="s">
        <v>252</v>
      </c>
      <c r="D633" s="46" t="s">
        <v>82</v>
      </c>
      <c r="E633" s="46" t="s">
        <v>83</v>
      </c>
      <c r="F633" s="46" t="s">
        <v>4</v>
      </c>
      <c r="G633" s="46" t="s">
        <v>119</v>
      </c>
      <c r="H633" s="49" t="s">
        <v>148</v>
      </c>
      <c r="I633" s="53">
        <v>36</v>
      </c>
      <c r="J633" s="53">
        <v>16</v>
      </c>
      <c r="K633" s="54">
        <v>0.444444444444444</v>
      </c>
    </row>
    <row r="634" spans="1:11">
      <c r="A634" s="44" t="s">
        <v>192</v>
      </c>
      <c r="B634" s="44" t="s">
        <v>243</v>
      </c>
      <c r="C634" s="44" t="s">
        <v>252</v>
      </c>
      <c r="D634" s="46" t="s">
        <v>82</v>
      </c>
      <c r="E634" s="46" t="s">
        <v>83</v>
      </c>
      <c r="F634" s="46" t="s">
        <v>7</v>
      </c>
      <c r="G634" s="46" t="s">
        <v>116</v>
      </c>
      <c r="H634" s="49" t="s">
        <v>148</v>
      </c>
      <c r="I634" s="53">
        <v>55</v>
      </c>
      <c r="J634" s="53">
        <v>50</v>
      </c>
      <c r="K634" s="54">
        <v>0.909090909090909</v>
      </c>
    </row>
    <row r="635" spans="1:11">
      <c r="A635" s="44" t="s">
        <v>192</v>
      </c>
      <c r="B635" s="44" t="s">
        <v>243</v>
      </c>
      <c r="C635" s="44" t="s">
        <v>252</v>
      </c>
      <c r="D635" s="46" t="s">
        <v>82</v>
      </c>
      <c r="E635" s="46" t="s">
        <v>83</v>
      </c>
      <c r="F635" s="46" t="s">
        <v>7</v>
      </c>
      <c r="G635" s="46" t="s">
        <v>117</v>
      </c>
      <c r="H635" s="49" t="s">
        <v>148</v>
      </c>
      <c r="I635" s="53">
        <v>55</v>
      </c>
      <c r="J635" s="53">
        <v>65</v>
      </c>
      <c r="K635" s="54">
        <v>1.18181818181818</v>
      </c>
    </row>
    <row r="636" spans="1:11">
      <c r="A636" s="44" t="s">
        <v>192</v>
      </c>
      <c r="B636" s="44" t="s">
        <v>243</v>
      </c>
      <c r="C636" s="44" t="s">
        <v>252</v>
      </c>
      <c r="D636" s="46" t="s">
        <v>82</v>
      </c>
      <c r="E636" s="46" t="s">
        <v>83</v>
      </c>
      <c r="F636" s="46" t="s">
        <v>7</v>
      </c>
      <c r="G636" s="46" t="s">
        <v>118</v>
      </c>
      <c r="H636" s="49" t="s">
        <v>148</v>
      </c>
      <c r="I636" s="53">
        <v>55</v>
      </c>
      <c r="J636" s="53">
        <v>148</v>
      </c>
      <c r="K636" s="54">
        <v>2.69090909090909</v>
      </c>
    </row>
    <row r="637" spans="1:11">
      <c r="A637" s="44" t="s">
        <v>192</v>
      </c>
      <c r="B637" s="44" t="s">
        <v>243</v>
      </c>
      <c r="C637" s="44" t="s">
        <v>252</v>
      </c>
      <c r="D637" s="46" t="s">
        <v>82</v>
      </c>
      <c r="E637" s="46" t="s">
        <v>83</v>
      </c>
      <c r="F637" s="46" t="s">
        <v>7</v>
      </c>
      <c r="G637" s="46" t="s">
        <v>119</v>
      </c>
      <c r="H637" s="49" t="s">
        <v>148</v>
      </c>
      <c r="I637" s="53">
        <v>55</v>
      </c>
      <c r="J637" s="53">
        <v>43</v>
      </c>
      <c r="K637" s="54">
        <v>0.781818181818182</v>
      </c>
    </row>
    <row r="638" spans="1:11">
      <c r="A638" s="44" t="s">
        <v>192</v>
      </c>
      <c r="B638" s="44" t="s">
        <v>243</v>
      </c>
      <c r="C638" s="44" t="s">
        <v>252</v>
      </c>
      <c r="D638" s="46" t="s">
        <v>82</v>
      </c>
      <c r="E638" s="46" t="s">
        <v>83</v>
      </c>
      <c r="F638" s="46" t="s">
        <v>8</v>
      </c>
      <c r="G638" s="46" t="s">
        <v>116</v>
      </c>
      <c r="H638" s="49" t="s">
        <v>148</v>
      </c>
      <c r="I638" s="53">
        <v>56</v>
      </c>
      <c r="J638" s="53">
        <v>39</v>
      </c>
      <c r="K638" s="54">
        <v>0.696428571428571</v>
      </c>
    </row>
    <row r="639" spans="1:11">
      <c r="A639" s="44" t="s">
        <v>192</v>
      </c>
      <c r="B639" s="44" t="s">
        <v>243</v>
      </c>
      <c r="C639" s="44" t="s">
        <v>252</v>
      </c>
      <c r="D639" s="46" t="s">
        <v>82</v>
      </c>
      <c r="E639" s="46" t="s">
        <v>83</v>
      </c>
      <c r="F639" s="46" t="s">
        <v>8</v>
      </c>
      <c r="G639" s="46" t="s">
        <v>117</v>
      </c>
      <c r="H639" s="49" t="s">
        <v>148</v>
      </c>
      <c r="I639" s="53">
        <v>56</v>
      </c>
      <c r="J639" s="53">
        <v>24</v>
      </c>
      <c r="K639" s="54">
        <v>0.428571428571429</v>
      </c>
    </row>
    <row r="640" spans="1:11">
      <c r="A640" s="44" t="s">
        <v>192</v>
      </c>
      <c r="B640" s="44" t="s">
        <v>243</v>
      </c>
      <c r="C640" s="44" t="s">
        <v>252</v>
      </c>
      <c r="D640" s="46" t="s">
        <v>82</v>
      </c>
      <c r="E640" s="46" t="s">
        <v>83</v>
      </c>
      <c r="F640" s="46" t="s">
        <v>8</v>
      </c>
      <c r="G640" s="46" t="s">
        <v>118</v>
      </c>
      <c r="H640" s="49" t="s">
        <v>148</v>
      </c>
      <c r="I640" s="53">
        <v>56</v>
      </c>
      <c r="J640" s="53">
        <v>106</v>
      </c>
      <c r="K640" s="54">
        <v>1.89285714285714</v>
      </c>
    </row>
    <row r="641" spans="1:11">
      <c r="A641" s="44" t="s">
        <v>192</v>
      </c>
      <c r="B641" s="44" t="s">
        <v>243</v>
      </c>
      <c r="C641" s="44" t="s">
        <v>252</v>
      </c>
      <c r="D641" s="46" t="s">
        <v>82</v>
      </c>
      <c r="E641" s="46" t="s">
        <v>83</v>
      </c>
      <c r="F641" s="46" t="s">
        <v>8</v>
      </c>
      <c r="G641" s="46" t="s">
        <v>119</v>
      </c>
      <c r="H641" s="49" t="s">
        <v>148</v>
      </c>
      <c r="I641" s="53">
        <v>56</v>
      </c>
      <c r="J641" s="53">
        <v>27</v>
      </c>
      <c r="K641" s="54">
        <v>0.482142857142857</v>
      </c>
    </row>
    <row r="642" spans="1:11">
      <c r="A642" s="44" t="s">
        <v>192</v>
      </c>
      <c r="B642" s="44" t="s">
        <v>243</v>
      </c>
      <c r="C642" s="44" t="s">
        <v>252</v>
      </c>
      <c r="D642" s="46" t="s">
        <v>82</v>
      </c>
      <c r="E642" s="46" t="s">
        <v>83</v>
      </c>
      <c r="F642" s="46" t="s">
        <v>6</v>
      </c>
      <c r="G642" s="46" t="s">
        <v>116</v>
      </c>
      <c r="H642" s="49" t="s">
        <v>148</v>
      </c>
      <c r="I642" s="53">
        <v>70</v>
      </c>
      <c r="J642" s="53">
        <v>58</v>
      </c>
      <c r="K642" s="54">
        <v>0.828571428571429</v>
      </c>
    </row>
    <row r="643" spans="1:11">
      <c r="A643" s="44" t="s">
        <v>192</v>
      </c>
      <c r="B643" s="44" t="s">
        <v>243</v>
      </c>
      <c r="C643" s="44" t="s">
        <v>252</v>
      </c>
      <c r="D643" s="46" t="s">
        <v>82</v>
      </c>
      <c r="E643" s="46" t="s">
        <v>83</v>
      </c>
      <c r="F643" s="46" t="s">
        <v>6</v>
      </c>
      <c r="G643" s="46" t="s">
        <v>117</v>
      </c>
      <c r="H643" s="49" t="s">
        <v>148</v>
      </c>
      <c r="I643" s="53">
        <v>70</v>
      </c>
      <c r="J643" s="53">
        <v>48</v>
      </c>
      <c r="K643" s="54">
        <v>0.685714285714286</v>
      </c>
    </row>
    <row r="644" spans="1:11">
      <c r="A644" s="44" t="s">
        <v>192</v>
      </c>
      <c r="B644" s="44" t="s">
        <v>243</v>
      </c>
      <c r="C644" s="44" t="s">
        <v>252</v>
      </c>
      <c r="D644" s="46" t="s">
        <v>82</v>
      </c>
      <c r="E644" s="46" t="s">
        <v>83</v>
      </c>
      <c r="F644" s="46" t="s">
        <v>6</v>
      </c>
      <c r="G644" s="46" t="s">
        <v>118</v>
      </c>
      <c r="H644" s="49" t="s">
        <v>148</v>
      </c>
      <c r="I644" s="53">
        <v>70</v>
      </c>
      <c r="J644" s="53">
        <v>155</v>
      </c>
      <c r="K644" s="54">
        <v>2.21428571428571</v>
      </c>
    </row>
    <row r="645" spans="1:11">
      <c r="A645" s="44" t="s">
        <v>192</v>
      </c>
      <c r="B645" s="44" t="s">
        <v>243</v>
      </c>
      <c r="C645" s="44" t="s">
        <v>252</v>
      </c>
      <c r="D645" s="46" t="s">
        <v>82</v>
      </c>
      <c r="E645" s="46" t="s">
        <v>83</v>
      </c>
      <c r="F645" s="46" t="s">
        <v>6</v>
      </c>
      <c r="G645" s="46" t="s">
        <v>119</v>
      </c>
      <c r="H645" s="49" t="s">
        <v>148</v>
      </c>
      <c r="I645" s="53">
        <v>70</v>
      </c>
      <c r="J645" s="53">
        <v>61</v>
      </c>
      <c r="K645" s="54">
        <v>0.871428571428571</v>
      </c>
    </row>
    <row r="646" spans="1:11">
      <c r="A646" s="46" t="s">
        <v>179</v>
      </c>
      <c r="B646" s="46">
        <v>2025</v>
      </c>
      <c r="C646" s="46" t="s">
        <v>252</v>
      </c>
      <c r="D646" s="46" t="s">
        <v>82</v>
      </c>
      <c r="E646" s="46" t="s">
        <v>83</v>
      </c>
      <c r="F646" s="46" t="s">
        <v>3</v>
      </c>
      <c r="G646" s="46" t="s">
        <v>116</v>
      </c>
      <c r="H646" s="49" t="s">
        <v>159</v>
      </c>
      <c r="I646" s="53">
        <v>53</v>
      </c>
      <c r="J646" s="53">
        <v>41.3</v>
      </c>
      <c r="K646" s="54">
        <v>0.779245283018868</v>
      </c>
    </row>
    <row r="647" spans="1:11">
      <c r="A647" s="46" t="s">
        <v>179</v>
      </c>
      <c r="B647" s="46">
        <v>2025</v>
      </c>
      <c r="C647" s="46" t="s">
        <v>252</v>
      </c>
      <c r="D647" s="46" t="s">
        <v>82</v>
      </c>
      <c r="E647" s="46" t="s">
        <v>83</v>
      </c>
      <c r="F647" s="46" t="s">
        <v>3</v>
      </c>
      <c r="G647" s="46" t="s">
        <v>117</v>
      </c>
      <c r="H647" s="49" t="s">
        <v>159</v>
      </c>
      <c r="I647" s="53">
        <v>53</v>
      </c>
      <c r="J647" s="53">
        <v>19</v>
      </c>
      <c r="K647" s="54">
        <v>0.358490566037736</v>
      </c>
    </row>
    <row r="648" spans="1:11">
      <c r="A648" s="46" t="s">
        <v>179</v>
      </c>
      <c r="B648" s="46">
        <v>2025</v>
      </c>
      <c r="C648" s="46" t="s">
        <v>252</v>
      </c>
      <c r="D648" s="46" t="s">
        <v>82</v>
      </c>
      <c r="E648" s="46" t="s">
        <v>83</v>
      </c>
      <c r="F648" s="46" t="s">
        <v>3</v>
      </c>
      <c r="G648" s="46" t="s">
        <v>118</v>
      </c>
      <c r="H648" s="49" t="s">
        <v>159</v>
      </c>
      <c r="I648" s="53">
        <v>53</v>
      </c>
      <c r="J648" s="53">
        <v>99.3</v>
      </c>
      <c r="K648" s="54">
        <v>1.87358490566038</v>
      </c>
    </row>
    <row r="649" spans="1:11">
      <c r="A649" s="46" t="s">
        <v>179</v>
      </c>
      <c r="B649" s="46">
        <v>2025</v>
      </c>
      <c r="C649" s="46" t="s">
        <v>252</v>
      </c>
      <c r="D649" s="46" t="s">
        <v>82</v>
      </c>
      <c r="E649" s="46" t="s">
        <v>83</v>
      </c>
      <c r="F649" s="46" t="s">
        <v>3</v>
      </c>
      <c r="G649" s="46" t="s">
        <v>119</v>
      </c>
      <c r="H649" s="49" t="s">
        <v>159</v>
      </c>
      <c r="I649" s="53">
        <v>53</v>
      </c>
      <c r="J649" s="53">
        <v>36.7</v>
      </c>
      <c r="K649" s="54">
        <v>0.692452830188679</v>
      </c>
    </row>
    <row r="650" spans="1:11">
      <c r="A650" s="46" t="s">
        <v>179</v>
      </c>
      <c r="B650" s="46">
        <v>2025</v>
      </c>
      <c r="C650" s="46" t="s">
        <v>252</v>
      </c>
      <c r="D650" s="46" t="s">
        <v>82</v>
      </c>
      <c r="E650" s="46" t="s">
        <v>83</v>
      </c>
      <c r="F650" s="46" t="s">
        <v>9</v>
      </c>
      <c r="G650" s="46" t="s">
        <v>116</v>
      </c>
      <c r="H650" s="49" t="s">
        <v>159</v>
      </c>
      <c r="I650" s="53">
        <v>57</v>
      </c>
      <c r="J650" s="53">
        <v>48</v>
      </c>
      <c r="K650" s="54">
        <v>0.842105263157895</v>
      </c>
    </row>
    <row r="651" spans="1:11">
      <c r="A651" s="46" t="s">
        <v>179</v>
      </c>
      <c r="B651" s="46">
        <v>2025</v>
      </c>
      <c r="C651" s="46" t="s">
        <v>252</v>
      </c>
      <c r="D651" s="46" t="s">
        <v>82</v>
      </c>
      <c r="E651" s="46" t="s">
        <v>83</v>
      </c>
      <c r="F651" s="46" t="s">
        <v>9</v>
      </c>
      <c r="G651" s="46" t="s">
        <v>117</v>
      </c>
      <c r="H651" s="49" t="s">
        <v>159</v>
      </c>
      <c r="I651" s="53">
        <v>57</v>
      </c>
      <c r="J651" s="53">
        <v>26.7</v>
      </c>
      <c r="K651" s="54">
        <v>0.468421052631579</v>
      </c>
    </row>
    <row r="652" spans="1:11">
      <c r="A652" s="46" t="s">
        <v>179</v>
      </c>
      <c r="B652" s="46">
        <v>2025</v>
      </c>
      <c r="C652" s="46" t="s">
        <v>252</v>
      </c>
      <c r="D652" s="46" t="s">
        <v>82</v>
      </c>
      <c r="E652" s="46" t="s">
        <v>83</v>
      </c>
      <c r="F652" s="46" t="s">
        <v>9</v>
      </c>
      <c r="G652" s="46" t="s">
        <v>118</v>
      </c>
      <c r="H652" s="49" t="s">
        <v>159</v>
      </c>
      <c r="I652" s="53">
        <v>57</v>
      </c>
      <c r="J652" s="53">
        <v>91</v>
      </c>
      <c r="K652" s="54">
        <v>1.59649122807018</v>
      </c>
    </row>
    <row r="653" spans="1:11">
      <c r="A653" s="46" t="s">
        <v>179</v>
      </c>
      <c r="B653" s="46">
        <v>2025</v>
      </c>
      <c r="C653" s="46" t="s">
        <v>252</v>
      </c>
      <c r="D653" s="46" t="s">
        <v>82</v>
      </c>
      <c r="E653" s="46" t="s">
        <v>83</v>
      </c>
      <c r="F653" s="46" t="s">
        <v>9</v>
      </c>
      <c r="G653" s="46" t="s">
        <v>119</v>
      </c>
      <c r="H653" s="49" t="s">
        <v>159</v>
      </c>
      <c r="I653" s="53">
        <v>57</v>
      </c>
      <c r="J653" s="53">
        <v>30.5</v>
      </c>
      <c r="K653" s="54">
        <v>0.535087719298246</v>
      </c>
    </row>
    <row r="654" spans="1:11">
      <c r="A654" s="46" t="s">
        <v>179</v>
      </c>
      <c r="B654" s="46">
        <v>2025</v>
      </c>
      <c r="C654" s="46" t="s">
        <v>252</v>
      </c>
      <c r="D654" s="46" t="s">
        <v>82</v>
      </c>
      <c r="E654" s="46" t="s">
        <v>83</v>
      </c>
      <c r="F654" s="46" t="s">
        <v>5</v>
      </c>
      <c r="G654" s="46" t="s">
        <v>116</v>
      </c>
      <c r="H654" s="49" t="s">
        <v>159</v>
      </c>
      <c r="I654" s="53">
        <v>48</v>
      </c>
      <c r="J654" s="53">
        <v>44.1</v>
      </c>
      <c r="K654" s="54">
        <v>0.91875</v>
      </c>
    </row>
    <row r="655" spans="1:11">
      <c r="A655" s="46" t="s">
        <v>179</v>
      </c>
      <c r="B655" s="46">
        <v>2025</v>
      </c>
      <c r="C655" s="46" t="s">
        <v>252</v>
      </c>
      <c r="D655" s="46" t="s">
        <v>82</v>
      </c>
      <c r="E655" s="46" t="s">
        <v>83</v>
      </c>
      <c r="F655" s="46" t="s">
        <v>5</v>
      </c>
      <c r="G655" s="46" t="s">
        <v>117</v>
      </c>
      <c r="H655" s="49" t="s">
        <v>159</v>
      </c>
      <c r="I655" s="53">
        <v>48</v>
      </c>
      <c r="J655" s="53">
        <v>33.5</v>
      </c>
      <c r="K655" s="54">
        <v>0.697916666666667</v>
      </c>
    </row>
    <row r="656" spans="1:11">
      <c r="A656" s="46" t="s">
        <v>179</v>
      </c>
      <c r="B656" s="46">
        <v>2025</v>
      </c>
      <c r="C656" s="46" t="s">
        <v>252</v>
      </c>
      <c r="D656" s="46" t="s">
        <v>82</v>
      </c>
      <c r="E656" s="46" t="s">
        <v>83</v>
      </c>
      <c r="F656" s="46" t="s">
        <v>5</v>
      </c>
      <c r="G656" s="46" t="s">
        <v>118</v>
      </c>
      <c r="H656" s="49" t="s">
        <v>159</v>
      </c>
      <c r="I656" s="53">
        <v>48</v>
      </c>
      <c r="J656" s="53">
        <v>113.5</v>
      </c>
      <c r="K656" s="54">
        <v>2.36458333333333</v>
      </c>
    </row>
    <row r="657" spans="1:11">
      <c r="A657" s="46" t="s">
        <v>179</v>
      </c>
      <c r="B657" s="46">
        <v>2025</v>
      </c>
      <c r="C657" s="46" t="s">
        <v>252</v>
      </c>
      <c r="D657" s="46" t="s">
        <v>82</v>
      </c>
      <c r="E657" s="46" t="s">
        <v>83</v>
      </c>
      <c r="F657" s="46" t="s">
        <v>5</v>
      </c>
      <c r="G657" s="46" t="s">
        <v>119</v>
      </c>
      <c r="H657" s="49" t="s">
        <v>159</v>
      </c>
      <c r="I657" s="53">
        <v>48</v>
      </c>
      <c r="J657" s="53">
        <v>35.9</v>
      </c>
      <c r="K657" s="54">
        <v>0.747916666666667</v>
      </c>
    </row>
    <row r="658" spans="1:11">
      <c r="A658" s="46" t="s">
        <v>179</v>
      </c>
      <c r="B658" s="46">
        <v>2025</v>
      </c>
      <c r="C658" s="46" t="s">
        <v>252</v>
      </c>
      <c r="D658" s="46" t="s">
        <v>82</v>
      </c>
      <c r="E658" s="46" t="s">
        <v>83</v>
      </c>
      <c r="F658" s="46" t="s">
        <v>4</v>
      </c>
      <c r="G658" s="46" t="s">
        <v>116</v>
      </c>
      <c r="H658" s="49" t="s">
        <v>159</v>
      </c>
      <c r="I658" s="53">
        <v>36</v>
      </c>
      <c r="J658" s="53">
        <v>17.8</v>
      </c>
      <c r="K658" s="54">
        <v>0.494444444444444</v>
      </c>
    </row>
    <row r="659" spans="1:11">
      <c r="A659" s="46" t="s">
        <v>179</v>
      </c>
      <c r="B659" s="46">
        <v>2025</v>
      </c>
      <c r="C659" s="46" t="s">
        <v>252</v>
      </c>
      <c r="D659" s="46" t="s">
        <v>82</v>
      </c>
      <c r="E659" s="46" t="s">
        <v>83</v>
      </c>
      <c r="F659" s="46" t="s">
        <v>4</v>
      </c>
      <c r="G659" s="46" t="s">
        <v>117</v>
      </c>
      <c r="H659" s="49" t="s">
        <v>159</v>
      </c>
      <c r="I659" s="53">
        <v>36</v>
      </c>
      <c r="J659" s="53">
        <v>13.7</v>
      </c>
      <c r="K659" s="54">
        <v>0.380555555555556</v>
      </c>
    </row>
    <row r="660" spans="1:11">
      <c r="A660" s="46" t="s">
        <v>179</v>
      </c>
      <c r="B660" s="46">
        <v>2025</v>
      </c>
      <c r="C660" s="46" t="s">
        <v>252</v>
      </c>
      <c r="D660" s="46" t="s">
        <v>82</v>
      </c>
      <c r="E660" s="46" t="s">
        <v>83</v>
      </c>
      <c r="F660" s="46" t="s">
        <v>4</v>
      </c>
      <c r="G660" s="46" t="s">
        <v>118</v>
      </c>
      <c r="H660" s="49" t="s">
        <v>159</v>
      </c>
      <c r="I660" s="53">
        <v>36</v>
      </c>
      <c r="J660" s="53">
        <v>50.6</v>
      </c>
      <c r="K660" s="54">
        <v>1.40555555555556</v>
      </c>
    </row>
    <row r="661" spans="1:11">
      <c r="A661" s="46" t="s">
        <v>179</v>
      </c>
      <c r="B661" s="46">
        <v>2025</v>
      </c>
      <c r="C661" s="46" t="s">
        <v>252</v>
      </c>
      <c r="D661" s="46" t="s">
        <v>82</v>
      </c>
      <c r="E661" s="46" t="s">
        <v>83</v>
      </c>
      <c r="F661" s="46" t="s">
        <v>4</v>
      </c>
      <c r="G661" s="46" t="s">
        <v>119</v>
      </c>
      <c r="H661" s="49" t="s">
        <v>159</v>
      </c>
      <c r="I661" s="53">
        <v>36</v>
      </c>
      <c r="J661" s="53">
        <v>17</v>
      </c>
      <c r="K661" s="54">
        <v>0.472222222222222</v>
      </c>
    </row>
    <row r="662" spans="1:11">
      <c r="A662" s="46" t="s">
        <v>179</v>
      </c>
      <c r="B662" s="46">
        <v>2025</v>
      </c>
      <c r="C662" s="46" t="s">
        <v>252</v>
      </c>
      <c r="D662" s="46" t="s">
        <v>82</v>
      </c>
      <c r="E662" s="46" t="s">
        <v>83</v>
      </c>
      <c r="F662" s="46" t="s">
        <v>7</v>
      </c>
      <c r="G662" s="46" t="s">
        <v>116</v>
      </c>
      <c r="H662" s="49" t="s">
        <v>159</v>
      </c>
      <c r="I662" s="53">
        <v>55</v>
      </c>
      <c r="J662" s="53">
        <v>35</v>
      </c>
      <c r="K662" s="54">
        <v>0.636363636363636</v>
      </c>
    </row>
    <row r="663" spans="1:11">
      <c r="A663" s="46" t="s">
        <v>179</v>
      </c>
      <c r="B663" s="46">
        <v>2025</v>
      </c>
      <c r="C663" s="46" t="s">
        <v>252</v>
      </c>
      <c r="D663" s="46" t="s">
        <v>82</v>
      </c>
      <c r="E663" s="46" t="s">
        <v>83</v>
      </c>
      <c r="F663" s="46" t="s">
        <v>7</v>
      </c>
      <c r="G663" s="46" t="s">
        <v>117</v>
      </c>
      <c r="H663" s="49" t="s">
        <v>159</v>
      </c>
      <c r="I663" s="53">
        <v>55</v>
      </c>
      <c r="J663" s="53">
        <v>28.6</v>
      </c>
      <c r="K663" s="54">
        <v>0.52</v>
      </c>
    </row>
    <row r="664" spans="1:11">
      <c r="A664" s="46" t="s">
        <v>179</v>
      </c>
      <c r="B664" s="46">
        <v>2025</v>
      </c>
      <c r="C664" s="46" t="s">
        <v>252</v>
      </c>
      <c r="D664" s="46" t="s">
        <v>82</v>
      </c>
      <c r="E664" s="46" t="s">
        <v>83</v>
      </c>
      <c r="F664" s="46" t="s">
        <v>7</v>
      </c>
      <c r="G664" s="46" t="s">
        <v>118</v>
      </c>
      <c r="H664" s="49" t="s">
        <v>159</v>
      </c>
      <c r="I664" s="53">
        <v>55</v>
      </c>
      <c r="J664" s="53">
        <v>121.5</v>
      </c>
      <c r="K664" s="54">
        <v>2.20909090909091</v>
      </c>
    </row>
    <row r="665" spans="1:11">
      <c r="A665" s="46" t="s">
        <v>179</v>
      </c>
      <c r="B665" s="46">
        <v>2025</v>
      </c>
      <c r="C665" s="46" t="s">
        <v>252</v>
      </c>
      <c r="D665" s="46" t="s">
        <v>82</v>
      </c>
      <c r="E665" s="46" t="s">
        <v>83</v>
      </c>
      <c r="F665" s="46" t="s">
        <v>7</v>
      </c>
      <c r="G665" s="46" t="s">
        <v>119</v>
      </c>
      <c r="H665" s="49" t="s">
        <v>159</v>
      </c>
      <c r="I665" s="53">
        <v>55</v>
      </c>
      <c r="J665" s="53">
        <v>60.1</v>
      </c>
      <c r="K665" s="54">
        <v>1.09272727272727</v>
      </c>
    </row>
    <row r="666" spans="1:11">
      <c r="A666" s="46" t="s">
        <v>179</v>
      </c>
      <c r="B666" s="46">
        <v>2025</v>
      </c>
      <c r="C666" s="46" t="s">
        <v>252</v>
      </c>
      <c r="D666" s="46" t="s">
        <v>82</v>
      </c>
      <c r="E666" s="46" t="s">
        <v>83</v>
      </c>
      <c r="F666" s="46" t="s">
        <v>8</v>
      </c>
      <c r="G666" s="46" t="s">
        <v>116</v>
      </c>
      <c r="H666" s="49" t="s">
        <v>159</v>
      </c>
      <c r="I666" s="53">
        <v>56</v>
      </c>
      <c r="J666" s="53">
        <v>46.9</v>
      </c>
      <c r="K666" s="54">
        <v>0.8375</v>
      </c>
    </row>
    <row r="667" spans="1:11">
      <c r="A667" s="46" t="s">
        <v>179</v>
      </c>
      <c r="B667" s="46">
        <v>2025</v>
      </c>
      <c r="C667" s="46" t="s">
        <v>252</v>
      </c>
      <c r="D667" s="46" t="s">
        <v>82</v>
      </c>
      <c r="E667" s="46" t="s">
        <v>83</v>
      </c>
      <c r="F667" s="46" t="s">
        <v>8</v>
      </c>
      <c r="G667" s="46" t="s">
        <v>117</v>
      </c>
      <c r="H667" s="49" t="s">
        <v>159</v>
      </c>
      <c r="I667" s="53">
        <v>56</v>
      </c>
      <c r="J667" s="53">
        <v>15.6</v>
      </c>
      <c r="K667" s="54">
        <v>0.278571428571429</v>
      </c>
    </row>
    <row r="668" spans="1:11">
      <c r="A668" s="46" t="s">
        <v>179</v>
      </c>
      <c r="B668" s="46">
        <v>2025</v>
      </c>
      <c r="C668" s="46" t="s">
        <v>252</v>
      </c>
      <c r="D668" s="46" t="s">
        <v>82</v>
      </c>
      <c r="E668" s="46" t="s">
        <v>83</v>
      </c>
      <c r="F668" s="46" t="s">
        <v>8</v>
      </c>
      <c r="G668" s="46" t="s">
        <v>118</v>
      </c>
      <c r="H668" s="49" t="s">
        <v>159</v>
      </c>
      <c r="I668" s="53">
        <v>56</v>
      </c>
      <c r="J668" s="53">
        <v>83.3</v>
      </c>
      <c r="K668" s="54">
        <v>1.4875</v>
      </c>
    </row>
    <row r="669" spans="1:11">
      <c r="A669" s="46" t="s">
        <v>179</v>
      </c>
      <c r="B669" s="46">
        <v>2025</v>
      </c>
      <c r="C669" s="46" t="s">
        <v>252</v>
      </c>
      <c r="D669" s="46" t="s">
        <v>82</v>
      </c>
      <c r="E669" s="46" t="s">
        <v>83</v>
      </c>
      <c r="F669" s="46" t="s">
        <v>8</v>
      </c>
      <c r="G669" s="46" t="s">
        <v>119</v>
      </c>
      <c r="H669" s="49" t="s">
        <v>159</v>
      </c>
      <c r="I669" s="53">
        <v>56</v>
      </c>
      <c r="J669" s="53">
        <v>25</v>
      </c>
      <c r="K669" s="54">
        <v>0.446428571428571</v>
      </c>
    </row>
    <row r="670" spans="1:11">
      <c r="A670" s="46" t="s">
        <v>179</v>
      </c>
      <c r="B670" s="46">
        <v>2025</v>
      </c>
      <c r="C670" s="46" t="s">
        <v>252</v>
      </c>
      <c r="D670" s="46" t="s">
        <v>82</v>
      </c>
      <c r="E670" s="46" t="s">
        <v>83</v>
      </c>
      <c r="F670" s="46" t="s">
        <v>6</v>
      </c>
      <c r="G670" s="46" t="s">
        <v>116</v>
      </c>
      <c r="H670" s="49" t="s">
        <v>159</v>
      </c>
      <c r="I670" s="53">
        <v>70</v>
      </c>
      <c r="J670" s="53">
        <v>29.6</v>
      </c>
      <c r="K670" s="54">
        <v>0.422857142857143</v>
      </c>
    </row>
    <row r="671" spans="1:11">
      <c r="A671" s="46" t="s">
        <v>179</v>
      </c>
      <c r="B671" s="46">
        <v>2025</v>
      </c>
      <c r="C671" s="46" t="s">
        <v>252</v>
      </c>
      <c r="D671" s="46" t="s">
        <v>82</v>
      </c>
      <c r="E671" s="46" t="s">
        <v>83</v>
      </c>
      <c r="F671" s="46" t="s">
        <v>6</v>
      </c>
      <c r="G671" s="46" t="s">
        <v>117</v>
      </c>
      <c r="H671" s="49" t="s">
        <v>159</v>
      </c>
      <c r="I671" s="53">
        <v>70</v>
      </c>
      <c r="J671" s="53">
        <v>24.7</v>
      </c>
      <c r="K671" s="54">
        <v>0.352857142857143</v>
      </c>
    </row>
    <row r="672" spans="1:11">
      <c r="A672" s="46" t="s">
        <v>179</v>
      </c>
      <c r="B672" s="46">
        <v>2025</v>
      </c>
      <c r="C672" s="46" t="s">
        <v>252</v>
      </c>
      <c r="D672" s="46" t="s">
        <v>82</v>
      </c>
      <c r="E672" s="46" t="s">
        <v>83</v>
      </c>
      <c r="F672" s="46" t="s">
        <v>6</v>
      </c>
      <c r="G672" s="46" t="s">
        <v>118</v>
      </c>
      <c r="H672" s="49" t="s">
        <v>159</v>
      </c>
      <c r="I672" s="53">
        <v>70</v>
      </c>
      <c r="J672" s="53">
        <v>89.7</v>
      </c>
      <c r="K672" s="54">
        <v>1.28142857142857</v>
      </c>
    </row>
    <row r="673" spans="1:11">
      <c r="A673" s="46" t="s">
        <v>179</v>
      </c>
      <c r="B673" s="46">
        <v>2025</v>
      </c>
      <c r="C673" s="46" t="s">
        <v>252</v>
      </c>
      <c r="D673" s="46" t="s">
        <v>82</v>
      </c>
      <c r="E673" s="46" t="s">
        <v>83</v>
      </c>
      <c r="F673" s="46" t="s">
        <v>6</v>
      </c>
      <c r="G673" s="46" t="s">
        <v>119</v>
      </c>
      <c r="H673" s="49" t="s">
        <v>159</v>
      </c>
      <c r="I673" s="53">
        <v>70</v>
      </c>
      <c r="J673" s="53">
        <v>63.5</v>
      </c>
      <c r="K673" s="54">
        <v>0.907142857142857</v>
      </c>
    </row>
    <row r="674" spans="1:11">
      <c r="A674" s="44" t="s">
        <v>182</v>
      </c>
      <c r="B674" s="44" t="s">
        <v>242</v>
      </c>
      <c r="C674" s="44" t="s">
        <v>253</v>
      </c>
      <c r="D674" s="46" t="s">
        <v>82</v>
      </c>
      <c r="E674" s="46" t="s">
        <v>83</v>
      </c>
      <c r="F674" s="46" t="s">
        <v>3</v>
      </c>
      <c r="G674" s="46" t="s">
        <v>116</v>
      </c>
      <c r="H674" s="49" t="s">
        <v>159</v>
      </c>
      <c r="I674" s="53">
        <v>53</v>
      </c>
      <c r="J674" s="53">
        <v>37.8</v>
      </c>
      <c r="K674" s="54">
        <v>0.713207547169811</v>
      </c>
    </row>
    <row r="675" spans="1:11">
      <c r="A675" s="44" t="s">
        <v>182</v>
      </c>
      <c r="B675" s="44" t="s">
        <v>242</v>
      </c>
      <c r="C675" s="44" t="s">
        <v>253</v>
      </c>
      <c r="D675" s="46" t="s">
        <v>82</v>
      </c>
      <c r="E675" s="46" t="s">
        <v>83</v>
      </c>
      <c r="F675" s="46" t="s">
        <v>3</v>
      </c>
      <c r="G675" s="46" t="s">
        <v>117</v>
      </c>
      <c r="H675" s="49" t="s">
        <v>159</v>
      </c>
      <c r="I675" s="53">
        <v>53</v>
      </c>
      <c r="J675" s="53">
        <v>19.8</v>
      </c>
      <c r="K675" s="54">
        <v>0.373584905660377</v>
      </c>
    </row>
    <row r="676" spans="1:11">
      <c r="A676" s="44" t="s">
        <v>182</v>
      </c>
      <c r="B676" s="44" t="s">
        <v>242</v>
      </c>
      <c r="C676" s="44" t="s">
        <v>253</v>
      </c>
      <c r="D676" s="46" t="s">
        <v>82</v>
      </c>
      <c r="E676" s="46" t="s">
        <v>83</v>
      </c>
      <c r="F676" s="46" t="s">
        <v>3</v>
      </c>
      <c r="G676" s="46" t="s">
        <v>118</v>
      </c>
      <c r="H676" s="49" t="s">
        <v>159</v>
      </c>
      <c r="I676" s="53">
        <v>53</v>
      </c>
      <c r="J676" s="53">
        <v>68.2</v>
      </c>
      <c r="K676" s="54">
        <v>1.28679245283019</v>
      </c>
    </row>
    <row r="677" spans="1:11">
      <c r="A677" s="44" t="s">
        <v>182</v>
      </c>
      <c r="B677" s="44" t="s">
        <v>242</v>
      </c>
      <c r="C677" s="44" t="s">
        <v>253</v>
      </c>
      <c r="D677" s="46" t="s">
        <v>82</v>
      </c>
      <c r="E677" s="46" t="s">
        <v>83</v>
      </c>
      <c r="F677" s="46" t="s">
        <v>3</v>
      </c>
      <c r="G677" s="46" t="s">
        <v>119</v>
      </c>
      <c r="H677" s="49" t="s">
        <v>159</v>
      </c>
      <c r="I677" s="53">
        <v>53</v>
      </c>
      <c r="J677" s="53">
        <v>32.3</v>
      </c>
      <c r="K677" s="54">
        <v>0.609433962264151</v>
      </c>
    </row>
    <row r="678" spans="1:11">
      <c r="A678" s="44" t="s">
        <v>182</v>
      </c>
      <c r="B678" s="44" t="s">
        <v>242</v>
      </c>
      <c r="C678" s="44" t="s">
        <v>253</v>
      </c>
      <c r="D678" s="46" t="s">
        <v>82</v>
      </c>
      <c r="E678" s="46" t="s">
        <v>83</v>
      </c>
      <c r="F678" s="46" t="s">
        <v>9</v>
      </c>
      <c r="G678" s="46" t="s">
        <v>116</v>
      </c>
      <c r="H678" s="49" t="s">
        <v>159</v>
      </c>
      <c r="I678" s="53">
        <v>57</v>
      </c>
      <c r="J678" s="53">
        <v>33</v>
      </c>
      <c r="K678" s="54">
        <v>0.578947368421053</v>
      </c>
    </row>
    <row r="679" spans="1:11">
      <c r="A679" s="44" t="s">
        <v>182</v>
      </c>
      <c r="B679" s="44" t="s">
        <v>242</v>
      </c>
      <c r="C679" s="44" t="s">
        <v>253</v>
      </c>
      <c r="D679" s="46" t="s">
        <v>82</v>
      </c>
      <c r="E679" s="46" t="s">
        <v>83</v>
      </c>
      <c r="F679" s="46" t="s">
        <v>9</v>
      </c>
      <c r="G679" s="46" t="s">
        <v>117</v>
      </c>
      <c r="H679" s="49" t="s">
        <v>159</v>
      </c>
      <c r="I679" s="53">
        <v>57</v>
      </c>
      <c r="J679" s="53">
        <v>14.5</v>
      </c>
      <c r="K679" s="54">
        <v>0.254385964912281</v>
      </c>
    </row>
    <row r="680" spans="1:11">
      <c r="A680" s="44" t="s">
        <v>182</v>
      </c>
      <c r="B680" s="44" t="s">
        <v>242</v>
      </c>
      <c r="C680" s="44" t="s">
        <v>253</v>
      </c>
      <c r="D680" s="46" t="s">
        <v>82</v>
      </c>
      <c r="E680" s="46" t="s">
        <v>83</v>
      </c>
      <c r="F680" s="46" t="s">
        <v>9</v>
      </c>
      <c r="G680" s="46" t="s">
        <v>118</v>
      </c>
      <c r="H680" s="49" t="s">
        <v>159</v>
      </c>
      <c r="I680" s="53">
        <v>57</v>
      </c>
      <c r="J680" s="53">
        <v>75.2</v>
      </c>
      <c r="K680" s="54">
        <v>1.31929824561404</v>
      </c>
    </row>
    <row r="681" spans="1:11">
      <c r="A681" s="44" t="s">
        <v>182</v>
      </c>
      <c r="B681" s="44" t="s">
        <v>242</v>
      </c>
      <c r="C681" s="44" t="s">
        <v>253</v>
      </c>
      <c r="D681" s="46" t="s">
        <v>82</v>
      </c>
      <c r="E681" s="46" t="s">
        <v>83</v>
      </c>
      <c r="F681" s="46" t="s">
        <v>9</v>
      </c>
      <c r="G681" s="46" t="s">
        <v>119</v>
      </c>
      <c r="H681" s="49" t="s">
        <v>159</v>
      </c>
      <c r="I681" s="53">
        <v>57</v>
      </c>
      <c r="J681" s="53">
        <v>20.4</v>
      </c>
      <c r="K681" s="54">
        <v>0.357894736842105</v>
      </c>
    </row>
    <row r="682" spans="1:11">
      <c r="A682" s="44" t="s">
        <v>182</v>
      </c>
      <c r="B682" s="44" t="s">
        <v>242</v>
      </c>
      <c r="C682" s="44" t="s">
        <v>253</v>
      </c>
      <c r="D682" s="46" t="s">
        <v>82</v>
      </c>
      <c r="E682" s="46" t="s">
        <v>83</v>
      </c>
      <c r="F682" s="46" t="s">
        <v>5</v>
      </c>
      <c r="G682" s="46" t="s">
        <v>116</v>
      </c>
      <c r="H682" s="49" t="s">
        <v>159</v>
      </c>
      <c r="I682" s="53">
        <v>48</v>
      </c>
      <c r="J682" s="53">
        <v>77.9</v>
      </c>
      <c r="K682" s="54">
        <v>1.62291666666667</v>
      </c>
    </row>
    <row r="683" spans="1:11">
      <c r="A683" s="44" t="s">
        <v>182</v>
      </c>
      <c r="B683" s="44" t="s">
        <v>242</v>
      </c>
      <c r="C683" s="44" t="s">
        <v>253</v>
      </c>
      <c r="D683" s="46" t="s">
        <v>82</v>
      </c>
      <c r="E683" s="46" t="s">
        <v>83</v>
      </c>
      <c r="F683" s="46" t="s">
        <v>5</v>
      </c>
      <c r="G683" s="46" t="s">
        <v>117</v>
      </c>
      <c r="H683" s="49" t="s">
        <v>159</v>
      </c>
      <c r="I683" s="53">
        <v>48</v>
      </c>
      <c r="J683" s="53">
        <v>49.2</v>
      </c>
      <c r="K683" s="54">
        <v>1.025</v>
      </c>
    </row>
    <row r="684" spans="1:11">
      <c r="A684" s="44" t="s">
        <v>182</v>
      </c>
      <c r="B684" s="44" t="s">
        <v>242</v>
      </c>
      <c r="C684" s="44" t="s">
        <v>253</v>
      </c>
      <c r="D684" s="46" t="s">
        <v>82</v>
      </c>
      <c r="E684" s="46" t="s">
        <v>83</v>
      </c>
      <c r="F684" s="46" t="s">
        <v>5</v>
      </c>
      <c r="G684" s="46" t="s">
        <v>118</v>
      </c>
      <c r="H684" s="49" t="s">
        <v>159</v>
      </c>
      <c r="I684" s="53">
        <v>48</v>
      </c>
      <c r="J684" s="53">
        <v>93.8</v>
      </c>
      <c r="K684" s="54">
        <v>1.95416666666667</v>
      </c>
    </row>
    <row r="685" spans="1:11">
      <c r="A685" s="44" t="s">
        <v>182</v>
      </c>
      <c r="B685" s="44" t="s">
        <v>242</v>
      </c>
      <c r="C685" s="44" t="s">
        <v>253</v>
      </c>
      <c r="D685" s="46" t="s">
        <v>82</v>
      </c>
      <c r="E685" s="46" t="s">
        <v>83</v>
      </c>
      <c r="F685" s="46" t="s">
        <v>5</v>
      </c>
      <c r="G685" s="46" t="s">
        <v>119</v>
      </c>
      <c r="H685" s="49" t="s">
        <v>159</v>
      </c>
      <c r="I685" s="53">
        <v>48</v>
      </c>
      <c r="J685" s="53">
        <v>34.7</v>
      </c>
      <c r="K685" s="54">
        <v>0.722916666666667</v>
      </c>
    </row>
    <row r="686" spans="1:11">
      <c r="A686" s="44" t="s">
        <v>182</v>
      </c>
      <c r="B686" s="44" t="s">
        <v>242</v>
      </c>
      <c r="C686" s="44" t="s">
        <v>253</v>
      </c>
      <c r="D686" s="46" t="s">
        <v>82</v>
      </c>
      <c r="E686" s="46" t="s">
        <v>83</v>
      </c>
      <c r="F686" s="46" t="s">
        <v>4</v>
      </c>
      <c r="G686" s="46" t="s">
        <v>116</v>
      </c>
      <c r="H686" s="49" t="s">
        <v>159</v>
      </c>
      <c r="I686" s="53">
        <v>36</v>
      </c>
      <c r="J686" s="53">
        <v>10.3</v>
      </c>
      <c r="K686" s="54">
        <v>0.286111111111111</v>
      </c>
    </row>
    <row r="687" spans="1:11">
      <c r="A687" s="44" t="s">
        <v>182</v>
      </c>
      <c r="B687" s="44" t="s">
        <v>242</v>
      </c>
      <c r="C687" s="44" t="s">
        <v>253</v>
      </c>
      <c r="D687" s="46" t="s">
        <v>82</v>
      </c>
      <c r="E687" s="46" t="s">
        <v>83</v>
      </c>
      <c r="F687" s="46" t="s">
        <v>4</v>
      </c>
      <c r="G687" s="46" t="s">
        <v>117</v>
      </c>
      <c r="H687" s="49" t="s">
        <v>159</v>
      </c>
      <c r="I687" s="53">
        <v>36</v>
      </c>
      <c r="J687" s="53">
        <v>11.8</v>
      </c>
      <c r="K687" s="54">
        <v>0.327777777777778</v>
      </c>
    </row>
    <row r="688" spans="1:11">
      <c r="A688" s="44" t="s">
        <v>182</v>
      </c>
      <c r="B688" s="44" t="s">
        <v>242</v>
      </c>
      <c r="C688" s="44" t="s">
        <v>253</v>
      </c>
      <c r="D688" s="46" t="s">
        <v>82</v>
      </c>
      <c r="E688" s="46" t="s">
        <v>83</v>
      </c>
      <c r="F688" s="46" t="s">
        <v>4</v>
      </c>
      <c r="G688" s="46" t="s">
        <v>118</v>
      </c>
      <c r="H688" s="49" t="s">
        <v>159</v>
      </c>
      <c r="I688" s="53">
        <v>36</v>
      </c>
      <c r="J688" s="53">
        <v>40.8</v>
      </c>
      <c r="K688" s="54">
        <v>1.13333333333333</v>
      </c>
    </row>
    <row r="689" spans="1:11">
      <c r="A689" s="44" t="s">
        <v>182</v>
      </c>
      <c r="B689" s="44" t="s">
        <v>242</v>
      </c>
      <c r="C689" s="44" t="s">
        <v>253</v>
      </c>
      <c r="D689" s="46" t="s">
        <v>82</v>
      </c>
      <c r="E689" s="46" t="s">
        <v>83</v>
      </c>
      <c r="F689" s="46" t="s">
        <v>4</v>
      </c>
      <c r="G689" s="46" t="s">
        <v>119</v>
      </c>
      <c r="H689" s="49" t="s">
        <v>159</v>
      </c>
      <c r="I689" s="53">
        <v>36</v>
      </c>
      <c r="J689" s="53">
        <v>18.8</v>
      </c>
      <c r="K689" s="54">
        <v>0.522222222222222</v>
      </c>
    </row>
    <row r="690" spans="1:11">
      <c r="A690" s="44" t="s">
        <v>182</v>
      </c>
      <c r="B690" s="44" t="s">
        <v>242</v>
      </c>
      <c r="C690" s="44" t="s">
        <v>253</v>
      </c>
      <c r="D690" s="46" t="s">
        <v>82</v>
      </c>
      <c r="E690" s="46" t="s">
        <v>83</v>
      </c>
      <c r="F690" s="46" t="s">
        <v>7</v>
      </c>
      <c r="G690" s="46" t="s">
        <v>116</v>
      </c>
      <c r="H690" s="49" t="s">
        <v>159</v>
      </c>
      <c r="I690" s="53">
        <v>55</v>
      </c>
      <c r="J690" s="53">
        <v>25.6</v>
      </c>
      <c r="K690" s="54">
        <v>0.465454545454545</v>
      </c>
    </row>
    <row r="691" spans="1:11">
      <c r="A691" s="44" t="s">
        <v>182</v>
      </c>
      <c r="B691" s="44" t="s">
        <v>242</v>
      </c>
      <c r="C691" s="44" t="s">
        <v>253</v>
      </c>
      <c r="D691" s="46" t="s">
        <v>82</v>
      </c>
      <c r="E691" s="46" t="s">
        <v>83</v>
      </c>
      <c r="F691" s="46" t="s">
        <v>7</v>
      </c>
      <c r="G691" s="46" t="s">
        <v>117</v>
      </c>
      <c r="H691" s="49" t="s">
        <v>159</v>
      </c>
      <c r="I691" s="53">
        <v>55</v>
      </c>
      <c r="J691" s="53">
        <v>33.5</v>
      </c>
      <c r="K691" s="54">
        <v>0.609090909090909</v>
      </c>
    </row>
    <row r="692" spans="1:11">
      <c r="A692" s="44" t="s">
        <v>182</v>
      </c>
      <c r="B692" s="44" t="s">
        <v>242</v>
      </c>
      <c r="C692" s="44" t="s">
        <v>253</v>
      </c>
      <c r="D692" s="46" t="s">
        <v>82</v>
      </c>
      <c r="E692" s="46" t="s">
        <v>83</v>
      </c>
      <c r="F692" s="46" t="s">
        <v>7</v>
      </c>
      <c r="G692" s="46" t="s">
        <v>118</v>
      </c>
      <c r="H692" s="49" t="s">
        <v>159</v>
      </c>
      <c r="I692" s="53">
        <v>55</v>
      </c>
      <c r="J692" s="53">
        <v>104.7</v>
      </c>
      <c r="K692" s="54">
        <v>1.90363636363636</v>
      </c>
    </row>
    <row r="693" spans="1:11">
      <c r="A693" s="44" t="s">
        <v>182</v>
      </c>
      <c r="B693" s="44" t="s">
        <v>242</v>
      </c>
      <c r="C693" s="44" t="s">
        <v>253</v>
      </c>
      <c r="D693" s="46" t="s">
        <v>82</v>
      </c>
      <c r="E693" s="46" t="s">
        <v>83</v>
      </c>
      <c r="F693" s="46" t="s">
        <v>7</v>
      </c>
      <c r="G693" s="46" t="s">
        <v>119</v>
      </c>
      <c r="H693" s="49" t="s">
        <v>159</v>
      </c>
      <c r="I693" s="53">
        <v>55</v>
      </c>
      <c r="J693" s="53">
        <v>30.7</v>
      </c>
      <c r="K693" s="54">
        <v>0.558181818181818</v>
      </c>
    </row>
    <row r="694" spans="1:11">
      <c r="A694" s="44" t="s">
        <v>182</v>
      </c>
      <c r="B694" s="44" t="s">
        <v>242</v>
      </c>
      <c r="C694" s="44" t="s">
        <v>253</v>
      </c>
      <c r="D694" s="46" t="s">
        <v>82</v>
      </c>
      <c r="E694" s="46" t="s">
        <v>83</v>
      </c>
      <c r="F694" s="46" t="s">
        <v>8</v>
      </c>
      <c r="G694" s="46" t="s">
        <v>116</v>
      </c>
      <c r="H694" s="49" t="s">
        <v>159</v>
      </c>
      <c r="I694" s="53">
        <v>56</v>
      </c>
      <c r="J694" s="53">
        <v>21</v>
      </c>
      <c r="K694" s="54">
        <v>0.375</v>
      </c>
    </row>
    <row r="695" spans="1:11">
      <c r="A695" s="44" t="s">
        <v>182</v>
      </c>
      <c r="B695" s="44" t="s">
        <v>242</v>
      </c>
      <c r="C695" s="44" t="s">
        <v>253</v>
      </c>
      <c r="D695" s="46" t="s">
        <v>82</v>
      </c>
      <c r="E695" s="46" t="s">
        <v>83</v>
      </c>
      <c r="F695" s="46" t="s">
        <v>8</v>
      </c>
      <c r="G695" s="46" t="s">
        <v>117</v>
      </c>
      <c r="H695" s="49" t="s">
        <v>159</v>
      </c>
      <c r="I695" s="53">
        <v>56</v>
      </c>
      <c r="J695" s="53">
        <v>11.6</v>
      </c>
      <c r="K695" s="54">
        <v>0.207142857142857</v>
      </c>
    </row>
    <row r="696" spans="1:11">
      <c r="A696" s="44" t="s">
        <v>182</v>
      </c>
      <c r="B696" s="44" t="s">
        <v>242</v>
      </c>
      <c r="C696" s="44" t="s">
        <v>253</v>
      </c>
      <c r="D696" s="46" t="s">
        <v>82</v>
      </c>
      <c r="E696" s="46" t="s">
        <v>83</v>
      </c>
      <c r="F696" s="46" t="s">
        <v>8</v>
      </c>
      <c r="G696" s="46" t="s">
        <v>118</v>
      </c>
      <c r="H696" s="49" t="s">
        <v>159</v>
      </c>
      <c r="I696" s="53">
        <v>56</v>
      </c>
      <c r="J696" s="53">
        <v>57.4</v>
      </c>
      <c r="K696" s="54">
        <v>1.025</v>
      </c>
    </row>
    <row r="697" spans="1:11">
      <c r="A697" s="44" t="s">
        <v>182</v>
      </c>
      <c r="B697" s="44" t="s">
        <v>242</v>
      </c>
      <c r="C697" s="44" t="s">
        <v>253</v>
      </c>
      <c r="D697" s="46" t="s">
        <v>82</v>
      </c>
      <c r="E697" s="46" t="s">
        <v>83</v>
      </c>
      <c r="F697" s="46" t="s">
        <v>8</v>
      </c>
      <c r="G697" s="46" t="s">
        <v>119</v>
      </c>
      <c r="H697" s="49" t="s">
        <v>159</v>
      </c>
      <c r="I697" s="53">
        <v>56</v>
      </c>
      <c r="J697" s="53">
        <v>27.3</v>
      </c>
      <c r="K697" s="54">
        <v>0.4875</v>
      </c>
    </row>
    <row r="698" spans="1:11">
      <c r="A698" s="44" t="s">
        <v>182</v>
      </c>
      <c r="B698" s="44" t="s">
        <v>242</v>
      </c>
      <c r="C698" s="44" t="s">
        <v>253</v>
      </c>
      <c r="D698" s="46" t="s">
        <v>82</v>
      </c>
      <c r="E698" s="46" t="s">
        <v>83</v>
      </c>
      <c r="F698" s="46" t="s">
        <v>6</v>
      </c>
      <c r="G698" s="46" t="s">
        <v>116</v>
      </c>
      <c r="H698" s="49" t="s">
        <v>159</v>
      </c>
      <c r="I698" s="53">
        <v>70</v>
      </c>
      <c r="J698" s="53">
        <v>48.4</v>
      </c>
      <c r="K698" s="54">
        <v>0.691428571428571</v>
      </c>
    </row>
    <row r="699" spans="1:11">
      <c r="A699" s="44" t="s">
        <v>182</v>
      </c>
      <c r="B699" s="44" t="s">
        <v>242</v>
      </c>
      <c r="C699" s="44" t="s">
        <v>253</v>
      </c>
      <c r="D699" s="46" t="s">
        <v>82</v>
      </c>
      <c r="E699" s="46" t="s">
        <v>83</v>
      </c>
      <c r="F699" s="46" t="s">
        <v>6</v>
      </c>
      <c r="G699" s="46" t="s">
        <v>117</v>
      </c>
      <c r="H699" s="49" t="s">
        <v>159</v>
      </c>
      <c r="I699" s="53">
        <v>70</v>
      </c>
      <c r="J699" s="53">
        <v>34.7</v>
      </c>
      <c r="K699" s="54">
        <v>0.495714285714286</v>
      </c>
    </row>
    <row r="700" spans="1:11">
      <c r="A700" s="44" t="s">
        <v>182</v>
      </c>
      <c r="B700" s="44" t="s">
        <v>242</v>
      </c>
      <c r="C700" s="44" t="s">
        <v>253</v>
      </c>
      <c r="D700" s="46" t="s">
        <v>82</v>
      </c>
      <c r="E700" s="46" t="s">
        <v>83</v>
      </c>
      <c r="F700" s="46" t="s">
        <v>6</v>
      </c>
      <c r="G700" s="46" t="s">
        <v>118</v>
      </c>
      <c r="H700" s="49" t="s">
        <v>159</v>
      </c>
      <c r="I700" s="53">
        <v>70</v>
      </c>
      <c r="J700" s="53">
        <v>71.4</v>
      </c>
      <c r="K700" s="54">
        <v>1.02</v>
      </c>
    </row>
    <row r="701" spans="1:11">
      <c r="A701" s="44" t="s">
        <v>182</v>
      </c>
      <c r="B701" s="44" t="s">
        <v>242</v>
      </c>
      <c r="C701" s="44" t="s">
        <v>253</v>
      </c>
      <c r="D701" s="46" t="s">
        <v>82</v>
      </c>
      <c r="E701" s="46" t="s">
        <v>83</v>
      </c>
      <c r="F701" s="46" t="s">
        <v>6</v>
      </c>
      <c r="G701" s="46" t="s">
        <v>119</v>
      </c>
      <c r="H701" s="49" t="s">
        <v>159</v>
      </c>
      <c r="I701" s="53">
        <v>70</v>
      </c>
      <c r="J701" s="53">
        <v>42.8</v>
      </c>
      <c r="K701" s="54">
        <v>0.611428571428572</v>
      </c>
    </row>
    <row r="702" spans="1:11">
      <c r="A702" s="46" t="s">
        <v>193</v>
      </c>
      <c r="B702" s="46" t="s">
        <v>243</v>
      </c>
      <c r="C702" s="46" t="s">
        <v>253</v>
      </c>
      <c r="D702" s="46" t="s">
        <v>82</v>
      </c>
      <c r="E702" s="46" t="s">
        <v>83</v>
      </c>
      <c r="F702" s="46" t="s">
        <v>3</v>
      </c>
      <c r="G702" s="46" t="s">
        <v>116</v>
      </c>
      <c r="H702" s="49" t="s">
        <v>148</v>
      </c>
      <c r="I702" s="53">
        <v>53</v>
      </c>
      <c r="J702" s="53">
        <v>47</v>
      </c>
      <c r="K702" s="54">
        <v>0.886792452830189</v>
      </c>
    </row>
    <row r="703" spans="1:11">
      <c r="A703" s="46" t="s">
        <v>193</v>
      </c>
      <c r="B703" s="46" t="s">
        <v>243</v>
      </c>
      <c r="C703" s="46" t="s">
        <v>253</v>
      </c>
      <c r="D703" s="46" t="s">
        <v>82</v>
      </c>
      <c r="E703" s="46" t="s">
        <v>83</v>
      </c>
      <c r="F703" s="46" t="s">
        <v>3</v>
      </c>
      <c r="G703" s="46" t="s">
        <v>117</v>
      </c>
      <c r="H703" s="49" t="s">
        <v>148</v>
      </c>
      <c r="I703" s="53">
        <v>53</v>
      </c>
      <c r="J703" s="53">
        <v>38</v>
      </c>
      <c r="K703" s="54">
        <v>0.716981132075472</v>
      </c>
    </row>
    <row r="704" spans="1:11">
      <c r="A704" s="46" t="s">
        <v>193</v>
      </c>
      <c r="B704" s="46" t="s">
        <v>243</v>
      </c>
      <c r="C704" s="46" t="s">
        <v>253</v>
      </c>
      <c r="D704" s="46" t="s">
        <v>82</v>
      </c>
      <c r="E704" s="46" t="s">
        <v>83</v>
      </c>
      <c r="F704" s="46" t="s">
        <v>3</v>
      </c>
      <c r="G704" s="46" t="s">
        <v>118</v>
      </c>
      <c r="H704" s="49" t="s">
        <v>148</v>
      </c>
      <c r="I704" s="53">
        <v>53</v>
      </c>
      <c r="J704" s="53">
        <v>122</v>
      </c>
      <c r="K704" s="54">
        <v>2.30188679245283</v>
      </c>
    </row>
    <row r="705" spans="1:11">
      <c r="A705" s="46" t="s">
        <v>193</v>
      </c>
      <c r="B705" s="46" t="s">
        <v>243</v>
      </c>
      <c r="C705" s="46" t="s">
        <v>253</v>
      </c>
      <c r="D705" s="46" t="s">
        <v>82</v>
      </c>
      <c r="E705" s="46" t="s">
        <v>83</v>
      </c>
      <c r="F705" s="46" t="s">
        <v>3</v>
      </c>
      <c r="G705" s="46" t="s">
        <v>119</v>
      </c>
      <c r="H705" s="49" t="s">
        <v>148</v>
      </c>
      <c r="I705" s="53">
        <v>53</v>
      </c>
      <c r="J705" s="53">
        <v>61</v>
      </c>
      <c r="K705" s="54">
        <v>1.15094339622642</v>
      </c>
    </row>
    <row r="706" spans="1:11">
      <c r="A706" s="46" t="s">
        <v>193</v>
      </c>
      <c r="B706" s="46" t="s">
        <v>243</v>
      </c>
      <c r="C706" s="46" t="s">
        <v>253</v>
      </c>
      <c r="D706" s="46" t="s">
        <v>82</v>
      </c>
      <c r="E706" s="46" t="s">
        <v>83</v>
      </c>
      <c r="F706" s="46" t="s">
        <v>9</v>
      </c>
      <c r="G706" s="46" t="s">
        <v>116</v>
      </c>
      <c r="H706" s="49" t="s">
        <v>148</v>
      </c>
      <c r="I706" s="53">
        <v>57</v>
      </c>
      <c r="J706" s="53">
        <v>60</v>
      </c>
      <c r="K706" s="54">
        <v>1.05263157894737</v>
      </c>
    </row>
    <row r="707" spans="1:11">
      <c r="A707" s="46" t="s">
        <v>193</v>
      </c>
      <c r="B707" s="46" t="s">
        <v>243</v>
      </c>
      <c r="C707" s="46" t="s">
        <v>253</v>
      </c>
      <c r="D707" s="46" t="s">
        <v>82</v>
      </c>
      <c r="E707" s="46" t="s">
        <v>83</v>
      </c>
      <c r="F707" s="46" t="s">
        <v>9</v>
      </c>
      <c r="G707" s="46" t="s">
        <v>117</v>
      </c>
      <c r="H707" s="49" t="s">
        <v>148</v>
      </c>
      <c r="I707" s="53">
        <v>57</v>
      </c>
      <c r="J707" s="53">
        <v>39</v>
      </c>
      <c r="K707" s="54">
        <v>0.684210526315789</v>
      </c>
    </row>
    <row r="708" spans="1:11">
      <c r="A708" s="46" t="s">
        <v>193</v>
      </c>
      <c r="B708" s="46" t="s">
        <v>243</v>
      </c>
      <c r="C708" s="46" t="s">
        <v>253</v>
      </c>
      <c r="D708" s="46" t="s">
        <v>82</v>
      </c>
      <c r="E708" s="46" t="s">
        <v>83</v>
      </c>
      <c r="F708" s="46" t="s">
        <v>9</v>
      </c>
      <c r="G708" s="46" t="s">
        <v>118</v>
      </c>
      <c r="H708" s="49" t="s">
        <v>148</v>
      </c>
      <c r="I708" s="53">
        <v>57</v>
      </c>
      <c r="J708" s="53">
        <v>111</v>
      </c>
      <c r="K708" s="54">
        <v>1.94736842105263</v>
      </c>
    </row>
    <row r="709" spans="1:11">
      <c r="A709" s="46" t="s">
        <v>193</v>
      </c>
      <c r="B709" s="46" t="s">
        <v>243</v>
      </c>
      <c r="C709" s="46" t="s">
        <v>253</v>
      </c>
      <c r="D709" s="46" t="s">
        <v>82</v>
      </c>
      <c r="E709" s="46" t="s">
        <v>83</v>
      </c>
      <c r="F709" s="46" t="s">
        <v>9</v>
      </c>
      <c r="G709" s="46" t="s">
        <v>119</v>
      </c>
      <c r="H709" s="49" t="s">
        <v>148</v>
      </c>
      <c r="I709" s="53">
        <v>57</v>
      </c>
      <c r="J709" s="53">
        <v>23</v>
      </c>
      <c r="K709" s="54">
        <v>0.403508771929825</v>
      </c>
    </row>
    <row r="710" spans="1:11">
      <c r="A710" s="46" t="s">
        <v>193</v>
      </c>
      <c r="B710" s="46" t="s">
        <v>243</v>
      </c>
      <c r="C710" s="46" t="s">
        <v>253</v>
      </c>
      <c r="D710" s="46" t="s">
        <v>82</v>
      </c>
      <c r="E710" s="46" t="s">
        <v>83</v>
      </c>
      <c r="F710" s="46" t="s">
        <v>5</v>
      </c>
      <c r="G710" s="46" t="s">
        <v>116</v>
      </c>
      <c r="H710" s="49" t="s">
        <v>148</v>
      </c>
      <c r="I710" s="53">
        <v>48</v>
      </c>
      <c r="J710" s="53">
        <v>75</v>
      </c>
      <c r="K710" s="54">
        <v>1.5625</v>
      </c>
    </row>
    <row r="711" spans="1:11">
      <c r="A711" s="46" t="s">
        <v>193</v>
      </c>
      <c r="B711" s="46" t="s">
        <v>243</v>
      </c>
      <c r="C711" s="46" t="s">
        <v>253</v>
      </c>
      <c r="D711" s="46" t="s">
        <v>82</v>
      </c>
      <c r="E711" s="46" t="s">
        <v>83</v>
      </c>
      <c r="F711" s="46" t="s">
        <v>5</v>
      </c>
      <c r="G711" s="46" t="s">
        <v>117</v>
      </c>
      <c r="H711" s="49" t="s">
        <v>148</v>
      </c>
      <c r="I711" s="53">
        <v>48</v>
      </c>
      <c r="J711" s="53">
        <v>62</v>
      </c>
      <c r="K711" s="54">
        <v>1.29166666666667</v>
      </c>
    </row>
    <row r="712" spans="1:11">
      <c r="A712" s="46" t="s">
        <v>193</v>
      </c>
      <c r="B712" s="46" t="s">
        <v>243</v>
      </c>
      <c r="C712" s="46" t="s">
        <v>253</v>
      </c>
      <c r="D712" s="46" t="s">
        <v>82</v>
      </c>
      <c r="E712" s="46" t="s">
        <v>83</v>
      </c>
      <c r="F712" s="46" t="s">
        <v>5</v>
      </c>
      <c r="G712" s="46" t="s">
        <v>118</v>
      </c>
      <c r="H712" s="49" t="s">
        <v>148</v>
      </c>
      <c r="I712" s="53">
        <v>48</v>
      </c>
      <c r="J712" s="53">
        <v>134</v>
      </c>
      <c r="K712" s="54">
        <v>2.79166666666667</v>
      </c>
    </row>
    <row r="713" spans="1:11">
      <c r="A713" s="46" t="s">
        <v>193</v>
      </c>
      <c r="B713" s="46" t="s">
        <v>243</v>
      </c>
      <c r="C713" s="46" t="s">
        <v>253</v>
      </c>
      <c r="D713" s="46" t="s">
        <v>82</v>
      </c>
      <c r="E713" s="46" t="s">
        <v>83</v>
      </c>
      <c r="F713" s="46" t="s">
        <v>5</v>
      </c>
      <c r="G713" s="46" t="s">
        <v>119</v>
      </c>
      <c r="H713" s="49" t="s">
        <v>148</v>
      </c>
      <c r="I713" s="53">
        <v>48</v>
      </c>
      <c r="J713" s="53">
        <v>28</v>
      </c>
      <c r="K713" s="54">
        <v>0.583333333333333</v>
      </c>
    </row>
    <row r="714" spans="1:11">
      <c r="A714" s="46" t="s">
        <v>193</v>
      </c>
      <c r="B714" s="46" t="s">
        <v>243</v>
      </c>
      <c r="C714" s="46" t="s">
        <v>253</v>
      </c>
      <c r="D714" s="46" t="s">
        <v>82</v>
      </c>
      <c r="E714" s="46" t="s">
        <v>83</v>
      </c>
      <c r="F714" s="46" t="s">
        <v>4</v>
      </c>
      <c r="G714" s="46" t="s">
        <v>116</v>
      </c>
      <c r="H714" s="49" t="s">
        <v>148</v>
      </c>
      <c r="I714" s="53">
        <v>36</v>
      </c>
      <c r="J714" s="53">
        <v>22</v>
      </c>
      <c r="K714" s="54">
        <v>0.611111111111111</v>
      </c>
    </row>
    <row r="715" spans="1:11">
      <c r="A715" s="46" t="s">
        <v>193</v>
      </c>
      <c r="B715" s="46" t="s">
        <v>243</v>
      </c>
      <c r="C715" s="46" t="s">
        <v>253</v>
      </c>
      <c r="D715" s="46" t="s">
        <v>82</v>
      </c>
      <c r="E715" s="46" t="s">
        <v>83</v>
      </c>
      <c r="F715" s="46" t="s">
        <v>4</v>
      </c>
      <c r="G715" s="46" t="s">
        <v>117</v>
      </c>
      <c r="H715" s="49" t="s">
        <v>148</v>
      </c>
      <c r="I715" s="53">
        <v>36</v>
      </c>
      <c r="J715" s="53">
        <v>14</v>
      </c>
      <c r="K715" s="54">
        <v>0.388888888888889</v>
      </c>
    </row>
    <row r="716" spans="1:11">
      <c r="A716" s="46" t="s">
        <v>193</v>
      </c>
      <c r="B716" s="46" t="s">
        <v>243</v>
      </c>
      <c r="C716" s="46" t="s">
        <v>253</v>
      </c>
      <c r="D716" s="46" t="s">
        <v>82</v>
      </c>
      <c r="E716" s="46" t="s">
        <v>83</v>
      </c>
      <c r="F716" s="46" t="s">
        <v>4</v>
      </c>
      <c r="G716" s="46" t="s">
        <v>118</v>
      </c>
      <c r="H716" s="49" t="s">
        <v>148</v>
      </c>
      <c r="I716" s="53">
        <v>36</v>
      </c>
      <c r="J716" s="53">
        <v>85</v>
      </c>
      <c r="K716" s="54">
        <v>2.36111111111111</v>
      </c>
    </row>
    <row r="717" spans="1:11">
      <c r="A717" s="46" t="s">
        <v>193</v>
      </c>
      <c r="B717" s="46" t="s">
        <v>243</v>
      </c>
      <c r="C717" s="46" t="s">
        <v>253</v>
      </c>
      <c r="D717" s="46" t="s">
        <v>82</v>
      </c>
      <c r="E717" s="46" t="s">
        <v>83</v>
      </c>
      <c r="F717" s="46" t="s">
        <v>4</v>
      </c>
      <c r="G717" s="46" t="s">
        <v>119</v>
      </c>
      <c r="H717" s="49" t="s">
        <v>148</v>
      </c>
      <c r="I717" s="53">
        <v>36</v>
      </c>
      <c r="J717" s="53">
        <v>8</v>
      </c>
      <c r="K717" s="54">
        <v>0.222222222222222</v>
      </c>
    </row>
    <row r="718" spans="1:11">
      <c r="A718" s="46" t="s">
        <v>193</v>
      </c>
      <c r="B718" s="46" t="s">
        <v>243</v>
      </c>
      <c r="C718" s="46" t="s">
        <v>253</v>
      </c>
      <c r="D718" s="46" t="s">
        <v>82</v>
      </c>
      <c r="E718" s="46" t="s">
        <v>83</v>
      </c>
      <c r="F718" s="46" t="s">
        <v>7</v>
      </c>
      <c r="G718" s="46" t="s">
        <v>116</v>
      </c>
      <c r="H718" s="49" t="s">
        <v>148</v>
      </c>
      <c r="I718" s="53">
        <v>55</v>
      </c>
      <c r="J718" s="53">
        <v>49</v>
      </c>
      <c r="K718" s="54">
        <v>0.890909090909091</v>
      </c>
    </row>
    <row r="719" spans="1:11">
      <c r="A719" s="46" t="s">
        <v>193</v>
      </c>
      <c r="B719" s="46" t="s">
        <v>243</v>
      </c>
      <c r="C719" s="46" t="s">
        <v>253</v>
      </c>
      <c r="D719" s="46" t="s">
        <v>82</v>
      </c>
      <c r="E719" s="46" t="s">
        <v>83</v>
      </c>
      <c r="F719" s="46" t="s">
        <v>7</v>
      </c>
      <c r="G719" s="46" t="s">
        <v>117</v>
      </c>
      <c r="H719" s="49" t="s">
        <v>148</v>
      </c>
      <c r="I719" s="53">
        <v>55</v>
      </c>
      <c r="J719" s="53">
        <v>47</v>
      </c>
      <c r="K719" s="54">
        <v>0.854545454545454</v>
      </c>
    </row>
    <row r="720" spans="1:11">
      <c r="A720" s="46" t="s">
        <v>193</v>
      </c>
      <c r="B720" s="46" t="s">
        <v>243</v>
      </c>
      <c r="C720" s="46" t="s">
        <v>253</v>
      </c>
      <c r="D720" s="46" t="s">
        <v>82</v>
      </c>
      <c r="E720" s="46" t="s">
        <v>83</v>
      </c>
      <c r="F720" s="46" t="s">
        <v>7</v>
      </c>
      <c r="G720" s="46" t="s">
        <v>118</v>
      </c>
      <c r="H720" s="49" t="s">
        <v>148</v>
      </c>
      <c r="I720" s="53">
        <v>55</v>
      </c>
      <c r="J720" s="53">
        <v>150</v>
      </c>
      <c r="K720" s="54">
        <v>2.72727272727273</v>
      </c>
    </row>
    <row r="721" spans="1:11">
      <c r="A721" s="46" t="s">
        <v>193</v>
      </c>
      <c r="B721" s="46" t="s">
        <v>243</v>
      </c>
      <c r="C721" s="46" t="s">
        <v>253</v>
      </c>
      <c r="D721" s="46" t="s">
        <v>82</v>
      </c>
      <c r="E721" s="46" t="s">
        <v>83</v>
      </c>
      <c r="F721" s="46" t="s">
        <v>7</v>
      </c>
      <c r="G721" s="46" t="s">
        <v>119</v>
      </c>
      <c r="H721" s="49" t="s">
        <v>148</v>
      </c>
      <c r="I721" s="53">
        <v>55</v>
      </c>
      <c r="J721" s="53">
        <v>60</v>
      </c>
      <c r="K721" s="54">
        <v>1.09090909090909</v>
      </c>
    </row>
    <row r="722" spans="1:11">
      <c r="A722" s="46" t="s">
        <v>193</v>
      </c>
      <c r="B722" s="46" t="s">
        <v>243</v>
      </c>
      <c r="C722" s="46" t="s">
        <v>253</v>
      </c>
      <c r="D722" s="46" t="s">
        <v>82</v>
      </c>
      <c r="E722" s="46" t="s">
        <v>83</v>
      </c>
      <c r="F722" s="46" t="s">
        <v>8</v>
      </c>
      <c r="G722" s="46" t="s">
        <v>116</v>
      </c>
      <c r="H722" s="49" t="s">
        <v>148</v>
      </c>
      <c r="I722" s="53">
        <v>56</v>
      </c>
      <c r="J722" s="53">
        <v>33</v>
      </c>
      <c r="K722" s="54">
        <v>0.589285714285714</v>
      </c>
    </row>
    <row r="723" spans="1:11">
      <c r="A723" s="46" t="s">
        <v>193</v>
      </c>
      <c r="B723" s="46" t="s">
        <v>243</v>
      </c>
      <c r="C723" s="46" t="s">
        <v>253</v>
      </c>
      <c r="D723" s="46" t="s">
        <v>82</v>
      </c>
      <c r="E723" s="46" t="s">
        <v>83</v>
      </c>
      <c r="F723" s="46" t="s">
        <v>8</v>
      </c>
      <c r="G723" s="46" t="s">
        <v>117</v>
      </c>
      <c r="H723" s="49" t="s">
        <v>148</v>
      </c>
      <c r="I723" s="53">
        <v>56</v>
      </c>
      <c r="J723" s="53">
        <v>20</v>
      </c>
      <c r="K723" s="54">
        <v>0.357142857142857</v>
      </c>
    </row>
    <row r="724" spans="1:11">
      <c r="A724" s="46" t="s">
        <v>193</v>
      </c>
      <c r="B724" s="46" t="s">
        <v>243</v>
      </c>
      <c r="C724" s="46" t="s">
        <v>253</v>
      </c>
      <c r="D724" s="46" t="s">
        <v>82</v>
      </c>
      <c r="E724" s="46" t="s">
        <v>83</v>
      </c>
      <c r="F724" s="46" t="s">
        <v>8</v>
      </c>
      <c r="G724" s="46" t="s">
        <v>118</v>
      </c>
      <c r="H724" s="49" t="s">
        <v>148</v>
      </c>
      <c r="I724" s="53">
        <v>56</v>
      </c>
      <c r="J724" s="53">
        <v>102</v>
      </c>
      <c r="K724" s="54">
        <v>1.82142857142857</v>
      </c>
    </row>
    <row r="725" spans="1:11">
      <c r="A725" s="46" t="s">
        <v>193</v>
      </c>
      <c r="B725" s="46" t="s">
        <v>243</v>
      </c>
      <c r="C725" s="46" t="s">
        <v>253</v>
      </c>
      <c r="D725" s="46" t="s">
        <v>82</v>
      </c>
      <c r="E725" s="46" t="s">
        <v>83</v>
      </c>
      <c r="F725" s="46" t="s">
        <v>8</v>
      </c>
      <c r="G725" s="46" t="s">
        <v>119</v>
      </c>
      <c r="H725" s="49" t="s">
        <v>148</v>
      </c>
      <c r="I725" s="53">
        <v>56</v>
      </c>
      <c r="J725" s="53">
        <v>33</v>
      </c>
      <c r="K725" s="54">
        <v>0.589285714285714</v>
      </c>
    </row>
    <row r="726" spans="1:11">
      <c r="A726" s="46" t="s">
        <v>193</v>
      </c>
      <c r="B726" s="46" t="s">
        <v>243</v>
      </c>
      <c r="C726" s="46" t="s">
        <v>253</v>
      </c>
      <c r="D726" s="46" t="s">
        <v>82</v>
      </c>
      <c r="E726" s="46" t="s">
        <v>83</v>
      </c>
      <c r="F726" s="46" t="s">
        <v>6</v>
      </c>
      <c r="G726" s="46" t="s">
        <v>116</v>
      </c>
      <c r="H726" s="49" t="s">
        <v>148</v>
      </c>
      <c r="I726" s="53">
        <v>70</v>
      </c>
      <c r="J726" s="53">
        <v>70</v>
      </c>
      <c r="K726" s="54">
        <v>1</v>
      </c>
    </row>
    <row r="727" spans="1:11">
      <c r="A727" s="46" t="s">
        <v>193</v>
      </c>
      <c r="B727" s="46" t="s">
        <v>243</v>
      </c>
      <c r="C727" s="46" t="s">
        <v>253</v>
      </c>
      <c r="D727" s="46" t="s">
        <v>82</v>
      </c>
      <c r="E727" s="46" t="s">
        <v>83</v>
      </c>
      <c r="F727" s="46" t="s">
        <v>6</v>
      </c>
      <c r="G727" s="46" t="s">
        <v>117</v>
      </c>
      <c r="H727" s="49" t="s">
        <v>148</v>
      </c>
      <c r="I727" s="53">
        <v>70</v>
      </c>
      <c r="J727" s="53">
        <v>49</v>
      </c>
      <c r="K727" s="54">
        <v>0.7</v>
      </c>
    </row>
    <row r="728" spans="1:11">
      <c r="A728" s="46" t="s">
        <v>193</v>
      </c>
      <c r="B728" s="46" t="s">
        <v>243</v>
      </c>
      <c r="C728" s="46" t="s">
        <v>253</v>
      </c>
      <c r="D728" s="46" t="s">
        <v>82</v>
      </c>
      <c r="E728" s="46" t="s">
        <v>83</v>
      </c>
      <c r="F728" s="46" t="s">
        <v>6</v>
      </c>
      <c r="G728" s="46" t="s">
        <v>118</v>
      </c>
      <c r="H728" s="49" t="s">
        <v>148</v>
      </c>
      <c r="I728" s="53">
        <v>70</v>
      </c>
      <c r="J728" s="53">
        <v>153</v>
      </c>
      <c r="K728" s="54">
        <v>2.18571428571429</v>
      </c>
    </row>
    <row r="729" spans="1:11">
      <c r="A729" s="46" t="s">
        <v>193</v>
      </c>
      <c r="B729" s="46" t="s">
        <v>243</v>
      </c>
      <c r="C729" s="46" t="s">
        <v>253</v>
      </c>
      <c r="D729" s="46" t="s">
        <v>82</v>
      </c>
      <c r="E729" s="46" t="s">
        <v>83</v>
      </c>
      <c r="F729" s="46" t="s">
        <v>6</v>
      </c>
      <c r="G729" s="46" t="s">
        <v>119</v>
      </c>
      <c r="H729" s="49" t="s">
        <v>148</v>
      </c>
      <c r="I729" s="53">
        <v>70</v>
      </c>
      <c r="J729" s="53">
        <v>76</v>
      </c>
      <c r="K729" s="54">
        <v>1.08571428571429</v>
      </c>
    </row>
    <row r="730" spans="1:11">
      <c r="A730" s="44" t="s">
        <v>181</v>
      </c>
      <c r="B730" s="44">
        <v>2025</v>
      </c>
      <c r="C730" s="44" t="s">
        <v>253</v>
      </c>
      <c r="D730" s="46" t="s">
        <v>82</v>
      </c>
      <c r="E730" s="46" t="s">
        <v>83</v>
      </c>
      <c r="F730" s="46" t="s">
        <v>3</v>
      </c>
      <c r="G730" s="46" t="s">
        <v>116</v>
      </c>
      <c r="H730" s="49" t="s">
        <v>148</v>
      </c>
      <c r="I730" s="53">
        <v>53</v>
      </c>
      <c r="J730" s="53">
        <v>46.2</v>
      </c>
      <c r="K730" s="54">
        <v>0.871698113207547</v>
      </c>
    </row>
    <row r="731" spans="1:11">
      <c r="A731" s="44" t="s">
        <v>181</v>
      </c>
      <c r="B731" s="44">
        <v>2025</v>
      </c>
      <c r="C731" s="44" t="s">
        <v>253</v>
      </c>
      <c r="D731" s="46" t="s">
        <v>82</v>
      </c>
      <c r="E731" s="46" t="s">
        <v>83</v>
      </c>
      <c r="F731" s="46" t="s">
        <v>3</v>
      </c>
      <c r="G731" s="46" t="s">
        <v>117</v>
      </c>
      <c r="H731" s="49" t="s">
        <v>148</v>
      </c>
      <c r="I731" s="53">
        <v>53</v>
      </c>
      <c r="J731" s="53">
        <v>45.8</v>
      </c>
      <c r="K731" s="54">
        <v>0.864150943396226</v>
      </c>
    </row>
    <row r="732" spans="1:11">
      <c r="A732" s="44" t="s">
        <v>181</v>
      </c>
      <c r="B732" s="44">
        <v>2025</v>
      </c>
      <c r="C732" s="44" t="s">
        <v>253</v>
      </c>
      <c r="D732" s="46" t="s">
        <v>82</v>
      </c>
      <c r="E732" s="46" t="s">
        <v>83</v>
      </c>
      <c r="F732" s="46" t="s">
        <v>3</v>
      </c>
      <c r="G732" s="46" t="s">
        <v>118</v>
      </c>
      <c r="H732" s="49" t="s">
        <v>148</v>
      </c>
      <c r="I732" s="53">
        <v>53</v>
      </c>
      <c r="J732" s="53">
        <v>109.5</v>
      </c>
      <c r="K732" s="54">
        <v>2.06603773584906</v>
      </c>
    </row>
    <row r="733" spans="1:11">
      <c r="A733" s="44" t="s">
        <v>181</v>
      </c>
      <c r="B733" s="44">
        <v>2025</v>
      </c>
      <c r="C733" s="44" t="s">
        <v>253</v>
      </c>
      <c r="D733" s="46" t="s">
        <v>82</v>
      </c>
      <c r="E733" s="46" t="s">
        <v>83</v>
      </c>
      <c r="F733" s="46" t="s">
        <v>3</v>
      </c>
      <c r="G733" s="46" t="s">
        <v>119</v>
      </c>
      <c r="H733" s="49" t="s">
        <v>148</v>
      </c>
      <c r="I733" s="53">
        <v>53</v>
      </c>
      <c r="J733" s="53">
        <v>55.9</v>
      </c>
      <c r="K733" s="54">
        <v>1.05471698113208</v>
      </c>
    </row>
    <row r="734" spans="1:11">
      <c r="A734" s="44" t="s">
        <v>181</v>
      </c>
      <c r="B734" s="44">
        <v>2025</v>
      </c>
      <c r="C734" s="44" t="s">
        <v>253</v>
      </c>
      <c r="D734" s="46" t="s">
        <v>82</v>
      </c>
      <c r="E734" s="46" t="s">
        <v>83</v>
      </c>
      <c r="F734" s="46" t="s">
        <v>9</v>
      </c>
      <c r="G734" s="46" t="s">
        <v>116</v>
      </c>
      <c r="H734" s="49" t="s">
        <v>148</v>
      </c>
      <c r="I734" s="53">
        <v>57</v>
      </c>
      <c r="J734" s="53">
        <v>54.7</v>
      </c>
      <c r="K734" s="54">
        <v>0.959649122807018</v>
      </c>
    </row>
    <row r="735" spans="1:11">
      <c r="A735" s="44" t="s">
        <v>181</v>
      </c>
      <c r="B735" s="44">
        <v>2025</v>
      </c>
      <c r="C735" s="44" t="s">
        <v>253</v>
      </c>
      <c r="D735" s="46" t="s">
        <v>82</v>
      </c>
      <c r="E735" s="46" t="s">
        <v>83</v>
      </c>
      <c r="F735" s="46" t="s">
        <v>9</v>
      </c>
      <c r="G735" s="46" t="s">
        <v>117</v>
      </c>
      <c r="H735" s="49" t="s">
        <v>148</v>
      </c>
      <c r="I735" s="53">
        <v>57</v>
      </c>
      <c r="J735" s="53">
        <v>48</v>
      </c>
      <c r="K735" s="54">
        <v>0.842105263157895</v>
      </c>
    </row>
    <row r="736" spans="1:11">
      <c r="A736" s="44" t="s">
        <v>181</v>
      </c>
      <c r="B736" s="44">
        <v>2025</v>
      </c>
      <c r="C736" s="44" t="s">
        <v>253</v>
      </c>
      <c r="D736" s="46" t="s">
        <v>82</v>
      </c>
      <c r="E736" s="46" t="s">
        <v>83</v>
      </c>
      <c r="F736" s="46" t="s">
        <v>9</v>
      </c>
      <c r="G736" s="46" t="s">
        <v>118</v>
      </c>
      <c r="H736" s="49" t="s">
        <v>148</v>
      </c>
      <c r="I736" s="53">
        <v>57</v>
      </c>
      <c r="J736" s="53">
        <v>121.1</v>
      </c>
      <c r="K736" s="54">
        <v>2.12456140350877</v>
      </c>
    </row>
    <row r="737" spans="1:11">
      <c r="A737" s="44" t="s">
        <v>181</v>
      </c>
      <c r="B737" s="44">
        <v>2025</v>
      </c>
      <c r="C737" s="44" t="s">
        <v>253</v>
      </c>
      <c r="D737" s="46" t="s">
        <v>82</v>
      </c>
      <c r="E737" s="46" t="s">
        <v>83</v>
      </c>
      <c r="F737" s="46" t="s">
        <v>9</v>
      </c>
      <c r="G737" s="46" t="s">
        <v>119</v>
      </c>
      <c r="H737" s="49" t="s">
        <v>148</v>
      </c>
      <c r="I737" s="53">
        <v>57</v>
      </c>
      <c r="J737" s="53">
        <v>41.9</v>
      </c>
      <c r="K737" s="54">
        <v>0.735087719298246</v>
      </c>
    </row>
    <row r="738" spans="1:11">
      <c r="A738" s="44" t="s">
        <v>181</v>
      </c>
      <c r="B738" s="44">
        <v>2025</v>
      </c>
      <c r="C738" s="44" t="s">
        <v>253</v>
      </c>
      <c r="D738" s="46" t="s">
        <v>82</v>
      </c>
      <c r="E738" s="46" t="s">
        <v>83</v>
      </c>
      <c r="F738" s="46" t="s">
        <v>5</v>
      </c>
      <c r="G738" s="46" t="s">
        <v>116</v>
      </c>
      <c r="H738" s="49" t="s">
        <v>148</v>
      </c>
      <c r="I738" s="53">
        <v>48</v>
      </c>
      <c r="J738" s="53">
        <v>51.7</v>
      </c>
      <c r="K738" s="54">
        <v>1.07708333333333</v>
      </c>
    </row>
    <row r="739" spans="1:11">
      <c r="A739" s="44" t="s">
        <v>181</v>
      </c>
      <c r="B739" s="44">
        <v>2025</v>
      </c>
      <c r="C739" s="44" t="s">
        <v>253</v>
      </c>
      <c r="D739" s="46" t="s">
        <v>82</v>
      </c>
      <c r="E739" s="46" t="s">
        <v>83</v>
      </c>
      <c r="F739" s="46" t="s">
        <v>5</v>
      </c>
      <c r="G739" s="46" t="s">
        <v>117</v>
      </c>
      <c r="H739" s="49" t="s">
        <v>148</v>
      </c>
      <c r="I739" s="53">
        <v>48</v>
      </c>
      <c r="J739" s="53">
        <v>42.5</v>
      </c>
      <c r="K739" s="54">
        <v>0.885416666666667</v>
      </c>
    </row>
    <row r="740" spans="1:11">
      <c r="A740" s="44" t="s">
        <v>181</v>
      </c>
      <c r="B740" s="44">
        <v>2025</v>
      </c>
      <c r="C740" s="44" t="s">
        <v>253</v>
      </c>
      <c r="D740" s="46" t="s">
        <v>82</v>
      </c>
      <c r="E740" s="46" t="s">
        <v>83</v>
      </c>
      <c r="F740" s="46" t="s">
        <v>5</v>
      </c>
      <c r="G740" s="46" t="s">
        <v>118</v>
      </c>
      <c r="H740" s="49" t="s">
        <v>148</v>
      </c>
      <c r="I740" s="53">
        <v>48</v>
      </c>
      <c r="J740" s="53">
        <v>121</v>
      </c>
      <c r="K740" s="54">
        <v>2.52083333333333</v>
      </c>
    </row>
    <row r="741" spans="1:11">
      <c r="A741" s="44" t="s">
        <v>181</v>
      </c>
      <c r="B741" s="44">
        <v>2025</v>
      </c>
      <c r="C741" s="44" t="s">
        <v>253</v>
      </c>
      <c r="D741" s="46" t="s">
        <v>82</v>
      </c>
      <c r="E741" s="46" t="s">
        <v>83</v>
      </c>
      <c r="F741" s="46" t="s">
        <v>5</v>
      </c>
      <c r="G741" s="46" t="s">
        <v>119</v>
      </c>
      <c r="H741" s="49" t="s">
        <v>148</v>
      </c>
      <c r="I741" s="53">
        <v>48</v>
      </c>
      <c r="J741" s="53">
        <v>57.9</v>
      </c>
      <c r="K741" s="54">
        <v>1.20625</v>
      </c>
    </row>
    <row r="742" spans="1:11">
      <c r="A742" s="44" t="s">
        <v>181</v>
      </c>
      <c r="B742" s="44">
        <v>2025</v>
      </c>
      <c r="C742" s="44" t="s">
        <v>253</v>
      </c>
      <c r="D742" s="46" t="s">
        <v>82</v>
      </c>
      <c r="E742" s="46" t="s">
        <v>83</v>
      </c>
      <c r="F742" s="46" t="s">
        <v>4</v>
      </c>
      <c r="G742" s="46" t="s">
        <v>116</v>
      </c>
      <c r="H742" s="49" t="s">
        <v>148</v>
      </c>
      <c r="I742" s="53">
        <v>36</v>
      </c>
      <c r="J742" s="53">
        <v>21.6</v>
      </c>
      <c r="K742" s="54">
        <v>0.6</v>
      </c>
    </row>
    <row r="743" spans="1:11">
      <c r="A743" s="44" t="s">
        <v>181</v>
      </c>
      <c r="B743" s="44">
        <v>2025</v>
      </c>
      <c r="C743" s="44" t="s">
        <v>253</v>
      </c>
      <c r="D743" s="46" t="s">
        <v>82</v>
      </c>
      <c r="E743" s="46" t="s">
        <v>83</v>
      </c>
      <c r="F743" s="46" t="s">
        <v>4</v>
      </c>
      <c r="G743" s="46" t="s">
        <v>117</v>
      </c>
      <c r="H743" s="49" t="s">
        <v>148</v>
      </c>
      <c r="I743" s="53">
        <v>36</v>
      </c>
      <c r="J743" s="53">
        <v>19.6</v>
      </c>
      <c r="K743" s="54">
        <v>0.544444444444444</v>
      </c>
    </row>
    <row r="744" spans="1:11">
      <c r="A744" s="44" t="s">
        <v>181</v>
      </c>
      <c r="B744" s="44">
        <v>2025</v>
      </c>
      <c r="C744" s="44" t="s">
        <v>253</v>
      </c>
      <c r="D744" s="46" t="s">
        <v>82</v>
      </c>
      <c r="E744" s="46" t="s">
        <v>83</v>
      </c>
      <c r="F744" s="46" t="s">
        <v>4</v>
      </c>
      <c r="G744" s="46" t="s">
        <v>118</v>
      </c>
      <c r="H744" s="49" t="s">
        <v>148</v>
      </c>
      <c r="I744" s="53">
        <v>36</v>
      </c>
      <c r="J744" s="53">
        <v>77.3</v>
      </c>
      <c r="K744" s="54">
        <v>2.14722222222222</v>
      </c>
    </row>
    <row r="745" spans="1:11">
      <c r="A745" s="44" t="s">
        <v>181</v>
      </c>
      <c r="B745" s="44">
        <v>2025</v>
      </c>
      <c r="C745" s="44" t="s">
        <v>253</v>
      </c>
      <c r="D745" s="46" t="s">
        <v>82</v>
      </c>
      <c r="E745" s="46" t="s">
        <v>83</v>
      </c>
      <c r="F745" s="46" t="s">
        <v>4</v>
      </c>
      <c r="G745" s="46" t="s">
        <v>119</v>
      </c>
      <c r="H745" s="49" t="s">
        <v>148</v>
      </c>
      <c r="I745" s="53">
        <v>36</v>
      </c>
      <c r="J745" s="53">
        <v>17.1</v>
      </c>
      <c r="K745" s="54">
        <v>0.475</v>
      </c>
    </row>
    <row r="746" spans="1:11">
      <c r="A746" s="44" t="s">
        <v>181</v>
      </c>
      <c r="B746" s="44">
        <v>2025</v>
      </c>
      <c r="C746" s="44" t="s">
        <v>253</v>
      </c>
      <c r="D746" s="46" t="s">
        <v>82</v>
      </c>
      <c r="E746" s="46" t="s">
        <v>83</v>
      </c>
      <c r="F746" s="46" t="s">
        <v>7</v>
      </c>
      <c r="G746" s="46" t="s">
        <v>116</v>
      </c>
      <c r="H746" s="49" t="s">
        <v>148</v>
      </c>
      <c r="I746" s="53">
        <v>55</v>
      </c>
      <c r="J746" s="53">
        <v>55.6</v>
      </c>
      <c r="K746" s="54">
        <v>1.01090909090909</v>
      </c>
    </row>
    <row r="747" spans="1:11">
      <c r="A747" s="44" t="s">
        <v>181</v>
      </c>
      <c r="B747" s="44">
        <v>2025</v>
      </c>
      <c r="C747" s="44" t="s">
        <v>253</v>
      </c>
      <c r="D747" s="46" t="s">
        <v>82</v>
      </c>
      <c r="E747" s="46" t="s">
        <v>83</v>
      </c>
      <c r="F747" s="46" t="s">
        <v>7</v>
      </c>
      <c r="G747" s="46" t="s">
        <v>117</v>
      </c>
      <c r="H747" s="49" t="s">
        <v>148</v>
      </c>
      <c r="I747" s="53">
        <v>55</v>
      </c>
      <c r="J747" s="53">
        <v>41.6</v>
      </c>
      <c r="K747" s="54">
        <v>0.756363636363636</v>
      </c>
    </row>
    <row r="748" spans="1:11">
      <c r="A748" s="44" t="s">
        <v>181</v>
      </c>
      <c r="B748" s="44">
        <v>2025</v>
      </c>
      <c r="C748" s="44" t="s">
        <v>253</v>
      </c>
      <c r="D748" s="46" t="s">
        <v>82</v>
      </c>
      <c r="E748" s="46" t="s">
        <v>83</v>
      </c>
      <c r="F748" s="46" t="s">
        <v>7</v>
      </c>
      <c r="G748" s="46" t="s">
        <v>118</v>
      </c>
      <c r="H748" s="49" t="s">
        <v>148</v>
      </c>
      <c r="I748" s="53">
        <v>55</v>
      </c>
      <c r="J748" s="53">
        <v>123.4</v>
      </c>
      <c r="K748" s="54">
        <v>2.24363636363636</v>
      </c>
    </row>
    <row r="749" spans="1:11">
      <c r="A749" s="44" t="s">
        <v>181</v>
      </c>
      <c r="B749" s="44">
        <v>2025</v>
      </c>
      <c r="C749" s="44" t="s">
        <v>253</v>
      </c>
      <c r="D749" s="46" t="s">
        <v>82</v>
      </c>
      <c r="E749" s="46" t="s">
        <v>83</v>
      </c>
      <c r="F749" s="46" t="s">
        <v>7</v>
      </c>
      <c r="G749" s="46" t="s">
        <v>119</v>
      </c>
      <c r="H749" s="49" t="s">
        <v>148</v>
      </c>
      <c r="I749" s="53">
        <v>55</v>
      </c>
      <c r="J749" s="53">
        <v>82.6</v>
      </c>
      <c r="K749" s="54">
        <v>1.50181818181818</v>
      </c>
    </row>
    <row r="750" spans="1:11">
      <c r="A750" s="44" t="s">
        <v>181</v>
      </c>
      <c r="B750" s="44">
        <v>2025</v>
      </c>
      <c r="C750" s="44" t="s">
        <v>253</v>
      </c>
      <c r="D750" s="46" t="s">
        <v>82</v>
      </c>
      <c r="E750" s="46" t="s">
        <v>83</v>
      </c>
      <c r="F750" s="46" t="s">
        <v>8</v>
      </c>
      <c r="G750" s="46" t="s">
        <v>116</v>
      </c>
      <c r="H750" s="49" t="s">
        <v>148</v>
      </c>
      <c r="I750" s="53">
        <v>56</v>
      </c>
      <c r="J750" s="53">
        <v>32.8</v>
      </c>
      <c r="K750" s="54">
        <v>0.585714285714286</v>
      </c>
    </row>
    <row r="751" spans="1:11">
      <c r="A751" s="44" t="s">
        <v>181</v>
      </c>
      <c r="B751" s="44">
        <v>2025</v>
      </c>
      <c r="C751" s="44" t="s">
        <v>253</v>
      </c>
      <c r="D751" s="46" t="s">
        <v>82</v>
      </c>
      <c r="E751" s="46" t="s">
        <v>83</v>
      </c>
      <c r="F751" s="46" t="s">
        <v>8</v>
      </c>
      <c r="G751" s="46" t="s">
        <v>117</v>
      </c>
      <c r="H751" s="49" t="s">
        <v>148</v>
      </c>
      <c r="I751" s="53">
        <v>56</v>
      </c>
      <c r="J751" s="53">
        <v>14.5</v>
      </c>
      <c r="K751" s="54">
        <v>0.258928571428571</v>
      </c>
    </row>
    <row r="752" spans="1:11">
      <c r="A752" s="44" t="s">
        <v>181</v>
      </c>
      <c r="B752" s="44">
        <v>2025</v>
      </c>
      <c r="C752" s="44" t="s">
        <v>253</v>
      </c>
      <c r="D752" s="46" t="s">
        <v>82</v>
      </c>
      <c r="E752" s="46" t="s">
        <v>83</v>
      </c>
      <c r="F752" s="46" t="s">
        <v>8</v>
      </c>
      <c r="G752" s="46" t="s">
        <v>118</v>
      </c>
      <c r="H752" s="49" t="s">
        <v>148</v>
      </c>
      <c r="I752" s="53">
        <v>56</v>
      </c>
      <c r="J752" s="53">
        <v>134</v>
      </c>
      <c r="K752" s="54">
        <v>2.39285714285714</v>
      </c>
    </row>
    <row r="753" spans="1:11">
      <c r="A753" s="44" t="s">
        <v>181</v>
      </c>
      <c r="B753" s="44">
        <v>2025</v>
      </c>
      <c r="C753" s="44" t="s">
        <v>253</v>
      </c>
      <c r="D753" s="46" t="s">
        <v>82</v>
      </c>
      <c r="E753" s="46" t="s">
        <v>83</v>
      </c>
      <c r="F753" s="46" t="s">
        <v>8</v>
      </c>
      <c r="G753" s="46" t="s">
        <v>119</v>
      </c>
      <c r="H753" s="49" t="s">
        <v>148</v>
      </c>
      <c r="I753" s="53">
        <v>56</v>
      </c>
      <c r="J753" s="53">
        <v>41.7</v>
      </c>
      <c r="K753" s="54">
        <v>0.744642857142857</v>
      </c>
    </row>
    <row r="754" spans="1:11">
      <c r="A754" s="44" t="s">
        <v>181</v>
      </c>
      <c r="B754" s="44">
        <v>2025</v>
      </c>
      <c r="C754" s="44" t="s">
        <v>253</v>
      </c>
      <c r="D754" s="46" t="s">
        <v>82</v>
      </c>
      <c r="E754" s="46" t="s">
        <v>83</v>
      </c>
      <c r="F754" s="46" t="s">
        <v>6</v>
      </c>
      <c r="G754" s="46" t="s">
        <v>116</v>
      </c>
      <c r="H754" s="49" t="s">
        <v>148</v>
      </c>
      <c r="I754" s="53">
        <v>70</v>
      </c>
      <c r="J754" s="53">
        <v>38.7</v>
      </c>
      <c r="K754" s="54">
        <v>0.552857142857143</v>
      </c>
    </row>
    <row r="755" spans="1:11">
      <c r="A755" s="44" t="s">
        <v>181</v>
      </c>
      <c r="B755" s="44">
        <v>2025</v>
      </c>
      <c r="C755" s="44" t="s">
        <v>253</v>
      </c>
      <c r="D755" s="46" t="s">
        <v>82</v>
      </c>
      <c r="E755" s="46" t="s">
        <v>83</v>
      </c>
      <c r="F755" s="46" t="s">
        <v>6</v>
      </c>
      <c r="G755" s="46" t="s">
        <v>117</v>
      </c>
      <c r="H755" s="49" t="s">
        <v>148</v>
      </c>
      <c r="I755" s="53">
        <v>70</v>
      </c>
      <c r="J755" s="53">
        <v>36.3</v>
      </c>
      <c r="K755" s="54">
        <v>0.518571428571429</v>
      </c>
    </row>
    <row r="756" spans="1:11">
      <c r="A756" s="44" t="s">
        <v>181</v>
      </c>
      <c r="B756" s="44">
        <v>2025</v>
      </c>
      <c r="C756" s="44" t="s">
        <v>253</v>
      </c>
      <c r="D756" s="46" t="s">
        <v>82</v>
      </c>
      <c r="E756" s="46" t="s">
        <v>83</v>
      </c>
      <c r="F756" s="46" t="s">
        <v>6</v>
      </c>
      <c r="G756" s="46" t="s">
        <v>118</v>
      </c>
      <c r="H756" s="49" t="s">
        <v>148</v>
      </c>
      <c r="I756" s="53">
        <v>70</v>
      </c>
      <c r="J756" s="53">
        <v>145.7</v>
      </c>
      <c r="K756" s="54">
        <v>2.08142857142857</v>
      </c>
    </row>
    <row r="757" spans="1:11">
      <c r="A757" s="44" t="s">
        <v>181</v>
      </c>
      <c r="B757" s="44">
        <v>2025</v>
      </c>
      <c r="C757" s="44" t="s">
        <v>253</v>
      </c>
      <c r="D757" s="46" t="s">
        <v>82</v>
      </c>
      <c r="E757" s="46" t="s">
        <v>83</v>
      </c>
      <c r="F757" s="46" t="s">
        <v>6</v>
      </c>
      <c r="G757" s="46" t="s">
        <v>119</v>
      </c>
      <c r="H757" s="49" t="s">
        <v>148</v>
      </c>
      <c r="I757" s="53">
        <v>70</v>
      </c>
      <c r="J757" s="53">
        <v>97.2</v>
      </c>
      <c r="K757" s="54">
        <v>1.38857142857143</v>
      </c>
    </row>
    <row r="758" spans="1:11">
      <c r="A758" s="46" t="s">
        <v>184</v>
      </c>
      <c r="B758" s="46" t="s">
        <v>242</v>
      </c>
      <c r="C758" s="46" t="s">
        <v>254</v>
      </c>
      <c r="D758" s="46" t="s">
        <v>82</v>
      </c>
      <c r="E758" s="46" t="s">
        <v>83</v>
      </c>
      <c r="F758" s="46" t="s">
        <v>3</v>
      </c>
      <c r="G758" s="46" t="s">
        <v>116</v>
      </c>
      <c r="H758" s="49" t="s">
        <v>159</v>
      </c>
      <c r="I758" s="53">
        <v>53</v>
      </c>
      <c r="J758" s="53">
        <v>32.6</v>
      </c>
      <c r="K758" s="54">
        <v>0.615094339622641</v>
      </c>
    </row>
    <row r="759" spans="1:11">
      <c r="A759" s="46" t="s">
        <v>184</v>
      </c>
      <c r="B759" s="46" t="s">
        <v>242</v>
      </c>
      <c r="C759" s="46" t="s">
        <v>254</v>
      </c>
      <c r="D759" s="46" t="s">
        <v>82</v>
      </c>
      <c r="E759" s="46" t="s">
        <v>83</v>
      </c>
      <c r="F759" s="46" t="s">
        <v>3</v>
      </c>
      <c r="G759" s="46" t="s">
        <v>117</v>
      </c>
      <c r="H759" s="49" t="s">
        <v>159</v>
      </c>
      <c r="I759" s="53">
        <v>53</v>
      </c>
      <c r="J759" s="53">
        <v>26.3</v>
      </c>
      <c r="K759" s="54">
        <v>0.49622641509434</v>
      </c>
    </row>
    <row r="760" spans="1:11">
      <c r="A760" s="46" t="s">
        <v>184</v>
      </c>
      <c r="B760" s="46" t="s">
        <v>242</v>
      </c>
      <c r="C760" s="46" t="s">
        <v>254</v>
      </c>
      <c r="D760" s="46" t="s">
        <v>82</v>
      </c>
      <c r="E760" s="46" t="s">
        <v>83</v>
      </c>
      <c r="F760" s="46" t="s">
        <v>3</v>
      </c>
      <c r="G760" s="46" t="s">
        <v>118</v>
      </c>
      <c r="H760" s="49" t="s">
        <v>159</v>
      </c>
      <c r="I760" s="53">
        <v>53</v>
      </c>
      <c r="J760" s="53">
        <v>86.1</v>
      </c>
      <c r="K760" s="54">
        <v>1.62452830188679</v>
      </c>
    </row>
    <row r="761" spans="1:11">
      <c r="A761" s="46" t="s">
        <v>184</v>
      </c>
      <c r="B761" s="46" t="s">
        <v>242</v>
      </c>
      <c r="C761" s="46" t="s">
        <v>254</v>
      </c>
      <c r="D761" s="46" t="s">
        <v>82</v>
      </c>
      <c r="E761" s="46" t="s">
        <v>83</v>
      </c>
      <c r="F761" s="46" t="s">
        <v>3</v>
      </c>
      <c r="G761" s="46" t="s">
        <v>119</v>
      </c>
      <c r="H761" s="49" t="s">
        <v>159</v>
      </c>
      <c r="I761" s="53">
        <v>53</v>
      </c>
      <c r="J761" s="53">
        <v>43.8</v>
      </c>
      <c r="K761" s="54">
        <v>0.826415094339623</v>
      </c>
    </row>
    <row r="762" spans="1:11">
      <c r="A762" s="46" t="s">
        <v>184</v>
      </c>
      <c r="B762" s="46" t="s">
        <v>242</v>
      </c>
      <c r="C762" s="46" t="s">
        <v>254</v>
      </c>
      <c r="D762" s="46" t="s">
        <v>82</v>
      </c>
      <c r="E762" s="46" t="s">
        <v>83</v>
      </c>
      <c r="F762" s="46" t="s">
        <v>8</v>
      </c>
      <c r="G762" s="46" t="s">
        <v>116</v>
      </c>
      <c r="H762" s="49" t="s">
        <v>159</v>
      </c>
      <c r="I762" s="53">
        <v>56</v>
      </c>
      <c r="J762" s="53">
        <v>35.7</v>
      </c>
      <c r="K762" s="54">
        <v>0.6375</v>
      </c>
    </row>
    <row r="763" spans="1:11">
      <c r="A763" s="46" t="s">
        <v>184</v>
      </c>
      <c r="B763" s="46" t="s">
        <v>242</v>
      </c>
      <c r="C763" s="46" t="s">
        <v>254</v>
      </c>
      <c r="D763" s="46" t="s">
        <v>82</v>
      </c>
      <c r="E763" s="46" t="s">
        <v>83</v>
      </c>
      <c r="F763" s="46" t="s">
        <v>8</v>
      </c>
      <c r="G763" s="46" t="s">
        <v>117</v>
      </c>
      <c r="H763" s="49" t="s">
        <v>159</v>
      </c>
      <c r="I763" s="53">
        <v>56</v>
      </c>
      <c r="J763" s="53">
        <v>18.7</v>
      </c>
      <c r="K763" s="54">
        <v>0.333928571428571</v>
      </c>
    </row>
    <row r="764" spans="1:11">
      <c r="A764" s="46" t="s">
        <v>184</v>
      </c>
      <c r="B764" s="46" t="s">
        <v>242</v>
      </c>
      <c r="C764" s="46" t="s">
        <v>254</v>
      </c>
      <c r="D764" s="46" t="s">
        <v>82</v>
      </c>
      <c r="E764" s="46" t="s">
        <v>83</v>
      </c>
      <c r="F764" s="46" t="s">
        <v>8</v>
      </c>
      <c r="G764" s="46" t="s">
        <v>118</v>
      </c>
      <c r="H764" s="49" t="s">
        <v>159</v>
      </c>
      <c r="I764" s="53">
        <v>56</v>
      </c>
      <c r="J764" s="53">
        <v>58.6</v>
      </c>
      <c r="K764" s="54">
        <v>1.04642857142857</v>
      </c>
    </row>
    <row r="765" spans="1:11">
      <c r="A765" s="46" t="s">
        <v>184</v>
      </c>
      <c r="B765" s="46" t="s">
        <v>242</v>
      </c>
      <c r="C765" s="46" t="s">
        <v>254</v>
      </c>
      <c r="D765" s="46" t="s">
        <v>82</v>
      </c>
      <c r="E765" s="46" t="s">
        <v>83</v>
      </c>
      <c r="F765" s="46" t="s">
        <v>8</v>
      </c>
      <c r="G765" s="46" t="s">
        <v>119</v>
      </c>
      <c r="H765" s="49" t="s">
        <v>159</v>
      </c>
      <c r="I765" s="53">
        <v>56</v>
      </c>
      <c r="J765" s="53">
        <v>23.4</v>
      </c>
      <c r="K765" s="54">
        <v>0.417857142857143</v>
      </c>
    </row>
    <row r="766" spans="1:11">
      <c r="A766" s="46" t="s">
        <v>184</v>
      </c>
      <c r="B766" s="46" t="s">
        <v>242</v>
      </c>
      <c r="C766" s="46" t="s">
        <v>254</v>
      </c>
      <c r="D766" s="46" t="s">
        <v>82</v>
      </c>
      <c r="E766" s="46" t="s">
        <v>83</v>
      </c>
      <c r="F766" s="46" t="s">
        <v>9</v>
      </c>
      <c r="G766" s="46" t="s">
        <v>116</v>
      </c>
      <c r="H766" s="49" t="s">
        <v>159</v>
      </c>
      <c r="I766" s="53">
        <v>57</v>
      </c>
      <c r="J766" s="53">
        <v>48.5</v>
      </c>
      <c r="K766" s="54">
        <v>0.850877192982456</v>
      </c>
    </row>
    <row r="767" spans="1:11">
      <c r="A767" s="46" t="s">
        <v>184</v>
      </c>
      <c r="B767" s="46" t="s">
        <v>242</v>
      </c>
      <c r="C767" s="46" t="s">
        <v>254</v>
      </c>
      <c r="D767" s="46" t="s">
        <v>82</v>
      </c>
      <c r="E767" s="46" t="s">
        <v>83</v>
      </c>
      <c r="F767" s="46" t="s">
        <v>9</v>
      </c>
      <c r="G767" s="46" t="s">
        <v>117</v>
      </c>
      <c r="H767" s="49" t="s">
        <v>159</v>
      </c>
      <c r="I767" s="53">
        <v>57</v>
      </c>
      <c r="J767" s="53">
        <v>17.9</v>
      </c>
      <c r="K767" s="54">
        <v>0.314035087719298</v>
      </c>
    </row>
    <row r="768" spans="1:11">
      <c r="A768" s="46" t="s">
        <v>184</v>
      </c>
      <c r="B768" s="46" t="s">
        <v>242</v>
      </c>
      <c r="C768" s="46" t="s">
        <v>254</v>
      </c>
      <c r="D768" s="46" t="s">
        <v>82</v>
      </c>
      <c r="E768" s="46" t="s">
        <v>83</v>
      </c>
      <c r="F768" s="46" t="s">
        <v>9</v>
      </c>
      <c r="G768" s="46" t="s">
        <v>118</v>
      </c>
      <c r="H768" s="49" t="s">
        <v>159</v>
      </c>
      <c r="I768" s="53">
        <v>57</v>
      </c>
      <c r="J768" s="53">
        <v>88.3</v>
      </c>
      <c r="K768" s="54">
        <v>1.54912280701754</v>
      </c>
    </row>
    <row r="769" spans="1:11">
      <c r="A769" s="46" t="s">
        <v>184</v>
      </c>
      <c r="B769" s="46" t="s">
        <v>242</v>
      </c>
      <c r="C769" s="46" t="s">
        <v>254</v>
      </c>
      <c r="D769" s="46" t="s">
        <v>82</v>
      </c>
      <c r="E769" s="46" t="s">
        <v>83</v>
      </c>
      <c r="F769" s="46" t="s">
        <v>9</v>
      </c>
      <c r="G769" s="46" t="s">
        <v>119</v>
      </c>
      <c r="H769" s="49" t="s">
        <v>159</v>
      </c>
      <c r="I769" s="53">
        <v>57</v>
      </c>
      <c r="J769" s="53">
        <v>22.5</v>
      </c>
      <c r="K769" s="54">
        <v>0.394736842105263</v>
      </c>
    </row>
    <row r="770" spans="1:11">
      <c r="A770" s="46" t="s">
        <v>184</v>
      </c>
      <c r="B770" s="46" t="s">
        <v>242</v>
      </c>
      <c r="C770" s="46" t="s">
        <v>254</v>
      </c>
      <c r="D770" s="46" t="s">
        <v>82</v>
      </c>
      <c r="E770" s="46" t="s">
        <v>83</v>
      </c>
      <c r="F770" s="46" t="s">
        <v>5</v>
      </c>
      <c r="G770" s="46" t="s">
        <v>116</v>
      </c>
      <c r="H770" s="49" t="s">
        <v>159</v>
      </c>
      <c r="I770" s="53">
        <v>48</v>
      </c>
      <c r="J770" s="53">
        <v>36.7</v>
      </c>
      <c r="K770" s="54">
        <v>0.764583333333333</v>
      </c>
    </row>
    <row r="771" spans="1:11">
      <c r="A771" s="46" t="s">
        <v>184</v>
      </c>
      <c r="B771" s="46" t="s">
        <v>242</v>
      </c>
      <c r="C771" s="46" t="s">
        <v>254</v>
      </c>
      <c r="D771" s="46" t="s">
        <v>82</v>
      </c>
      <c r="E771" s="46" t="s">
        <v>83</v>
      </c>
      <c r="F771" s="46" t="s">
        <v>5</v>
      </c>
      <c r="G771" s="46" t="s">
        <v>117</v>
      </c>
      <c r="H771" s="49" t="s">
        <v>159</v>
      </c>
      <c r="I771" s="53">
        <v>48</v>
      </c>
      <c r="J771" s="53">
        <v>31.8</v>
      </c>
      <c r="K771" s="54">
        <v>0.6625</v>
      </c>
    </row>
    <row r="772" spans="1:11">
      <c r="A772" s="46" t="s">
        <v>184</v>
      </c>
      <c r="B772" s="46" t="s">
        <v>242</v>
      </c>
      <c r="C772" s="46" t="s">
        <v>254</v>
      </c>
      <c r="D772" s="46" t="s">
        <v>82</v>
      </c>
      <c r="E772" s="46" t="s">
        <v>83</v>
      </c>
      <c r="F772" s="46" t="s">
        <v>5</v>
      </c>
      <c r="G772" s="46" t="s">
        <v>118</v>
      </c>
      <c r="H772" s="49" t="s">
        <v>159</v>
      </c>
      <c r="I772" s="53">
        <v>48</v>
      </c>
      <c r="J772" s="53">
        <v>99.4</v>
      </c>
      <c r="K772" s="54">
        <v>2.07083333333333</v>
      </c>
    </row>
    <row r="773" spans="1:11">
      <c r="A773" s="46" t="s">
        <v>184</v>
      </c>
      <c r="B773" s="46" t="s">
        <v>242</v>
      </c>
      <c r="C773" s="46" t="s">
        <v>254</v>
      </c>
      <c r="D773" s="46" t="s">
        <v>82</v>
      </c>
      <c r="E773" s="46" t="s">
        <v>83</v>
      </c>
      <c r="F773" s="46" t="s">
        <v>5</v>
      </c>
      <c r="G773" s="46" t="s">
        <v>119</v>
      </c>
      <c r="H773" s="49" t="s">
        <v>159</v>
      </c>
      <c r="I773" s="53">
        <v>48</v>
      </c>
      <c r="J773" s="53">
        <v>22.9</v>
      </c>
      <c r="K773" s="54">
        <v>0.477083333333333</v>
      </c>
    </row>
    <row r="774" spans="1:11">
      <c r="A774" s="46" t="s">
        <v>184</v>
      </c>
      <c r="B774" s="46" t="s">
        <v>242</v>
      </c>
      <c r="C774" s="46" t="s">
        <v>254</v>
      </c>
      <c r="D774" s="46" t="s">
        <v>82</v>
      </c>
      <c r="E774" s="46" t="s">
        <v>83</v>
      </c>
      <c r="F774" s="46" t="s">
        <v>4</v>
      </c>
      <c r="G774" s="46" t="s">
        <v>116</v>
      </c>
      <c r="H774" s="49" t="s">
        <v>159</v>
      </c>
      <c r="I774" s="53">
        <v>36</v>
      </c>
      <c r="J774" s="53">
        <v>11.8</v>
      </c>
      <c r="K774" s="54">
        <v>0.327777777777778</v>
      </c>
    </row>
    <row r="775" spans="1:11">
      <c r="A775" s="46" t="s">
        <v>184</v>
      </c>
      <c r="B775" s="46" t="s">
        <v>242</v>
      </c>
      <c r="C775" s="46" t="s">
        <v>254</v>
      </c>
      <c r="D775" s="46" t="s">
        <v>82</v>
      </c>
      <c r="E775" s="46" t="s">
        <v>83</v>
      </c>
      <c r="F775" s="46" t="s">
        <v>4</v>
      </c>
      <c r="G775" s="46" t="s">
        <v>117</v>
      </c>
      <c r="H775" s="49" t="s">
        <v>159</v>
      </c>
      <c r="I775" s="53">
        <v>36</v>
      </c>
      <c r="J775" s="53">
        <v>16.4</v>
      </c>
      <c r="K775" s="54">
        <v>0.455555555555555</v>
      </c>
    </row>
    <row r="776" spans="1:11">
      <c r="A776" s="46" t="s">
        <v>184</v>
      </c>
      <c r="B776" s="46" t="s">
        <v>242</v>
      </c>
      <c r="C776" s="46" t="s">
        <v>254</v>
      </c>
      <c r="D776" s="46" t="s">
        <v>82</v>
      </c>
      <c r="E776" s="46" t="s">
        <v>83</v>
      </c>
      <c r="F776" s="46" t="s">
        <v>4</v>
      </c>
      <c r="G776" s="46" t="s">
        <v>118</v>
      </c>
      <c r="H776" s="49" t="s">
        <v>159</v>
      </c>
      <c r="I776" s="53">
        <v>36</v>
      </c>
      <c r="J776" s="53">
        <v>44.2</v>
      </c>
      <c r="K776" s="54">
        <v>1.22777777777778</v>
      </c>
    </row>
    <row r="777" spans="1:11">
      <c r="A777" s="46" t="s">
        <v>184</v>
      </c>
      <c r="B777" s="46" t="s">
        <v>242</v>
      </c>
      <c r="C777" s="46" t="s">
        <v>254</v>
      </c>
      <c r="D777" s="46" t="s">
        <v>82</v>
      </c>
      <c r="E777" s="46" t="s">
        <v>83</v>
      </c>
      <c r="F777" s="46" t="s">
        <v>4</v>
      </c>
      <c r="G777" s="46" t="s">
        <v>119</v>
      </c>
      <c r="H777" s="49" t="s">
        <v>159</v>
      </c>
      <c r="I777" s="53">
        <v>36</v>
      </c>
      <c r="J777" s="53">
        <v>3.6</v>
      </c>
      <c r="K777" s="54">
        <v>0.1</v>
      </c>
    </row>
    <row r="778" spans="1:11">
      <c r="A778" s="46" t="s">
        <v>184</v>
      </c>
      <c r="B778" s="46" t="s">
        <v>242</v>
      </c>
      <c r="C778" s="46" t="s">
        <v>254</v>
      </c>
      <c r="D778" s="46" t="s">
        <v>82</v>
      </c>
      <c r="E778" s="46" t="s">
        <v>83</v>
      </c>
      <c r="F778" s="46" t="s">
        <v>7</v>
      </c>
      <c r="G778" s="46" t="s">
        <v>116</v>
      </c>
      <c r="H778" s="49" t="s">
        <v>159</v>
      </c>
      <c r="I778" s="53">
        <v>55</v>
      </c>
      <c r="J778" s="53">
        <v>36.4</v>
      </c>
      <c r="K778" s="54">
        <v>0.661818181818182</v>
      </c>
    </row>
    <row r="779" spans="1:11">
      <c r="A779" s="46" t="s">
        <v>184</v>
      </c>
      <c r="B779" s="46" t="s">
        <v>242</v>
      </c>
      <c r="C779" s="46" t="s">
        <v>254</v>
      </c>
      <c r="D779" s="46" t="s">
        <v>82</v>
      </c>
      <c r="E779" s="46" t="s">
        <v>83</v>
      </c>
      <c r="F779" s="46" t="s">
        <v>7</v>
      </c>
      <c r="G779" s="46" t="s">
        <v>117</v>
      </c>
      <c r="H779" s="49" t="s">
        <v>159</v>
      </c>
      <c r="I779" s="53">
        <v>55</v>
      </c>
      <c r="J779" s="53">
        <v>32</v>
      </c>
      <c r="K779" s="54">
        <v>0.581818181818182</v>
      </c>
    </row>
    <row r="780" spans="1:11">
      <c r="A780" s="46" t="s">
        <v>184</v>
      </c>
      <c r="B780" s="46" t="s">
        <v>242</v>
      </c>
      <c r="C780" s="46" t="s">
        <v>254</v>
      </c>
      <c r="D780" s="46" t="s">
        <v>82</v>
      </c>
      <c r="E780" s="46" t="s">
        <v>83</v>
      </c>
      <c r="F780" s="46" t="s">
        <v>7</v>
      </c>
      <c r="G780" s="46" t="s">
        <v>118</v>
      </c>
      <c r="H780" s="49" t="s">
        <v>159</v>
      </c>
      <c r="I780" s="53">
        <v>55</v>
      </c>
      <c r="J780" s="53">
        <v>135.7</v>
      </c>
      <c r="K780" s="54">
        <v>2.46727272727273</v>
      </c>
    </row>
    <row r="781" spans="1:11">
      <c r="A781" s="46" t="s">
        <v>184</v>
      </c>
      <c r="B781" s="46" t="s">
        <v>242</v>
      </c>
      <c r="C781" s="46" t="s">
        <v>254</v>
      </c>
      <c r="D781" s="46" t="s">
        <v>82</v>
      </c>
      <c r="E781" s="46" t="s">
        <v>83</v>
      </c>
      <c r="F781" s="46" t="s">
        <v>7</v>
      </c>
      <c r="G781" s="46" t="s">
        <v>119</v>
      </c>
      <c r="H781" s="49" t="s">
        <v>159</v>
      </c>
      <c r="I781" s="53">
        <v>55</v>
      </c>
      <c r="J781" s="53">
        <v>44.8</v>
      </c>
      <c r="K781" s="54">
        <v>0.814545454545454</v>
      </c>
    </row>
    <row r="782" spans="1:11">
      <c r="A782" s="46" t="s">
        <v>184</v>
      </c>
      <c r="B782" s="46" t="s">
        <v>242</v>
      </c>
      <c r="C782" s="46" t="s">
        <v>254</v>
      </c>
      <c r="D782" s="46" t="s">
        <v>82</v>
      </c>
      <c r="E782" s="46" t="s">
        <v>83</v>
      </c>
      <c r="F782" s="46" t="s">
        <v>6</v>
      </c>
      <c r="G782" s="46" t="s">
        <v>116</v>
      </c>
      <c r="H782" s="49" t="s">
        <v>159</v>
      </c>
      <c r="I782" s="53">
        <v>70</v>
      </c>
      <c r="J782" s="53">
        <v>39.4</v>
      </c>
      <c r="K782" s="54">
        <v>0.562857142857143</v>
      </c>
    </row>
    <row r="783" spans="1:11">
      <c r="A783" s="46" t="s">
        <v>184</v>
      </c>
      <c r="B783" s="46" t="s">
        <v>242</v>
      </c>
      <c r="C783" s="46" t="s">
        <v>254</v>
      </c>
      <c r="D783" s="46" t="s">
        <v>82</v>
      </c>
      <c r="E783" s="46" t="s">
        <v>83</v>
      </c>
      <c r="F783" s="46" t="s">
        <v>6</v>
      </c>
      <c r="G783" s="46" t="s">
        <v>117</v>
      </c>
      <c r="H783" s="49" t="s">
        <v>159</v>
      </c>
      <c r="I783" s="53">
        <v>70</v>
      </c>
      <c r="J783" s="53">
        <v>24.7</v>
      </c>
      <c r="K783" s="54">
        <v>0.352857142857143</v>
      </c>
    </row>
    <row r="784" spans="1:11">
      <c r="A784" s="46" t="s">
        <v>184</v>
      </c>
      <c r="B784" s="46" t="s">
        <v>242</v>
      </c>
      <c r="C784" s="46" t="s">
        <v>254</v>
      </c>
      <c r="D784" s="46" t="s">
        <v>82</v>
      </c>
      <c r="E784" s="46" t="s">
        <v>83</v>
      </c>
      <c r="F784" s="46" t="s">
        <v>6</v>
      </c>
      <c r="G784" s="46" t="s">
        <v>118</v>
      </c>
      <c r="H784" s="49" t="s">
        <v>159</v>
      </c>
      <c r="I784" s="53">
        <v>70</v>
      </c>
      <c r="J784" s="53">
        <v>59.1</v>
      </c>
      <c r="K784" s="54">
        <v>0.844285714285714</v>
      </c>
    </row>
    <row r="785" spans="1:11">
      <c r="A785" s="46" t="s">
        <v>184</v>
      </c>
      <c r="B785" s="46" t="s">
        <v>242</v>
      </c>
      <c r="C785" s="46" t="s">
        <v>254</v>
      </c>
      <c r="D785" s="46" t="s">
        <v>82</v>
      </c>
      <c r="E785" s="46" t="s">
        <v>83</v>
      </c>
      <c r="F785" s="46" t="s">
        <v>6</v>
      </c>
      <c r="G785" s="46" t="s">
        <v>119</v>
      </c>
      <c r="H785" s="49" t="s">
        <v>159</v>
      </c>
      <c r="I785" s="53">
        <v>70</v>
      </c>
      <c r="J785" s="53">
        <v>42.8</v>
      </c>
      <c r="K785" s="54">
        <v>0.611428571428571</v>
      </c>
    </row>
    <row r="786" spans="1:11">
      <c r="A786" s="46" t="s">
        <v>194</v>
      </c>
      <c r="B786" s="44" t="s">
        <v>243</v>
      </c>
      <c r="C786" s="44" t="s">
        <v>254</v>
      </c>
      <c r="D786" s="46" t="s">
        <v>82</v>
      </c>
      <c r="E786" s="46" t="s">
        <v>83</v>
      </c>
      <c r="F786" s="46" t="s">
        <v>3</v>
      </c>
      <c r="G786" s="46" t="s">
        <v>116</v>
      </c>
      <c r="H786" s="49" t="s">
        <v>159</v>
      </c>
      <c r="I786" s="53">
        <v>53</v>
      </c>
      <c r="J786" s="53">
        <v>39</v>
      </c>
      <c r="K786" s="54">
        <v>0.735849056603774</v>
      </c>
    </row>
    <row r="787" spans="1:11">
      <c r="A787" s="46" t="s">
        <v>194</v>
      </c>
      <c r="B787" s="44" t="s">
        <v>243</v>
      </c>
      <c r="C787" s="44" t="s">
        <v>254</v>
      </c>
      <c r="D787" s="46" t="s">
        <v>82</v>
      </c>
      <c r="E787" s="46" t="s">
        <v>83</v>
      </c>
      <c r="F787" s="46" t="s">
        <v>3</v>
      </c>
      <c r="G787" s="46" t="s">
        <v>117</v>
      </c>
      <c r="H787" s="49" t="s">
        <v>159</v>
      </c>
      <c r="I787" s="53">
        <v>53</v>
      </c>
      <c r="J787" s="53">
        <v>30</v>
      </c>
      <c r="K787" s="54">
        <v>0.566037735849057</v>
      </c>
    </row>
    <row r="788" spans="1:11">
      <c r="A788" s="46" t="s">
        <v>194</v>
      </c>
      <c r="B788" s="44" t="s">
        <v>243</v>
      </c>
      <c r="C788" s="44" t="s">
        <v>254</v>
      </c>
      <c r="D788" s="46" t="s">
        <v>82</v>
      </c>
      <c r="E788" s="46" t="s">
        <v>83</v>
      </c>
      <c r="F788" s="46" t="s">
        <v>3</v>
      </c>
      <c r="G788" s="46" t="s">
        <v>118</v>
      </c>
      <c r="H788" s="49" t="s">
        <v>159</v>
      </c>
      <c r="I788" s="53">
        <v>53</v>
      </c>
      <c r="J788" s="53">
        <v>91</v>
      </c>
      <c r="K788" s="54">
        <v>1.71698113207547</v>
      </c>
    </row>
    <row r="789" spans="1:11">
      <c r="A789" s="46" t="s">
        <v>194</v>
      </c>
      <c r="B789" s="44" t="s">
        <v>243</v>
      </c>
      <c r="C789" s="44" t="s">
        <v>254</v>
      </c>
      <c r="D789" s="46" t="s">
        <v>82</v>
      </c>
      <c r="E789" s="46" t="s">
        <v>83</v>
      </c>
      <c r="F789" s="46" t="s">
        <v>3</v>
      </c>
      <c r="G789" s="46" t="s">
        <v>119</v>
      </c>
      <c r="H789" s="49" t="s">
        <v>159</v>
      </c>
      <c r="I789" s="53">
        <v>53</v>
      </c>
      <c r="J789" s="53">
        <v>54</v>
      </c>
      <c r="K789" s="54">
        <v>1.0188679245283</v>
      </c>
    </row>
    <row r="790" spans="1:11">
      <c r="A790" s="46" t="s">
        <v>194</v>
      </c>
      <c r="B790" s="44" t="s">
        <v>243</v>
      </c>
      <c r="C790" s="44" t="s">
        <v>254</v>
      </c>
      <c r="D790" s="46" t="s">
        <v>82</v>
      </c>
      <c r="E790" s="46" t="s">
        <v>83</v>
      </c>
      <c r="F790" s="46" t="s">
        <v>9</v>
      </c>
      <c r="G790" s="46" t="s">
        <v>116</v>
      </c>
      <c r="H790" s="49" t="s">
        <v>159</v>
      </c>
      <c r="I790" s="53">
        <v>57</v>
      </c>
      <c r="J790" s="53">
        <v>26</v>
      </c>
      <c r="K790" s="54">
        <v>0.456140350877193</v>
      </c>
    </row>
    <row r="791" spans="1:11">
      <c r="A791" s="46" t="s">
        <v>194</v>
      </c>
      <c r="B791" s="44" t="s">
        <v>243</v>
      </c>
      <c r="C791" s="44" t="s">
        <v>254</v>
      </c>
      <c r="D791" s="46" t="s">
        <v>82</v>
      </c>
      <c r="E791" s="46" t="s">
        <v>83</v>
      </c>
      <c r="F791" s="46" t="s">
        <v>9</v>
      </c>
      <c r="G791" s="46" t="s">
        <v>117</v>
      </c>
      <c r="H791" s="49" t="s">
        <v>159</v>
      </c>
      <c r="I791" s="53">
        <v>57</v>
      </c>
      <c r="J791" s="53">
        <v>33</v>
      </c>
      <c r="K791" s="54">
        <v>0.578947368421053</v>
      </c>
    </row>
    <row r="792" spans="1:11">
      <c r="A792" s="46" t="s">
        <v>194</v>
      </c>
      <c r="B792" s="44" t="s">
        <v>243</v>
      </c>
      <c r="C792" s="44" t="s">
        <v>254</v>
      </c>
      <c r="D792" s="46" t="s">
        <v>82</v>
      </c>
      <c r="E792" s="46" t="s">
        <v>83</v>
      </c>
      <c r="F792" s="46" t="s">
        <v>9</v>
      </c>
      <c r="G792" s="46" t="s">
        <v>118</v>
      </c>
      <c r="H792" s="49" t="s">
        <v>159</v>
      </c>
      <c r="I792" s="53">
        <v>57</v>
      </c>
      <c r="J792" s="53">
        <v>101</v>
      </c>
      <c r="K792" s="54">
        <v>1.7719298245614</v>
      </c>
    </row>
    <row r="793" spans="1:11">
      <c r="A793" s="46" t="s">
        <v>194</v>
      </c>
      <c r="B793" s="44" t="s">
        <v>243</v>
      </c>
      <c r="C793" s="44" t="s">
        <v>254</v>
      </c>
      <c r="D793" s="46" t="s">
        <v>82</v>
      </c>
      <c r="E793" s="46" t="s">
        <v>83</v>
      </c>
      <c r="F793" s="46" t="s">
        <v>9</v>
      </c>
      <c r="G793" s="46" t="s">
        <v>119</v>
      </c>
      <c r="H793" s="49" t="s">
        <v>159</v>
      </c>
      <c r="I793" s="53">
        <v>57</v>
      </c>
      <c r="J793" s="53">
        <v>13</v>
      </c>
      <c r="K793" s="54">
        <v>0.228070175438596</v>
      </c>
    </row>
    <row r="794" spans="1:11">
      <c r="A794" s="46" t="s">
        <v>194</v>
      </c>
      <c r="B794" s="44" t="s">
        <v>243</v>
      </c>
      <c r="C794" s="44" t="s">
        <v>254</v>
      </c>
      <c r="D794" s="46" t="s">
        <v>82</v>
      </c>
      <c r="E794" s="46" t="s">
        <v>83</v>
      </c>
      <c r="F794" s="46" t="s">
        <v>5</v>
      </c>
      <c r="G794" s="46" t="s">
        <v>116</v>
      </c>
      <c r="H794" s="49" t="s">
        <v>159</v>
      </c>
      <c r="I794" s="53">
        <v>48</v>
      </c>
      <c r="J794" s="53">
        <v>85</v>
      </c>
      <c r="K794" s="54">
        <v>1.77083333333333</v>
      </c>
    </row>
    <row r="795" spans="1:11">
      <c r="A795" s="46" t="s">
        <v>194</v>
      </c>
      <c r="B795" s="44" t="s">
        <v>243</v>
      </c>
      <c r="C795" s="44" t="s">
        <v>254</v>
      </c>
      <c r="D795" s="46" t="s">
        <v>82</v>
      </c>
      <c r="E795" s="46" t="s">
        <v>83</v>
      </c>
      <c r="F795" s="46" t="s">
        <v>5</v>
      </c>
      <c r="G795" s="46" t="s">
        <v>117</v>
      </c>
      <c r="H795" s="49" t="s">
        <v>159</v>
      </c>
      <c r="I795" s="53">
        <v>48</v>
      </c>
      <c r="J795" s="53">
        <v>65</v>
      </c>
      <c r="K795" s="54">
        <v>1.35416666666667</v>
      </c>
    </row>
    <row r="796" spans="1:11">
      <c r="A796" s="46" t="s">
        <v>194</v>
      </c>
      <c r="B796" s="44" t="s">
        <v>243</v>
      </c>
      <c r="C796" s="44" t="s">
        <v>254</v>
      </c>
      <c r="D796" s="46" t="s">
        <v>82</v>
      </c>
      <c r="E796" s="46" t="s">
        <v>83</v>
      </c>
      <c r="F796" s="46" t="s">
        <v>5</v>
      </c>
      <c r="G796" s="46" t="s">
        <v>118</v>
      </c>
      <c r="H796" s="49" t="s">
        <v>159</v>
      </c>
      <c r="I796" s="53">
        <v>48</v>
      </c>
      <c r="J796" s="53">
        <v>97</v>
      </c>
      <c r="K796" s="54">
        <v>2.02083333333333</v>
      </c>
    </row>
    <row r="797" spans="1:11">
      <c r="A797" s="46" t="s">
        <v>194</v>
      </c>
      <c r="B797" s="44" t="s">
        <v>243</v>
      </c>
      <c r="C797" s="44" t="s">
        <v>254</v>
      </c>
      <c r="D797" s="46" t="s">
        <v>82</v>
      </c>
      <c r="E797" s="46" t="s">
        <v>83</v>
      </c>
      <c r="F797" s="46" t="s">
        <v>5</v>
      </c>
      <c r="G797" s="46" t="s">
        <v>119</v>
      </c>
      <c r="H797" s="49" t="s">
        <v>159</v>
      </c>
      <c r="I797" s="53">
        <v>48</v>
      </c>
      <c r="J797" s="53">
        <v>19</v>
      </c>
      <c r="K797" s="54">
        <v>0.395833333333333</v>
      </c>
    </row>
    <row r="798" spans="1:11">
      <c r="A798" s="46" t="s">
        <v>194</v>
      </c>
      <c r="B798" s="44" t="s">
        <v>243</v>
      </c>
      <c r="C798" s="44" t="s">
        <v>254</v>
      </c>
      <c r="D798" s="46" t="s">
        <v>82</v>
      </c>
      <c r="E798" s="46" t="s">
        <v>83</v>
      </c>
      <c r="F798" s="46" t="s">
        <v>4</v>
      </c>
      <c r="G798" s="46" t="s">
        <v>116</v>
      </c>
      <c r="H798" s="49" t="s">
        <v>159</v>
      </c>
      <c r="I798" s="53">
        <v>36</v>
      </c>
      <c r="J798" s="53">
        <v>20</v>
      </c>
      <c r="K798" s="54">
        <v>0.555555555555556</v>
      </c>
    </row>
    <row r="799" spans="1:11">
      <c r="A799" s="46" t="s">
        <v>194</v>
      </c>
      <c r="B799" s="44" t="s">
        <v>243</v>
      </c>
      <c r="C799" s="44" t="s">
        <v>254</v>
      </c>
      <c r="D799" s="46" t="s">
        <v>82</v>
      </c>
      <c r="E799" s="46" t="s">
        <v>83</v>
      </c>
      <c r="F799" s="46" t="s">
        <v>4</v>
      </c>
      <c r="G799" s="46" t="s">
        <v>117</v>
      </c>
      <c r="H799" s="49" t="s">
        <v>159</v>
      </c>
      <c r="I799" s="53">
        <v>36</v>
      </c>
      <c r="J799" s="53">
        <v>14</v>
      </c>
      <c r="K799" s="54">
        <v>0.388888888888889</v>
      </c>
    </row>
    <row r="800" spans="1:11">
      <c r="A800" s="46" t="s">
        <v>194</v>
      </c>
      <c r="B800" s="44" t="s">
        <v>243</v>
      </c>
      <c r="C800" s="44" t="s">
        <v>254</v>
      </c>
      <c r="D800" s="46" t="s">
        <v>82</v>
      </c>
      <c r="E800" s="46" t="s">
        <v>83</v>
      </c>
      <c r="F800" s="46" t="s">
        <v>4</v>
      </c>
      <c r="G800" s="46" t="s">
        <v>118</v>
      </c>
      <c r="H800" s="49" t="s">
        <v>159</v>
      </c>
      <c r="I800" s="53">
        <v>36</v>
      </c>
      <c r="J800" s="53">
        <v>44</v>
      </c>
      <c r="K800" s="54">
        <v>1.22222222222222</v>
      </c>
    </row>
    <row r="801" spans="1:11">
      <c r="A801" s="46" t="s">
        <v>194</v>
      </c>
      <c r="B801" s="44" t="s">
        <v>243</v>
      </c>
      <c r="C801" s="44" t="s">
        <v>254</v>
      </c>
      <c r="D801" s="46" t="s">
        <v>82</v>
      </c>
      <c r="E801" s="46" t="s">
        <v>83</v>
      </c>
      <c r="F801" s="46" t="s">
        <v>4</v>
      </c>
      <c r="G801" s="46" t="s">
        <v>119</v>
      </c>
      <c r="H801" s="49" t="s">
        <v>159</v>
      </c>
      <c r="I801" s="53">
        <v>36</v>
      </c>
      <c r="J801" s="53">
        <v>9</v>
      </c>
      <c r="K801" s="54">
        <v>0.25</v>
      </c>
    </row>
    <row r="802" spans="1:11">
      <c r="A802" s="46" t="s">
        <v>194</v>
      </c>
      <c r="B802" s="44" t="s">
        <v>243</v>
      </c>
      <c r="C802" s="44" t="s">
        <v>254</v>
      </c>
      <c r="D802" s="46" t="s">
        <v>82</v>
      </c>
      <c r="E802" s="46" t="s">
        <v>83</v>
      </c>
      <c r="F802" s="46" t="s">
        <v>7</v>
      </c>
      <c r="G802" s="46" t="s">
        <v>116</v>
      </c>
      <c r="H802" s="49" t="s">
        <v>159</v>
      </c>
      <c r="I802" s="53">
        <v>55</v>
      </c>
      <c r="J802" s="53">
        <v>57</v>
      </c>
      <c r="K802" s="54">
        <v>1.03636363636364</v>
      </c>
    </row>
    <row r="803" spans="1:11">
      <c r="A803" s="46" t="s">
        <v>194</v>
      </c>
      <c r="B803" s="44" t="s">
        <v>243</v>
      </c>
      <c r="C803" s="44" t="s">
        <v>254</v>
      </c>
      <c r="D803" s="46" t="s">
        <v>82</v>
      </c>
      <c r="E803" s="46" t="s">
        <v>83</v>
      </c>
      <c r="F803" s="46" t="s">
        <v>7</v>
      </c>
      <c r="G803" s="46" t="s">
        <v>117</v>
      </c>
      <c r="H803" s="49" t="s">
        <v>159</v>
      </c>
      <c r="I803" s="53">
        <v>55</v>
      </c>
      <c r="J803" s="53">
        <v>46</v>
      </c>
      <c r="K803" s="54">
        <v>0.836363636363636</v>
      </c>
    </row>
    <row r="804" spans="1:11">
      <c r="A804" s="46" t="s">
        <v>194</v>
      </c>
      <c r="B804" s="44" t="s">
        <v>243</v>
      </c>
      <c r="C804" s="44" t="s">
        <v>254</v>
      </c>
      <c r="D804" s="46" t="s">
        <v>82</v>
      </c>
      <c r="E804" s="46" t="s">
        <v>83</v>
      </c>
      <c r="F804" s="46" t="s">
        <v>7</v>
      </c>
      <c r="G804" s="46" t="s">
        <v>118</v>
      </c>
      <c r="H804" s="49" t="s">
        <v>159</v>
      </c>
      <c r="I804" s="53">
        <v>55</v>
      </c>
      <c r="J804" s="53">
        <v>139</v>
      </c>
      <c r="K804" s="54">
        <v>2.52727272727273</v>
      </c>
    </row>
    <row r="805" spans="1:11">
      <c r="A805" s="46" t="s">
        <v>194</v>
      </c>
      <c r="B805" s="44" t="s">
        <v>243</v>
      </c>
      <c r="C805" s="44" t="s">
        <v>254</v>
      </c>
      <c r="D805" s="46" t="s">
        <v>82</v>
      </c>
      <c r="E805" s="46" t="s">
        <v>83</v>
      </c>
      <c r="F805" s="46" t="s">
        <v>7</v>
      </c>
      <c r="G805" s="46" t="s">
        <v>119</v>
      </c>
      <c r="H805" s="49" t="s">
        <v>159</v>
      </c>
      <c r="I805" s="53">
        <v>55</v>
      </c>
      <c r="J805" s="53">
        <v>48</v>
      </c>
      <c r="K805" s="54">
        <v>0.872727272727273</v>
      </c>
    </row>
    <row r="806" spans="1:11">
      <c r="A806" s="46" t="s">
        <v>194</v>
      </c>
      <c r="B806" s="44" t="s">
        <v>243</v>
      </c>
      <c r="C806" s="44" t="s">
        <v>254</v>
      </c>
      <c r="D806" s="46" t="s">
        <v>82</v>
      </c>
      <c r="E806" s="46" t="s">
        <v>83</v>
      </c>
      <c r="F806" s="46" t="s">
        <v>8</v>
      </c>
      <c r="G806" s="46" t="s">
        <v>116</v>
      </c>
      <c r="H806" s="49" t="s">
        <v>159</v>
      </c>
      <c r="I806" s="53">
        <v>56</v>
      </c>
      <c r="J806" s="53">
        <v>33</v>
      </c>
      <c r="K806" s="54">
        <v>0.589285714285714</v>
      </c>
    </row>
    <row r="807" spans="1:11">
      <c r="A807" s="46" t="s">
        <v>194</v>
      </c>
      <c r="B807" s="44" t="s">
        <v>243</v>
      </c>
      <c r="C807" s="44" t="s">
        <v>254</v>
      </c>
      <c r="D807" s="46" t="s">
        <v>82</v>
      </c>
      <c r="E807" s="46" t="s">
        <v>83</v>
      </c>
      <c r="F807" s="46" t="s">
        <v>8</v>
      </c>
      <c r="G807" s="46" t="s">
        <v>117</v>
      </c>
      <c r="H807" s="49" t="s">
        <v>159</v>
      </c>
      <c r="I807" s="53">
        <v>56</v>
      </c>
      <c r="J807" s="53">
        <v>16</v>
      </c>
      <c r="K807" s="54">
        <v>0.285714285714286</v>
      </c>
    </row>
    <row r="808" spans="1:11">
      <c r="A808" s="46" t="s">
        <v>194</v>
      </c>
      <c r="B808" s="44" t="s">
        <v>243</v>
      </c>
      <c r="C808" s="44" t="s">
        <v>254</v>
      </c>
      <c r="D808" s="46" t="s">
        <v>82</v>
      </c>
      <c r="E808" s="46" t="s">
        <v>83</v>
      </c>
      <c r="F808" s="46" t="s">
        <v>8</v>
      </c>
      <c r="G808" s="46" t="s">
        <v>118</v>
      </c>
      <c r="H808" s="49" t="s">
        <v>159</v>
      </c>
      <c r="I808" s="53">
        <v>56</v>
      </c>
      <c r="J808" s="53">
        <v>71</v>
      </c>
      <c r="K808" s="54">
        <v>1.26785714285714</v>
      </c>
    </row>
    <row r="809" spans="1:11">
      <c r="A809" s="46" t="s">
        <v>194</v>
      </c>
      <c r="B809" s="44" t="s">
        <v>243</v>
      </c>
      <c r="C809" s="44" t="s">
        <v>254</v>
      </c>
      <c r="D809" s="46" t="s">
        <v>82</v>
      </c>
      <c r="E809" s="46" t="s">
        <v>83</v>
      </c>
      <c r="F809" s="46" t="s">
        <v>8</v>
      </c>
      <c r="G809" s="46" t="s">
        <v>119</v>
      </c>
      <c r="H809" s="49" t="s">
        <v>159</v>
      </c>
      <c r="I809" s="53">
        <v>56</v>
      </c>
      <c r="J809" s="53">
        <v>17</v>
      </c>
      <c r="K809" s="54">
        <v>0.303571428571429</v>
      </c>
    </row>
    <row r="810" spans="1:11">
      <c r="A810" s="46" t="s">
        <v>194</v>
      </c>
      <c r="B810" s="44" t="s">
        <v>243</v>
      </c>
      <c r="C810" s="44" t="s">
        <v>254</v>
      </c>
      <c r="D810" s="46" t="s">
        <v>82</v>
      </c>
      <c r="E810" s="46" t="s">
        <v>83</v>
      </c>
      <c r="F810" s="46" t="s">
        <v>6</v>
      </c>
      <c r="G810" s="46" t="s">
        <v>116</v>
      </c>
      <c r="H810" s="49" t="s">
        <v>159</v>
      </c>
      <c r="I810" s="53">
        <v>70</v>
      </c>
      <c r="J810" s="53">
        <v>52</v>
      </c>
      <c r="K810" s="54">
        <v>0.742857142857143</v>
      </c>
    </row>
    <row r="811" spans="1:11">
      <c r="A811" s="46" t="s">
        <v>194</v>
      </c>
      <c r="B811" s="44" t="s">
        <v>243</v>
      </c>
      <c r="C811" s="44" t="s">
        <v>254</v>
      </c>
      <c r="D811" s="46" t="s">
        <v>82</v>
      </c>
      <c r="E811" s="46" t="s">
        <v>83</v>
      </c>
      <c r="F811" s="46" t="s">
        <v>6</v>
      </c>
      <c r="G811" s="46" t="s">
        <v>117</v>
      </c>
      <c r="H811" s="49" t="s">
        <v>159</v>
      </c>
      <c r="I811" s="53">
        <v>70</v>
      </c>
      <c r="J811" s="53">
        <v>40</v>
      </c>
      <c r="K811" s="54">
        <v>0.571428571428571</v>
      </c>
    </row>
    <row r="812" spans="1:11">
      <c r="A812" s="46" t="s">
        <v>194</v>
      </c>
      <c r="B812" s="44" t="s">
        <v>243</v>
      </c>
      <c r="C812" s="44" t="s">
        <v>254</v>
      </c>
      <c r="D812" s="46" t="s">
        <v>82</v>
      </c>
      <c r="E812" s="46" t="s">
        <v>83</v>
      </c>
      <c r="F812" s="46" t="s">
        <v>6</v>
      </c>
      <c r="G812" s="46" t="s">
        <v>118</v>
      </c>
      <c r="H812" s="49" t="s">
        <v>159</v>
      </c>
      <c r="I812" s="53">
        <v>70</v>
      </c>
      <c r="J812" s="53">
        <v>120</v>
      </c>
      <c r="K812" s="54">
        <v>1.71428571428571</v>
      </c>
    </row>
    <row r="813" spans="1:11">
      <c r="A813" s="46" t="s">
        <v>194</v>
      </c>
      <c r="B813" s="44" t="s">
        <v>243</v>
      </c>
      <c r="C813" s="44" t="s">
        <v>254</v>
      </c>
      <c r="D813" s="46" t="s">
        <v>82</v>
      </c>
      <c r="E813" s="46" t="s">
        <v>83</v>
      </c>
      <c r="F813" s="46" t="s">
        <v>6</v>
      </c>
      <c r="G813" s="46" t="s">
        <v>119</v>
      </c>
      <c r="H813" s="49" t="s">
        <v>159</v>
      </c>
      <c r="I813" s="53">
        <v>70</v>
      </c>
      <c r="J813" s="53">
        <v>68</v>
      </c>
      <c r="K813" s="54">
        <v>0.971428571428571</v>
      </c>
    </row>
    <row r="814" spans="1:11">
      <c r="A814" s="46" t="s">
        <v>183</v>
      </c>
      <c r="B814" s="46">
        <v>2025</v>
      </c>
      <c r="C814" s="46" t="s">
        <v>254</v>
      </c>
      <c r="D814" s="46" t="s">
        <v>82</v>
      </c>
      <c r="E814" s="46" t="s">
        <v>83</v>
      </c>
      <c r="F814" s="46" t="s">
        <v>3</v>
      </c>
      <c r="G814" s="46" t="s">
        <v>116</v>
      </c>
      <c r="H814" s="49" t="s">
        <v>148</v>
      </c>
      <c r="I814" s="53">
        <v>53</v>
      </c>
      <c r="J814" s="53">
        <v>47.2</v>
      </c>
      <c r="K814" s="54">
        <v>0.890566037735849</v>
      </c>
    </row>
    <row r="815" spans="1:11">
      <c r="A815" s="46" t="s">
        <v>183</v>
      </c>
      <c r="B815" s="46">
        <v>2025</v>
      </c>
      <c r="C815" s="46" t="s">
        <v>254</v>
      </c>
      <c r="D815" s="46" t="s">
        <v>82</v>
      </c>
      <c r="E815" s="46" t="s">
        <v>83</v>
      </c>
      <c r="F815" s="46" t="s">
        <v>3</v>
      </c>
      <c r="G815" s="46" t="s">
        <v>117</v>
      </c>
      <c r="H815" s="49" t="s">
        <v>148</v>
      </c>
      <c r="I815" s="53">
        <v>53</v>
      </c>
      <c r="J815" s="53">
        <v>39.4</v>
      </c>
      <c r="K815" s="54">
        <v>0.743396226415094</v>
      </c>
    </row>
    <row r="816" spans="1:11">
      <c r="A816" s="46" t="s">
        <v>183</v>
      </c>
      <c r="B816" s="46">
        <v>2025</v>
      </c>
      <c r="C816" s="46" t="s">
        <v>254</v>
      </c>
      <c r="D816" s="46" t="s">
        <v>82</v>
      </c>
      <c r="E816" s="46" t="s">
        <v>83</v>
      </c>
      <c r="F816" s="46" t="s">
        <v>3</v>
      </c>
      <c r="G816" s="46" t="s">
        <v>118</v>
      </c>
      <c r="H816" s="49" t="s">
        <v>148</v>
      </c>
      <c r="I816" s="53">
        <v>53</v>
      </c>
      <c r="J816" s="53">
        <v>132.4</v>
      </c>
      <c r="K816" s="54">
        <v>2.49811320754717</v>
      </c>
    </row>
    <row r="817" spans="1:11">
      <c r="A817" s="46" t="s">
        <v>183</v>
      </c>
      <c r="B817" s="46">
        <v>2025</v>
      </c>
      <c r="C817" s="46" t="s">
        <v>254</v>
      </c>
      <c r="D817" s="46" t="s">
        <v>82</v>
      </c>
      <c r="E817" s="46" t="s">
        <v>83</v>
      </c>
      <c r="F817" s="46" t="s">
        <v>3</v>
      </c>
      <c r="G817" s="46" t="s">
        <v>119</v>
      </c>
      <c r="H817" s="49" t="s">
        <v>148</v>
      </c>
      <c r="I817" s="53">
        <v>53</v>
      </c>
      <c r="J817" s="53">
        <v>50.5</v>
      </c>
      <c r="K817" s="54">
        <v>0.952830188679245</v>
      </c>
    </row>
    <row r="818" spans="1:11">
      <c r="A818" s="46" t="s">
        <v>183</v>
      </c>
      <c r="B818" s="46">
        <v>2025</v>
      </c>
      <c r="C818" s="46" t="s">
        <v>254</v>
      </c>
      <c r="D818" s="46" t="s">
        <v>82</v>
      </c>
      <c r="E818" s="46" t="s">
        <v>83</v>
      </c>
      <c r="F818" s="46" t="s">
        <v>9</v>
      </c>
      <c r="G818" s="46" t="s">
        <v>116</v>
      </c>
      <c r="H818" s="49" t="s">
        <v>148</v>
      </c>
      <c r="I818" s="53">
        <v>57</v>
      </c>
      <c r="J818" s="53">
        <v>65.1</v>
      </c>
      <c r="K818" s="54">
        <v>1.14210526315789</v>
      </c>
    </row>
    <row r="819" spans="1:11">
      <c r="A819" s="46" t="s">
        <v>183</v>
      </c>
      <c r="B819" s="46">
        <v>2025</v>
      </c>
      <c r="C819" s="46" t="s">
        <v>254</v>
      </c>
      <c r="D819" s="46" t="s">
        <v>82</v>
      </c>
      <c r="E819" s="46" t="s">
        <v>83</v>
      </c>
      <c r="F819" s="46" t="s">
        <v>9</v>
      </c>
      <c r="G819" s="46" t="s">
        <v>117</v>
      </c>
      <c r="H819" s="49" t="s">
        <v>148</v>
      </c>
      <c r="I819" s="53">
        <v>57</v>
      </c>
      <c r="J819" s="53">
        <v>49.9</v>
      </c>
      <c r="K819" s="54">
        <v>0.875438596491228</v>
      </c>
    </row>
    <row r="820" spans="1:11">
      <c r="A820" s="46" t="s">
        <v>183</v>
      </c>
      <c r="B820" s="46">
        <v>2025</v>
      </c>
      <c r="C820" s="46" t="s">
        <v>254</v>
      </c>
      <c r="D820" s="46" t="s">
        <v>82</v>
      </c>
      <c r="E820" s="46" t="s">
        <v>83</v>
      </c>
      <c r="F820" s="46" t="s">
        <v>9</v>
      </c>
      <c r="G820" s="46" t="s">
        <v>118</v>
      </c>
      <c r="H820" s="49" t="s">
        <v>148</v>
      </c>
      <c r="I820" s="53">
        <v>57</v>
      </c>
      <c r="J820" s="53">
        <v>117.9</v>
      </c>
      <c r="K820" s="54">
        <v>2.06842105263158</v>
      </c>
    </row>
    <row r="821" spans="1:11">
      <c r="A821" s="46" t="s">
        <v>183</v>
      </c>
      <c r="B821" s="46">
        <v>2025</v>
      </c>
      <c r="C821" s="46" t="s">
        <v>254</v>
      </c>
      <c r="D821" s="46" t="s">
        <v>82</v>
      </c>
      <c r="E821" s="46" t="s">
        <v>83</v>
      </c>
      <c r="F821" s="46" t="s">
        <v>9</v>
      </c>
      <c r="G821" s="46" t="s">
        <v>119</v>
      </c>
      <c r="H821" s="49" t="s">
        <v>148</v>
      </c>
      <c r="I821" s="53">
        <v>57</v>
      </c>
      <c r="J821" s="53">
        <v>48</v>
      </c>
      <c r="K821" s="54">
        <v>0.842105263157895</v>
      </c>
    </row>
    <row r="822" spans="1:11">
      <c r="A822" s="46" t="s">
        <v>183</v>
      </c>
      <c r="B822" s="46">
        <v>2025</v>
      </c>
      <c r="C822" s="46" t="s">
        <v>254</v>
      </c>
      <c r="D822" s="46" t="s">
        <v>82</v>
      </c>
      <c r="E822" s="46" t="s">
        <v>83</v>
      </c>
      <c r="F822" s="46" t="s">
        <v>5</v>
      </c>
      <c r="G822" s="46" t="s">
        <v>116</v>
      </c>
      <c r="H822" s="49" t="s">
        <v>148</v>
      </c>
      <c r="I822" s="53">
        <v>48</v>
      </c>
      <c r="J822" s="53">
        <v>70.6</v>
      </c>
      <c r="K822" s="54">
        <v>1.47083333333333</v>
      </c>
    </row>
    <row r="823" spans="1:11">
      <c r="A823" s="46" t="s">
        <v>183</v>
      </c>
      <c r="B823" s="46">
        <v>2025</v>
      </c>
      <c r="C823" s="46" t="s">
        <v>254</v>
      </c>
      <c r="D823" s="46" t="s">
        <v>82</v>
      </c>
      <c r="E823" s="46" t="s">
        <v>83</v>
      </c>
      <c r="F823" s="46" t="s">
        <v>5</v>
      </c>
      <c r="G823" s="46" t="s">
        <v>117</v>
      </c>
      <c r="H823" s="49" t="s">
        <v>148</v>
      </c>
      <c r="I823" s="53">
        <v>48</v>
      </c>
      <c r="J823" s="53">
        <v>56.7</v>
      </c>
      <c r="K823" s="54">
        <v>1.18125</v>
      </c>
    </row>
    <row r="824" spans="1:11">
      <c r="A824" s="46" t="s">
        <v>183</v>
      </c>
      <c r="B824" s="46">
        <v>2025</v>
      </c>
      <c r="C824" s="46" t="s">
        <v>254</v>
      </c>
      <c r="D824" s="46" t="s">
        <v>82</v>
      </c>
      <c r="E824" s="46" t="s">
        <v>83</v>
      </c>
      <c r="F824" s="46" t="s">
        <v>5</v>
      </c>
      <c r="G824" s="46" t="s">
        <v>118</v>
      </c>
      <c r="H824" s="49" t="s">
        <v>148</v>
      </c>
      <c r="I824" s="53">
        <v>48</v>
      </c>
      <c r="J824" s="53">
        <v>120.4</v>
      </c>
      <c r="K824" s="54">
        <v>2.50833333333333</v>
      </c>
    </row>
    <row r="825" spans="1:11">
      <c r="A825" s="46" t="s">
        <v>183</v>
      </c>
      <c r="B825" s="46">
        <v>2025</v>
      </c>
      <c r="C825" s="46" t="s">
        <v>254</v>
      </c>
      <c r="D825" s="46" t="s">
        <v>82</v>
      </c>
      <c r="E825" s="46" t="s">
        <v>83</v>
      </c>
      <c r="F825" s="46" t="s">
        <v>5</v>
      </c>
      <c r="G825" s="46" t="s">
        <v>119</v>
      </c>
      <c r="H825" s="49" t="s">
        <v>148</v>
      </c>
      <c r="I825" s="53">
        <v>48</v>
      </c>
      <c r="J825" s="53">
        <v>28.2</v>
      </c>
      <c r="K825" s="54">
        <v>0.5875</v>
      </c>
    </row>
    <row r="826" spans="1:11">
      <c r="A826" s="46" t="s">
        <v>183</v>
      </c>
      <c r="B826" s="46">
        <v>2025</v>
      </c>
      <c r="C826" s="46" t="s">
        <v>254</v>
      </c>
      <c r="D826" s="46" t="s">
        <v>82</v>
      </c>
      <c r="E826" s="46" t="s">
        <v>83</v>
      </c>
      <c r="F826" s="46" t="s">
        <v>4</v>
      </c>
      <c r="G826" s="46" t="s">
        <v>116</v>
      </c>
      <c r="H826" s="49" t="s">
        <v>148</v>
      </c>
      <c r="I826" s="53">
        <v>36</v>
      </c>
      <c r="J826" s="53">
        <v>36.4</v>
      </c>
      <c r="K826" s="54">
        <v>1.01111111111111</v>
      </c>
    </row>
    <row r="827" spans="1:11">
      <c r="A827" s="46" t="s">
        <v>183</v>
      </c>
      <c r="B827" s="46">
        <v>2025</v>
      </c>
      <c r="C827" s="46" t="s">
        <v>254</v>
      </c>
      <c r="D827" s="46" t="s">
        <v>82</v>
      </c>
      <c r="E827" s="46" t="s">
        <v>83</v>
      </c>
      <c r="F827" s="46" t="s">
        <v>4</v>
      </c>
      <c r="G827" s="46" t="s">
        <v>117</v>
      </c>
      <c r="H827" s="49" t="s">
        <v>148</v>
      </c>
      <c r="I827" s="53">
        <v>36</v>
      </c>
      <c r="J827" s="53">
        <v>19.4</v>
      </c>
      <c r="K827" s="54">
        <v>0.538888888888889</v>
      </c>
    </row>
    <row r="828" spans="1:11">
      <c r="A828" s="46" t="s">
        <v>183</v>
      </c>
      <c r="B828" s="46">
        <v>2025</v>
      </c>
      <c r="C828" s="46" t="s">
        <v>254</v>
      </c>
      <c r="D828" s="46" t="s">
        <v>82</v>
      </c>
      <c r="E828" s="46" t="s">
        <v>83</v>
      </c>
      <c r="F828" s="46" t="s">
        <v>4</v>
      </c>
      <c r="G828" s="46" t="s">
        <v>118</v>
      </c>
      <c r="H828" s="49" t="s">
        <v>148</v>
      </c>
      <c r="I828" s="53">
        <v>36</v>
      </c>
      <c r="J828" s="53">
        <v>84.9</v>
      </c>
      <c r="K828" s="54">
        <v>2.35833333333333</v>
      </c>
    </row>
    <row r="829" spans="1:11">
      <c r="A829" s="46" t="s">
        <v>183</v>
      </c>
      <c r="B829" s="46">
        <v>2025</v>
      </c>
      <c r="C829" s="46" t="s">
        <v>254</v>
      </c>
      <c r="D829" s="46" t="s">
        <v>82</v>
      </c>
      <c r="E829" s="46" t="s">
        <v>83</v>
      </c>
      <c r="F829" s="46" t="s">
        <v>4</v>
      </c>
      <c r="G829" s="46" t="s">
        <v>119</v>
      </c>
      <c r="H829" s="49" t="s">
        <v>148</v>
      </c>
      <c r="I829" s="53">
        <v>36</v>
      </c>
      <c r="J829" s="53">
        <v>11.9</v>
      </c>
      <c r="K829" s="54">
        <v>0.330555555555556</v>
      </c>
    </row>
    <row r="830" spans="1:11">
      <c r="A830" s="46" t="s">
        <v>183</v>
      </c>
      <c r="B830" s="46">
        <v>2025</v>
      </c>
      <c r="C830" s="46" t="s">
        <v>254</v>
      </c>
      <c r="D830" s="46" t="s">
        <v>82</v>
      </c>
      <c r="E830" s="46" t="s">
        <v>83</v>
      </c>
      <c r="F830" s="46" t="s">
        <v>7</v>
      </c>
      <c r="G830" s="46" t="s">
        <v>116</v>
      </c>
      <c r="H830" s="49" t="s">
        <v>148</v>
      </c>
      <c r="I830" s="53">
        <v>55</v>
      </c>
      <c r="J830" s="53">
        <v>62.3</v>
      </c>
      <c r="K830" s="54">
        <v>1.13272727272727</v>
      </c>
    </row>
    <row r="831" spans="1:11">
      <c r="A831" s="46" t="s">
        <v>183</v>
      </c>
      <c r="B831" s="46">
        <v>2025</v>
      </c>
      <c r="C831" s="46" t="s">
        <v>254</v>
      </c>
      <c r="D831" s="46" t="s">
        <v>82</v>
      </c>
      <c r="E831" s="46" t="s">
        <v>83</v>
      </c>
      <c r="F831" s="46" t="s">
        <v>7</v>
      </c>
      <c r="G831" s="46" t="s">
        <v>117</v>
      </c>
      <c r="H831" s="49" t="s">
        <v>148</v>
      </c>
      <c r="I831" s="53">
        <v>55</v>
      </c>
      <c r="J831" s="53">
        <v>54.1</v>
      </c>
      <c r="K831" s="54">
        <v>0.983636363636364</v>
      </c>
    </row>
    <row r="832" spans="1:11">
      <c r="A832" s="46" t="s">
        <v>183</v>
      </c>
      <c r="B832" s="46">
        <v>2025</v>
      </c>
      <c r="C832" s="46" t="s">
        <v>254</v>
      </c>
      <c r="D832" s="46" t="s">
        <v>82</v>
      </c>
      <c r="E832" s="46" t="s">
        <v>83</v>
      </c>
      <c r="F832" s="46" t="s">
        <v>7</v>
      </c>
      <c r="G832" s="46" t="s">
        <v>118</v>
      </c>
      <c r="H832" s="49" t="s">
        <v>148</v>
      </c>
      <c r="I832" s="53">
        <v>55</v>
      </c>
      <c r="J832" s="53">
        <v>137</v>
      </c>
      <c r="K832" s="54">
        <v>2.49090909090909</v>
      </c>
    </row>
    <row r="833" spans="1:11">
      <c r="A833" s="46" t="s">
        <v>183</v>
      </c>
      <c r="B833" s="46">
        <v>2025</v>
      </c>
      <c r="C833" s="46" t="s">
        <v>254</v>
      </c>
      <c r="D833" s="46" t="s">
        <v>82</v>
      </c>
      <c r="E833" s="46" t="s">
        <v>83</v>
      </c>
      <c r="F833" s="46" t="s">
        <v>7</v>
      </c>
      <c r="G833" s="46" t="s">
        <v>119</v>
      </c>
      <c r="H833" s="49" t="s">
        <v>148</v>
      </c>
      <c r="I833" s="53">
        <v>55</v>
      </c>
      <c r="J833" s="53">
        <v>61.5</v>
      </c>
      <c r="K833" s="54">
        <v>1.11818181818182</v>
      </c>
    </row>
    <row r="834" spans="1:11">
      <c r="A834" s="46" t="s">
        <v>183</v>
      </c>
      <c r="B834" s="46">
        <v>2025</v>
      </c>
      <c r="C834" s="46" t="s">
        <v>254</v>
      </c>
      <c r="D834" s="46" t="s">
        <v>82</v>
      </c>
      <c r="E834" s="46" t="s">
        <v>83</v>
      </c>
      <c r="F834" s="46" t="s">
        <v>8</v>
      </c>
      <c r="G834" s="46" t="s">
        <v>116</v>
      </c>
      <c r="H834" s="49" t="s">
        <v>148</v>
      </c>
      <c r="I834" s="53">
        <v>56</v>
      </c>
      <c r="J834" s="53">
        <v>61.3</v>
      </c>
      <c r="K834" s="54">
        <v>1.09464285714286</v>
      </c>
    </row>
    <row r="835" spans="1:11">
      <c r="A835" s="46" t="s">
        <v>183</v>
      </c>
      <c r="B835" s="46">
        <v>2025</v>
      </c>
      <c r="C835" s="46" t="s">
        <v>254</v>
      </c>
      <c r="D835" s="46" t="s">
        <v>82</v>
      </c>
      <c r="E835" s="46" t="s">
        <v>83</v>
      </c>
      <c r="F835" s="46" t="s">
        <v>8</v>
      </c>
      <c r="G835" s="46" t="s">
        <v>117</v>
      </c>
      <c r="H835" s="49" t="s">
        <v>148</v>
      </c>
      <c r="I835" s="53">
        <v>56</v>
      </c>
      <c r="J835" s="53">
        <v>33.3</v>
      </c>
      <c r="K835" s="54">
        <v>0.594642857142857</v>
      </c>
    </row>
    <row r="836" spans="1:11">
      <c r="A836" s="46" t="s">
        <v>183</v>
      </c>
      <c r="B836" s="46">
        <v>2025</v>
      </c>
      <c r="C836" s="46" t="s">
        <v>254</v>
      </c>
      <c r="D836" s="46" t="s">
        <v>82</v>
      </c>
      <c r="E836" s="46" t="s">
        <v>83</v>
      </c>
      <c r="F836" s="46" t="s">
        <v>8</v>
      </c>
      <c r="G836" s="46" t="s">
        <v>118</v>
      </c>
      <c r="H836" s="49" t="s">
        <v>148</v>
      </c>
      <c r="I836" s="53">
        <v>56</v>
      </c>
      <c r="J836" s="53">
        <v>135.4</v>
      </c>
      <c r="K836" s="54">
        <v>2.41785714285714</v>
      </c>
    </row>
    <row r="837" spans="1:11">
      <c r="A837" s="46" t="s">
        <v>183</v>
      </c>
      <c r="B837" s="46">
        <v>2025</v>
      </c>
      <c r="C837" s="46" t="s">
        <v>254</v>
      </c>
      <c r="D837" s="46" t="s">
        <v>82</v>
      </c>
      <c r="E837" s="46" t="s">
        <v>83</v>
      </c>
      <c r="F837" s="46" t="s">
        <v>8</v>
      </c>
      <c r="G837" s="46" t="s">
        <v>119</v>
      </c>
      <c r="H837" s="49" t="s">
        <v>148</v>
      </c>
      <c r="I837" s="53">
        <v>56</v>
      </c>
      <c r="J837" s="53">
        <v>49.7</v>
      </c>
      <c r="K837" s="54">
        <v>0.8875</v>
      </c>
    </row>
    <row r="838" spans="1:11">
      <c r="A838" s="46" t="s">
        <v>183</v>
      </c>
      <c r="B838" s="46">
        <v>2025</v>
      </c>
      <c r="C838" s="46" t="s">
        <v>254</v>
      </c>
      <c r="D838" s="46" t="s">
        <v>82</v>
      </c>
      <c r="E838" s="46" t="s">
        <v>83</v>
      </c>
      <c r="F838" s="46" t="s">
        <v>6</v>
      </c>
      <c r="G838" s="46" t="s">
        <v>116</v>
      </c>
      <c r="H838" s="49" t="s">
        <v>148</v>
      </c>
      <c r="I838" s="53">
        <v>70</v>
      </c>
      <c r="J838" s="53">
        <v>55.2</v>
      </c>
      <c r="K838" s="54">
        <v>0.788571428571429</v>
      </c>
    </row>
    <row r="839" spans="1:11">
      <c r="A839" s="46" t="s">
        <v>183</v>
      </c>
      <c r="B839" s="46">
        <v>2025</v>
      </c>
      <c r="C839" s="46" t="s">
        <v>254</v>
      </c>
      <c r="D839" s="46" t="s">
        <v>82</v>
      </c>
      <c r="E839" s="46" t="s">
        <v>83</v>
      </c>
      <c r="F839" s="46" t="s">
        <v>6</v>
      </c>
      <c r="G839" s="46" t="s">
        <v>117</v>
      </c>
      <c r="H839" s="49" t="s">
        <v>148</v>
      </c>
      <c r="I839" s="53">
        <v>70</v>
      </c>
      <c r="J839" s="53">
        <v>46.4</v>
      </c>
      <c r="K839" s="54">
        <v>0.662857142857143</v>
      </c>
    </row>
    <row r="840" spans="1:11">
      <c r="A840" s="46" t="s">
        <v>183</v>
      </c>
      <c r="B840" s="46">
        <v>2025</v>
      </c>
      <c r="C840" s="46" t="s">
        <v>254</v>
      </c>
      <c r="D840" s="46" t="s">
        <v>82</v>
      </c>
      <c r="E840" s="46" t="s">
        <v>83</v>
      </c>
      <c r="F840" s="46" t="s">
        <v>6</v>
      </c>
      <c r="G840" s="46" t="s">
        <v>118</v>
      </c>
      <c r="H840" s="49" t="s">
        <v>148</v>
      </c>
      <c r="I840" s="53">
        <v>70</v>
      </c>
      <c r="J840" s="53">
        <v>175</v>
      </c>
      <c r="K840" s="54">
        <v>2.5</v>
      </c>
    </row>
    <row r="841" spans="1:11">
      <c r="A841" s="46" t="s">
        <v>183</v>
      </c>
      <c r="B841" s="46">
        <v>2025</v>
      </c>
      <c r="C841" s="46" t="s">
        <v>254</v>
      </c>
      <c r="D841" s="46" t="s">
        <v>82</v>
      </c>
      <c r="E841" s="46" t="s">
        <v>83</v>
      </c>
      <c r="F841" s="46" t="s">
        <v>6</v>
      </c>
      <c r="G841" s="46" t="s">
        <v>119</v>
      </c>
      <c r="H841" s="49" t="s">
        <v>148</v>
      </c>
      <c r="I841" s="53">
        <v>70</v>
      </c>
      <c r="J841" s="53">
        <v>65.6</v>
      </c>
      <c r="K841" s="54">
        <v>0.937142857142857</v>
      </c>
    </row>
  </sheetData>
  <autoFilter xmlns:etc="http://www.wps.cn/officeDocument/2017/etCustomData" ref="A1:K841" etc:filterBottomFollowUsedRange="0">
    <extLst/>
  </autoFilter>
  <sortState ref="A2:K29">
    <sortCondition ref="C1:C29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B1:L9"/>
  <sheetViews>
    <sheetView zoomScale="205" zoomScaleNormal="205" workbookViewId="0">
      <selection activeCell="E15" sqref="E15"/>
    </sheetView>
  </sheetViews>
  <sheetFormatPr defaultColWidth="8.75" defaultRowHeight="13.6"/>
  <cols>
    <col min="1" max="1" width="2.5859375" style="34" customWidth="1"/>
    <col min="2" max="2" width="8.75" style="34"/>
    <col min="3" max="3" width="10" style="34" customWidth="1"/>
    <col min="4" max="4" width="11.4140625" style="34" customWidth="1"/>
    <col min="5" max="5" width="11.8359375" style="34" customWidth="1"/>
    <col min="6" max="6" width="10.8359375" style="34" customWidth="1"/>
    <col min="7" max="7" width="11.8359375" style="34" customWidth="1"/>
    <col min="8" max="8" width="10.8359375" style="34" customWidth="1"/>
    <col min="9" max="9" width="12.5859375" style="34" customWidth="1"/>
    <col min="10" max="10" width="8.75" style="34"/>
    <col min="11" max="11" width="15.1640625" style="35" customWidth="1"/>
    <col min="12" max="12" width="11.75" style="35" customWidth="1"/>
    <col min="13" max="16384" width="8.75" style="34"/>
  </cols>
  <sheetData>
    <row r="1" spans="11:12">
      <c r="K1" s="35" t="s">
        <v>255</v>
      </c>
      <c r="L1" s="35" t="s">
        <v>255</v>
      </c>
    </row>
    <row r="2" s="33" customFormat="1" spans="2:12">
      <c r="B2" s="36" t="s">
        <v>201</v>
      </c>
      <c r="C2" s="36" t="s">
        <v>146</v>
      </c>
      <c r="D2" s="36" t="s">
        <v>256</v>
      </c>
      <c r="E2" s="36" t="s">
        <v>43</v>
      </c>
      <c r="F2" s="36" t="s">
        <v>207</v>
      </c>
      <c r="G2" s="38" t="s">
        <v>257</v>
      </c>
      <c r="H2" s="36" t="s">
        <v>258</v>
      </c>
      <c r="I2" s="36" t="s">
        <v>259</v>
      </c>
      <c r="J2" s="36" t="s">
        <v>260</v>
      </c>
      <c r="K2" s="42" t="s">
        <v>207</v>
      </c>
      <c r="L2" s="42" t="s">
        <v>261</v>
      </c>
    </row>
    <row r="3" spans="2:12">
      <c r="B3" s="37" t="s">
        <v>83</v>
      </c>
      <c r="C3" s="37" t="s">
        <v>83</v>
      </c>
      <c r="D3" s="37" t="s">
        <v>3</v>
      </c>
      <c r="E3" s="39">
        <v>4.2</v>
      </c>
      <c r="F3" s="39">
        <v>151.976639712489</v>
      </c>
      <c r="G3" s="40">
        <v>1014900</v>
      </c>
      <c r="H3" s="41">
        <v>0.41</v>
      </c>
      <c r="I3" s="37">
        <v>50000</v>
      </c>
      <c r="J3" s="37">
        <v>0.695265</v>
      </c>
      <c r="K3" s="43">
        <v>105.664038409703</v>
      </c>
      <c r="L3" s="43">
        <v>705624.4485</v>
      </c>
    </row>
    <row r="4" spans="2:12">
      <c r="B4" s="37" t="s">
        <v>83</v>
      </c>
      <c r="C4" s="37" t="s">
        <v>83</v>
      </c>
      <c r="D4" s="37" t="s">
        <v>4</v>
      </c>
      <c r="E4" s="39">
        <v>3.5</v>
      </c>
      <c r="F4" s="39">
        <v>140.21164021164</v>
      </c>
      <c r="G4" s="37">
        <v>530000</v>
      </c>
      <c r="H4" s="41">
        <v>0.42</v>
      </c>
      <c r="I4" s="37">
        <v>10000</v>
      </c>
      <c r="J4" s="37">
        <v>0.695265</v>
      </c>
      <c r="K4" s="43">
        <v>97.484246031746</v>
      </c>
      <c r="L4" s="43">
        <v>368490.45</v>
      </c>
    </row>
    <row r="5" spans="2:12">
      <c r="B5" s="37" t="s">
        <v>83</v>
      </c>
      <c r="C5" s="37" t="s">
        <v>83</v>
      </c>
      <c r="D5" s="37" t="s">
        <v>5</v>
      </c>
      <c r="E5" s="39">
        <v>5.2</v>
      </c>
      <c r="F5" s="39">
        <v>123.998397435897</v>
      </c>
      <c r="G5" s="40">
        <v>928500</v>
      </c>
      <c r="H5" s="41">
        <v>0.385</v>
      </c>
      <c r="I5" s="37">
        <v>80000</v>
      </c>
      <c r="J5" s="37">
        <v>0.695265</v>
      </c>
      <c r="K5" s="43">
        <v>86.2117457932692</v>
      </c>
      <c r="L5" s="43">
        <v>645553.5525</v>
      </c>
    </row>
    <row r="6" spans="2:12">
      <c r="B6" s="37" t="s">
        <v>83</v>
      </c>
      <c r="C6" s="37" t="s">
        <v>83</v>
      </c>
      <c r="D6" s="37" t="s">
        <v>6</v>
      </c>
      <c r="E6" s="39">
        <v>4</v>
      </c>
      <c r="F6" s="39">
        <v>130.952380952381</v>
      </c>
      <c r="G6" s="37">
        <v>1100000</v>
      </c>
      <c r="H6" s="41">
        <v>0.385</v>
      </c>
      <c r="I6" s="37">
        <v>121002</v>
      </c>
      <c r="J6" s="37">
        <v>0.695265</v>
      </c>
      <c r="K6" s="43">
        <v>91.0466071428572</v>
      </c>
      <c r="L6" s="43">
        <v>764791.5</v>
      </c>
    </row>
    <row r="7" spans="2:12">
      <c r="B7" s="37" t="s">
        <v>83</v>
      </c>
      <c r="C7" s="37" t="s">
        <v>83</v>
      </c>
      <c r="D7" s="37" t="s">
        <v>7</v>
      </c>
      <c r="E7" s="39">
        <v>5.1</v>
      </c>
      <c r="F7" s="39">
        <v>135.947712418301</v>
      </c>
      <c r="G7" s="37">
        <v>1144000</v>
      </c>
      <c r="H7" s="41">
        <v>0.385</v>
      </c>
      <c r="I7" s="37">
        <v>122350.8</v>
      </c>
      <c r="J7" s="37">
        <v>0.695265</v>
      </c>
      <c r="K7" s="43">
        <v>94.5196862745098</v>
      </c>
      <c r="L7" s="43">
        <v>795383.16</v>
      </c>
    </row>
    <row r="8" spans="2:12">
      <c r="B8" s="37" t="s">
        <v>83</v>
      </c>
      <c r="C8" s="37" t="s">
        <v>83</v>
      </c>
      <c r="D8" s="37" t="s">
        <v>8</v>
      </c>
      <c r="E8" s="39">
        <v>3.6</v>
      </c>
      <c r="F8" s="39">
        <v>117.39417989418</v>
      </c>
      <c r="G8" s="37">
        <v>710000</v>
      </c>
      <c r="H8" s="41">
        <v>0.39</v>
      </c>
      <c r="I8" s="37">
        <v>30000</v>
      </c>
      <c r="J8" s="37">
        <v>0.695265</v>
      </c>
      <c r="K8" s="43">
        <v>81.620064484127</v>
      </c>
      <c r="L8" s="43">
        <v>493638.15</v>
      </c>
    </row>
    <row r="9" spans="2:12">
      <c r="B9" s="37" t="s">
        <v>83</v>
      </c>
      <c r="C9" s="37" t="s">
        <v>83</v>
      </c>
      <c r="D9" s="37" t="s">
        <v>9</v>
      </c>
      <c r="E9" s="39">
        <v>3.85</v>
      </c>
      <c r="F9" s="39">
        <v>148.856990962254</v>
      </c>
      <c r="G9" s="40">
        <v>980000</v>
      </c>
      <c r="H9" s="41">
        <v>0.41</v>
      </c>
      <c r="I9" s="37">
        <v>50000</v>
      </c>
      <c r="J9" s="37">
        <v>0.695265</v>
      </c>
      <c r="K9" s="43">
        <v>103.495055821372</v>
      </c>
      <c r="L9" s="43">
        <v>681359.7</v>
      </c>
    </row>
  </sheetData>
  <autoFilter xmlns:etc="http://www.wps.cn/officeDocument/2017/etCustomData" ref="B2:L9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I3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J45" sqref="J45"/>
    </sheetView>
  </sheetViews>
  <sheetFormatPr defaultColWidth="9" defaultRowHeight="16.8"/>
  <cols>
    <col min="1" max="1" width="42.9140625" style="1" customWidth="1"/>
    <col min="2" max="8" width="12.1640625" style="1" customWidth="1"/>
    <col min="9" max="9" width="18.4140625" style="1" customWidth="1"/>
    <col min="10" max="16384" width="8.6640625" style="1"/>
  </cols>
  <sheetData>
    <row r="1" ht="17.6" spans="1:9">
      <c r="A1" s="2"/>
      <c r="B1" s="3"/>
      <c r="C1" s="3"/>
      <c r="D1" s="3"/>
      <c r="E1" s="3"/>
      <c r="F1" s="3"/>
      <c r="G1" s="3"/>
      <c r="H1" s="3"/>
      <c r="I1" s="21"/>
    </row>
    <row r="2" spans="1:9">
      <c r="A2" s="4" t="s">
        <v>262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 spans="1:9">
      <c r="A3" s="5" t="s">
        <v>12</v>
      </c>
      <c r="B3" s="6"/>
      <c r="C3" s="6"/>
      <c r="D3" s="6"/>
      <c r="E3" s="6"/>
      <c r="F3" s="6"/>
      <c r="G3" s="6"/>
      <c r="H3" s="6"/>
      <c r="I3" s="4"/>
    </row>
    <row r="4" spans="1:9">
      <c r="A4" s="5" t="s">
        <v>263</v>
      </c>
      <c r="B4" s="6"/>
      <c r="C4" s="6"/>
      <c r="D4" s="6"/>
      <c r="E4" s="6"/>
      <c r="F4" s="6"/>
      <c r="G4" s="6"/>
      <c r="H4" s="6"/>
      <c r="I4" s="4"/>
    </row>
    <row r="5" spans="1:9">
      <c r="A5" s="5" t="s">
        <v>14</v>
      </c>
      <c r="B5" s="6"/>
      <c r="C5" s="6"/>
      <c r="D5" s="6"/>
      <c r="E5" s="6"/>
      <c r="F5" s="6"/>
      <c r="G5" s="6"/>
      <c r="H5" s="6"/>
      <c r="I5" s="4"/>
    </row>
    <row r="6" spans="1:9">
      <c r="A6" s="5" t="s">
        <v>264</v>
      </c>
      <c r="B6" s="7"/>
      <c r="C6" s="7"/>
      <c r="D6" s="7"/>
      <c r="E6" s="7"/>
      <c r="F6" s="7"/>
      <c r="G6" s="7"/>
      <c r="H6" s="7"/>
      <c r="I6" s="22"/>
    </row>
    <row r="7" spans="1:9">
      <c r="A7" s="5" t="s">
        <v>265</v>
      </c>
      <c r="B7" s="7"/>
      <c r="C7" s="7"/>
      <c r="D7" s="7"/>
      <c r="E7" s="7"/>
      <c r="F7" s="7"/>
      <c r="G7" s="7"/>
      <c r="H7" s="7"/>
      <c r="I7" s="22"/>
    </row>
    <row r="8" spans="1:9">
      <c r="A8" s="8" t="s">
        <v>266</v>
      </c>
      <c r="B8" s="7"/>
      <c r="C8" s="7"/>
      <c r="D8" s="7"/>
      <c r="E8" s="7"/>
      <c r="F8" s="7"/>
      <c r="G8" s="7"/>
      <c r="H8" s="7"/>
      <c r="I8" s="22"/>
    </row>
    <row r="9" spans="1:9">
      <c r="A9" s="8" t="s">
        <v>267</v>
      </c>
      <c r="B9" s="9"/>
      <c r="C9" s="9"/>
      <c r="D9" s="9"/>
      <c r="E9" s="9"/>
      <c r="F9" s="9"/>
      <c r="G9" s="9"/>
      <c r="H9" s="9"/>
      <c r="I9" s="23"/>
    </row>
    <row r="10" spans="1:9">
      <c r="A10" s="8" t="s">
        <v>268</v>
      </c>
      <c r="B10" s="10"/>
      <c r="C10" s="10"/>
      <c r="D10" s="10"/>
      <c r="E10" s="10"/>
      <c r="F10" s="10"/>
      <c r="G10" s="10"/>
      <c r="H10" s="10"/>
      <c r="I10" s="10"/>
    </row>
    <row r="11" spans="1:9">
      <c r="A11" s="5" t="s">
        <v>269</v>
      </c>
      <c r="B11" s="7"/>
      <c r="C11" s="7"/>
      <c r="D11" s="7"/>
      <c r="E11" s="7"/>
      <c r="F11" s="7"/>
      <c r="G11" s="7"/>
      <c r="H11" s="7"/>
      <c r="I11" s="24"/>
    </row>
    <row r="12" spans="1:9">
      <c r="A12" s="5" t="s">
        <v>35</v>
      </c>
      <c r="B12" s="11"/>
      <c r="C12" s="11"/>
      <c r="D12" s="11"/>
      <c r="E12" s="11"/>
      <c r="F12" s="11"/>
      <c r="G12" s="11"/>
      <c r="H12" s="11"/>
      <c r="I12" s="25"/>
    </row>
    <row r="13" spans="1:9">
      <c r="A13" s="12" t="s">
        <v>270</v>
      </c>
      <c r="B13" s="13">
        <v>147.363593552908</v>
      </c>
      <c r="C13" s="13">
        <v>140.390845795538</v>
      </c>
      <c r="D13" s="13">
        <v>126.066591681925</v>
      </c>
      <c r="E13" s="13">
        <v>134.177358940713</v>
      </c>
      <c r="F13" s="13">
        <v>137.785988330555</v>
      </c>
      <c r="G13" s="13">
        <v>126.163015107682</v>
      </c>
      <c r="H13" s="13">
        <v>144.230536941581</v>
      </c>
      <c r="I13" s="26">
        <v>136.389676745757</v>
      </c>
    </row>
    <row r="14" spans="1:9">
      <c r="A14" s="8" t="s">
        <v>271</v>
      </c>
      <c r="B14" s="14"/>
      <c r="C14" s="14"/>
      <c r="D14" s="14"/>
      <c r="E14" s="14"/>
      <c r="F14" s="14"/>
      <c r="G14" s="14"/>
      <c r="H14" s="14"/>
      <c r="I14" s="27"/>
    </row>
    <row r="15" spans="1:9">
      <c r="A15" s="8" t="s">
        <v>73</v>
      </c>
      <c r="B15" s="14"/>
      <c r="C15" s="14"/>
      <c r="D15" s="14"/>
      <c r="E15" s="14"/>
      <c r="F15" s="14"/>
      <c r="G15" s="14"/>
      <c r="H15" s="14"/>
      <c r="I15" s="14"/>
    </row>
    <row r="16" spans="1:9">
      <c r="A16" s="8" t="s">
        <v>41</v>
      </c>
      <c r="B16" s="14"/>
      <c r="C16" s="14"/>
      <c r="D16" s="14"/>
      <c r="E16" s="14"/>
      <c r="F16" s="14"/>
      <c r="G16" s="14"/>
      <c r="H16" s="14"/>
      <c r="I16" s="14"/>
    </row>
    <row r="17" spans="1:9">
      <c r="A17" s="8" t="s">
        <v>272</v>
      </c>
      <c r="B17" s="14"/>
      <c r="C17" s="14"/>
      <c r="D17" s="14"/>
      <c r="E17" s="14"/>
      <c r="F17" s="14"/>
      <c r="G17" s="14"/>
      <c r="H17" s="14"/>
      <c r="I17" s="14"/>
    </row>
    <row r="18" spans="1:9">
      <c r="A18" s="5" t="s">
        <v>39</v>
      </c>
      <c r="B18" s="14"/>
      <c r="C18" s="14"/>
      <c r="D18" s="14"/>
      <c r="E18" s="14"/>
      <c r="F18" s="14"/>
      <c r="G18" s="14"/>
      <c r="H18" s="14"/>
      <c r="I18" s="27"/>
    </row>
    <row r="19" spans="1:9">
      <c r="A19" s="5" t="s">
        <v>38</v>
      </c>
      <c r="B19" s="15"/>
      <c r="C19" s="15"/>
      <c r="D19" s="15"/>
      <c r="E19" s="15"/>
      <c r="F19" s="15"/>
      <c r="G19" s="15"/>
      <c r="H19" s="15"/>
      <c r="I19" s="28"/>
    </row>
    <row r="20" spans="1:9">
      <c r="A20" s="5" t="s">
        <v>37</v>
      </c>
      <c r="B20" s="14"/>
      <c r="C20" s="14"/>
      <c r="D20" s="14"/>
      <c r="E20" s="14"/>
      <c r="F20" s="14"/>
      <c r="G20" s="14"/>
      <c r="H20" s="14"/>
      <c r="I20" s="27"/>
    </row>
    <row r="21" spans="1:9">
      <c r="A21" s="5" t="s">
        <v>144</v>
      </c>
      <c r="B21" s="15"/>
      <c r="C21" s="15"/>
      <c r="D21" s="15"/>
      <c r="E21" s="15"/>
      <c r="F21" s="15"/>
      <c r="G21" s="15"/>
      <c r="H21" s="15"/>
      <c r="I21" s="28"/>
    </row>
    <row r="22" spans="1:9">
      <c r="A22" s="8" t="s">
        <v>273</v>
      </c>
      <c r="B22" s="15"/>
      <c r="C22" s="15"/>
      <c r="D22" s="15"/>
      <c r="E22" s="15"/>
      <c r="F22" s="15"/>
      <c r="G22" s="15"/>
      <c r="H22" s="15"/>
      <c r="I22" s="28"/>
    </row>
    <row r="23" spans="1:9">
      <c r="A23" s="8" t="s">
        <v>274</v>
      </c>
      <c r="B23" s="15"/>
      <c r="C23" s="15"/>
      <c r="D23" s="15"/>
      <c r="E23" s="15"/>
      <c r="F23" s="15"/>
      <c r="G23" s="15"/>
      <c r="H23" s="15"/>
      <c r="I23" s="29"/>
    </row>
    <row r="24" spans="1:9">
      <c r="A24" s="5" t="s">
        <v>145</v>
      </c>
      <c r="B24" s="15"/>
      <c r="C24" s="15"/>
      <c r="D24" s="15"/>
      <c r="E24" s="15"/>
      <c r="F24" s="15"/>
      <c r="G24" s="15"/>
      <c r="H24" s="15"/>
      <c r="I24" s="29"/>
    </row>
    <row r="25" spans="1:9">
      <c r="A25" s="8" t="s">
        <v>231</v>
      </c>
      <c r="B25" s="15"/>
      <c r="C25" s="15"/>
      <c r="D25" s="15"/>
      <c r="E25" s="15"/>
      <c r="F25" s="15"/>
      <c r="G25" s="15"/>
      <c r="H25" s="15"/>
      <c r="I25" s="29"/>
    </row>
    <row r="26" spans="1:9">
      <c r="A26" s="8" t="s">
        <v>275</v>
      </c>
      <c r="B26" s="15"/>
      <c r="C26" s="15"/>
      <c r="D26" s="15"/>
      <c r="E26" s="15"/>
      <c r="F26" s="15"/>
      <c r="G26" s="15"/>
      <c r="H26" s="15"/>
      <c r="I26" s="29"/>
    </row>
    <row r="27" spans="1:9">
      <c r="A27" s="5" t="s">
        <v>276</v>
      </c>
      <c r="B27" s="6"/>
      <c r="C27" s="6"/>
      <c r="D27" s="6"/>
      <c r="E27" s="6"/>
      <c r="F27" s="6"/>
      <c r="G27" s="6"/>
      <c r="H27" s="6"/>
      <c r="I27" s="30"/>
    </row>
    <row r="28" spans="1:9">
      <c r="A28" s="5" t="s">
        <v>277</v>
      </c>
      <c r="B28" s="4"/>
      <c r="C28" s="4"/>
      <c r="D28" s="4"/>
      <c r="E28" s="4"/>
      <c r="F28" s="4"/>
      <c r="G28" s="4"/>
      <c r="H28" s="4"/>
      <c r="I28" s="4"/>
    </row>
    <row r="29" spans="1:9">
      <c r="A29" s="5" t="s">
        <v>278</v>
      </c>
      <c r="B29" s="6"/>
      <c r="C29" s="6"/>
      <c r="D29" s="6"/>
      <c r="E29" s="6"/>
      <c r="F29" s="6"/>
      <c r="G29" s="6"/>
      <c r="H29" s="6"/>
      <c r="I29" s="30"/>
    </row>
    <row r="30" spans="1:9">
      <c r="A30" s="5" t="s">
        <v>16</v>
      </c>
      <c r="B30" s="6"/>
      <c r="C30" s="6"/>
      <c r="D30" s="6"/>
      <c r="E30" s="6"/>
      <c r="F30" s="6"/>
      <c r="G30" s="6"/>
      <c r="H30" s="6"/>
      <c r="I30" s="30"/>
    </row>
    <row r="31" spans="1:9">
      <c r="A31" s="5" t="s">
        <v>17</v>
      </c>
      <c r="B31" s="4"/>
      <c r="C31" s="4"/>
      <c r="D31" s="4"/>
      <c r="E31" s="4"/>
      <c r="F31" s="4"/>
      <c r="G31" s="4"/>
      <c r="H31" s="4"/>
      <c r="I31" s="4"/>
    </row>
    <row r="32" ht="17" spans="1:9">
      <c r="A32" s="16" t="s">
        <v>279</v>
      </c>
      <c r="B32" s="17"/>
      <c r="C32" s="17"/>
      <c r="D32" s="17"/>
      <c r="E32" s="17"/>
      <c r="F32" s="17"/>
      <c r="G32" s="17"/>
      <c r="H32" s="17"/>
      <c r="I32" s="31"/>
    </row>
    <row r="33" spans="1:9">
      <c r="A33" s="5" t="s">
        <v>44</v>
      </c>
      <c r="B33" s="4"/>
      <c r="C33" s="4"/>
      <c r="D33" s="4"/>
      <c r="E33" s="4"/>
      <c r="F33" s="4"/>
      <c r="G33" s="4"/>
      <c r="H33" s="4"/>
      <c r="I33" s="4"/>
    </row>
    <row r="34" ht="16.5" customHeight="1" spans="1:9">
      <c r="A34" s="18" t="s">
        <v>280</v>
      </c>
      <c r="B34" s="6"/>
      <c r="C34" s="6"/>
      <c r="D34" s="6"/>
      <c r="E34" s="6"/>
      <c r="F34" s="6"/>
      <c r="G34" s="6"/>
      <c r="H34" s="6"/>
      <c r="I34" s="32"/>
    </row>
    <row r="35" ht="16.5" customHeight="1" spans="1:9">
      <c r="A35" s="19">
        <v>0</v>
      </c>
      <c r="B35" s="20"/>
      <c r="C35" s="20"/>
      <c r="D35" s="20"/>
      <c r="E35" s="20"/>
      <c r="F35" s="20"/>
      <c r="G35" s="20"/>
      <c r="H35" s="20"/>
      <c r="I35" s="32"/>
    </row>
    <row r="36" ht="16.5" customHeight="1" spans="1:9">
      <c r="A36" s="18" t="s">
        <v>281</v>
      </c>
      <c r="B36" s="6"/>
      <c r="C36" s="6"/>
      <c r="D36" s="6"/>
      <c r="E36" s="6"/>
      <c r="F36" s="6"/>
      <c r="G36" s="6"/>
      <c r="H36" s="6"/>
      <c r="I36" s="32"/>
    </row>
    <row r="37" ht="16.5" customHeight="1" spans="1:9">
      <c r="A37" s="19">
        <v>0</v>
      </c>
      <c r="B37" s="20"/>
      <c r="C37" s="20"/>
      <c r="D37" s="20"/>
      <c r="E37" s="20"/>
      <c r="F37" s="20"/>
      <c r="G37" s="20"/>
      <c r="H37" s="20"/>
      <c r="I37" s="32"/>
    </row>
  </sheetData>
  <mergeCells count="4">
    <mergeCell ref="A1:I1"/>
    <mergeCell ref="A34:A35"/>
    <mergeCell ref="A36:A37"/>
    <mergeCell ref="I34:I37"/>
  </mergeCells>
  <conditionalFormatting sqref="B28:I28">
    <cfRule type="containsText" dxfId="0" priority="6" operator="between" text="上升">
      <formula>NOT(ISERROR(SEARCH("上升",B28)))</formula>
    </cfRule>
    <cfRule type="containsText" dxfId="1" priority="7" operator="between" text="下降">
      <formula>NOT(ISERROR(SEARCH("下降",B28)))</formula>
    </cfRule>
    <cfRule type="cellIs" dxfId="1" priority="8" operator="equal">
      <formula>"下降"</formula>
    </cfRule>
  </conditionalFormatting>
  <conditionalFormatting sqref="B34">
    <cfRule type="expression" dxfId="5" priority="9">
      <formula>ISNA(B34:F37)</formula>
    </cfRule>
  </conditionalFormatting>
  <conditionalFormatting sqref="C34:H34">
    <cfRule type="expression" dxfId="5" priority="10">
      <formula>ISNA(C34:I37)</formula>
    </cfRule>
  </conditionalFormatting>
  <conditionalFormatting sqref="B35">
    <cfRule type="expression" dxfId="5" priority="11">
      <formula>ISNA(B35:F37)</formula>
    </cfRule>
  </conditionalFormatting>
  <conditionalFormatting sqref="C35:H35">
    <cfRule type="expression" dxfId="5" priority="12">
      <formula>ISNA(C35:I37)</formula>
    </cfRule>
  </conditionalFormatting>
  <conditionalFormatting sqref="G36:H36">
    <cfRule type="expression" dxfId="5" priority="1">
      <formula>ISNA(G36:M39)</formula>
    </cfRule>
  </conditionalFormatting>
  <conditionalFormatting sqref="B36:B37">
    <cfRule type="expression" dxfId="5" priority="13">
      <formula>ISNA(B36:F37)</formula>
    </cfRule>
  </conditionalFormatting>
  <conditionalFormatting sqref="B21:I26">
    <cfRule type="cellIs" dxfId="1" priority="5" operator="lessThan">
      <formula>0</formula>
    </cfRule>
  </conditionalFormatting>
  <conditionalFormatting sqref="B31:I32">
    <cfRule type="containsText" dxfId="0" priority="2" operator="between" text="上升">
      <formula>NOT(ISERROR(SEARCH("上升",B31)))</formula>
    </cfRule>
    <cfRule type="containsText" dxfId="1" priority="3" operator="between" text="下降">
      <formula>NOT(ISERROR(SEARCH("下降",B31)))</formula>
    </cfRule>
    <cfRule type="cellIs" dxfId="1" priority="4" operator="equal">
      <formula>"下降"</formula>
    </cfRule>
  </conditionalFormatting>
  <conditionalFormatting sqref="C36:F36 C37:H37">
    <cfRule type="expression" dxfId="5" priority="14">
      <formula>ISNA(C36:I37)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对比上月表</vt:lpstr>
      <vt:lpstr>对比去年同期表</vt:lpstr>
      <vt:lpstr>分时段-上报</vt:lpstr>
      <vt:lpstr>营业透视</vt:lpstr>
      <vt:lpstr>营业基础表</vt:lpstr>
      <vt:lpstr>去年营业基础表</vt:lpstr>
      <vt:lpstr>去年同期</vt:lpstr>
      <vt:lpstr>21号之后</vt:lpstr>
      <vt:lpstr>分时段透视</vt:lpstr>
      <vt:lpstr>分时段基础表</vt:lpstr>
      <vt:lpstr>月经营目标</vt:lpstr>
      <vt:lpstr>上月数据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苗达久</dc:creator>
  <cp:lastModifiedBy>hongming</cp:lastModifiedBy>
  <dcterms:created xsi:type="dcterms:W3CDTF">2023-07-03T01:38:00Z</dcterms:created>
  <dcterms:modified xsi:type="dcterms:W3CDTF">2025-06-17T21:59:06Z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7FC48BF0B4A21E73E73852684782FF10_43</vt:lpwstr>
  </property>
  <property fmtid="{D5CDD505-2E9C-101B-9397-08002B2CF9AE}" pid="3" name="KSOProductBuildVer">
    <vt:lpwstr>1033-6.14.0.8716</vt:lpwstr>
  </property>
</Properties>
</file>