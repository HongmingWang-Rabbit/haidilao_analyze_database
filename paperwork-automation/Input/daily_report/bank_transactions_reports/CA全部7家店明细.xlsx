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tabRatio="889" activeTab="9"/>
  </bookViews>
  <sheets>
    <sheet name="CA1D-3817" sheetId="1" r:id="rId1"/>
    <sheet name="CA2D-6027" sheetId="2" r:id="rId2"/>
    <sheet name="CA3D-1680 " sheetId="3" r:id="rId3"/>
    <sheet name="CA4D-1699" sheetId="4" r:id="rId4"/>
    <sheet name="CA5D-6333" sheetId="5" r:id="rId5"/>
    <sheet name="CA6D-6317" sheetId="6" r:id="rId6"/>
    <sheet name="CA7D-CIBC 0401" sheetId="7" r:id="rId7"/>
    <sheet name="RBC 5401" sheetId="8" r:id="rId8"/>
    <sheet name="RBC 5419" sheetId="9" r:id="rId9"/>
    <sheet name="RBC0517-Hi Bowl" sheetId="10" r:id="rId10"/>
    <sheet name="RBC 0922（USD）" sheetId="11" r:id="rId11"/>
    <sheet name="RBC3088（USD）-Hi Bowl" sheetId="12" r:id="rId12"/>
    <sheet name="BMO美金-0798" sheetId="13" r:id="rId13"/>
  </sheets>
  <definedNames>
    <definedName name="_xlnm._FilterDatabase" localSheetId="0" hidden="1">'CA1D-3817'!$A$2:$N$195</definedName>
    <definedName name="_xlnm._FilterDatabase" localSheetId="1" hidden="1">'CA2D-6027'!$A$2:$N$117</definedName>
    <definedName name="_xlnm._FilterDatabase" localSheetId="2" hidden="1">'CA3D-1680 '!$A$2:$N$117</definedName>
    <definedName name="_xlnm._FilterDatabase" localSheetId="3" hidden="1">'CA4D-1699'!$A$2:$N$177</definedName>
    <definedName name="_xlnm._FilterDatabase" localSheetId="4" hidden="1">'CA5D-6333'!$A$2:$N$129</definedName>
    <definedName name="_xlnm._FilterDatabase" localSheetId="5" hidden="1">'CA6D-6317'!$A$2:$N$118</definedName>
    <definedName name="_xlnm._FilterDatabase" localSheetId="6" hidden="1">'CA7D-CIBC 0401'!$A$2:$K$128</definedName>
    <definedName name="_xlnm._FilterDatabase" localSheetId="7" hidden="1">'RBC 5401'!$A$2:$L$18</definedName>
    <definedName name="_xlnm._FilterDatabase" localSheetId="8" hidden="1">'RBC 5419'!$A$2:$L$34</definedName>
    <definedName name="_xlnm._FilterDatabase" localSheetId="9" hidden="1">'RBC0517-Hi Bowl'!$A$2:$L$84</definedName>
    <definedName name="_xlnm._FilterDatabase" localSheetId="10" hidden="1">'RBC 0922（USD）'!$A$2:$L$32</definedName>
    <definedName name="_xlnm._FilterDatabase" localSheetId="12" hidden="1">'BMO美金-0798'!$A$2:$N$3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<sst xmlns="http://schemas.openxmlformats.org/spreadsheetml/2006/main" count="7607" uniqueCount="625">
  <si>
    <t>HAI DI LAO CANADA RESTURANTS GROUP CAD - 00041813817 CAD (BMO - DDA)</t>
  </si>
  <si>
    <t>Date</t>
  </si>
  <si>
    <t>Transaction Description</t>
  </si>
  <si>
    <t>Customer Reference</t>
  </si>
  <si>
    <t>Bank Reference</t>
  </si>
  <si>
    <t>Debit</t>
  </si>
  <si>
    <t>Credit</t>
  </si>
  <si>
    <t>Details</t>
  </si>
  <si>
    <t>品名</t>
  </si>
  <si>
    <t>付款详情</t>
  </si>
  <si>
    <t>单据号</t>
  </si>
  <si>
    <t>附件</t>
  </si>
  <si>
    <t>是否登记线下付款表</t>
  </si>
  <si>
    <t>是否登记支票使用表</t>
  </si>
  <si>
    <t>Aug 01, 2025</t>
  </si>
  <si>
    <t>Preauthorized Debit / Correction</t>
  </si>
  <si>
    <t xml:space="preserve">La 2024            </t>
  </si>
  <si>
    <t>ALOCHEM         RLS/LOY</t>
  </si>
  <si>
    <t>租赁费</t>
  </si>
  <si>
    <t>洗碗机租赁费</t>
  </si>
  <si>
    <t/>
  </si>
  <si>
    <t>待附件</t>
  </si>
  <si>
    <t xml:space="preserve">* </t>
  </si>
  <si>
    <t>Service Charge</t>
  </si>
  <si>
    <t xml:space="preserve">                    </t>
  </si>
  <si>
    <t>$$$    97695@ $2.25/1000</t>
  </si>
  <si>
    <t>服务费</t>
  </si>
  <si>
    <t>银行服务费</t>
  </si>
  <si>
    <t>Direct Deposit</t>
  </si>
  <si>
    <t>0000001065000000061</t>
  </si>
  <si>
    <t>IOT PAY         MSP/DIV</t>
  </si>
  <si>
    <t>收入进账</t>
  </si>
  <si>
    <t>微信支付宝进账</t>
  </si>
  <si>
    <t xml:space="preserve">22048140016        </t>
  </si>
  <si>
    <t>DP22048140016   MSP/DIV</t>
  </si>
  <si>
    <t>Clover刷卡进账</t>
  </si>
  <si>
    <t xml:space="preserve">410412682          </t>
  </si>
  <si>
    <t>VSA FEE10412682 MSP/DIV</t>
  </si>
  <si>
    <t>手续费</t>
  </si>
  <si>
    <t>Moneris刷卡手续费</t>
  </si>
  <si>
    <t>附件10</t>
  </si>
  <si>
    <t>MON FEE10412682 MSP/DIV</t>
  </si>
  <si>
    <t xml:space="preserve">25011876285        </t>
  </si>
  <si>
    <t>FORTISBC ENERGY BPY/FAC</t>
  </si>
  <si>
    <t>燃气费</t>
  </si>
  <si>
    <t>一店门店燃气费</t>
  </si>
  <si>
    <t>待提单</t>
  </si>
  <si>
    <t>MRCH22048140016 MSP/DIV</t>
  </si>
  <si>
    <t>Clover刷卡手续费</t>
  </si>
  <si>
    <t>附件11</t>
  </si>
  <si>
    <t>Branch Debit</t>
  </si>
  <si>
    <t>BR.0888</t>
  </si>
  <si>
    <t>工资</t>
  </si>
  <si>
    <t>一店7.18-7.24小费</t>
  </si>
  <si>
    <t>945125500003520</t>
  </si>
  <si>
    <t>DISCOUNT  13 AT $0.60</t>
  </si>
  <si>
    <t>PLAN FEE</t>
  </si>
  <si>
    <t>BMO月度账户费</t>
  </si>
  <si>
    <t>Branch Credit</t>
  </si>
  <si>
    <t>BR.   3833</t>
  </si>
  <si>
    <t>营业外收入</t>
  </si>
  <si>
    <t>抓娃娃机收入</t>
  </si>
  <si>
    <t>现金收入</t>
  </si>
  <si>
    <t>Transfer of Funds</t>
  </si>
  <si>
    <t>0782-1931-680 3587</t>
  </si>
  <si>
    <t>内部转款</t>
  </si>
  <si>
    <t>BMO内部转款</t>
  </si>
  <si>
    <t>0782-1931-699 3587</t>
  </si>
  <si>
    <t>0782-1936-027 3587</t>
  </si>
  <si>
    <t>Aug 05, 2025</t>
  </si>
  <si>
    <t>213602640725216-EPS</t>
  </si>
  <si>
    <t>VW CREDIT CAN   LNS/PRE</t>
  </si>
  <si>
    <t>蒋冰遇汽车租赁费</t>
  </si>
  <si>
    <t>手动提单</t>
  </si>
  <si>
    <t xml:space="preserve">JL-209             </t>
  </si>
  <si>
    <t>DEALUSE TECHNOL MSP/DIV</t>
  </si>
  <si>
    <t>DEALUSE（优品会团购）第三方进账</t>
  </si>
  <si>
    <t>DEFT SETTLEMENT FLE  0168</t>
  </si>
  <si>
    <t>转至RBC5419</t>
  </si>
  <si>
    <t>UM3FC6NXY2U2CWV-CM9</t>
  </si>
  <si>
    <t>UBER HOLDINGS C MSP/DIV</t>
  </si>
  <si>
    <t>Uber第三方进账</t>
  </si>
  <si>
    <t>OTOHAWYC865RPOX-AC1</t>
  </si>
  <si>
    <t>0888-1996-317 3587</t>
  </si>
  <si>
    <t>0000001066000001099</t>
  </si>
  <si>
    <t>0000001066000000809</t>
  </si>
  <si>
    <t>0000001066000000517</t>
  </si>
  <si>
    <t>0000001066000000088</t>
  </si>
  <si>
    <t xml:space="preserve">HAIDILAO RICHMOND  </t>
  </si>
  <si>
    <t>DEFT SETTLEMENT FLE  0169</t>
  </si>
  <si>
    <t>Aug 06, 2025</t>
  </si>
  <si>
    <t xml:space="preserve">J4E0V   3297337    </t>
  </si>
  <si>
    <t>PAYROLL J4E0086 BUS/ENT</t>
  </si>
  <si>
    <t>工资+保险费</t>
  </si>
  <si>
    <t>六店工资</t>
  </si>
  <si>
    <t xml:space="preserve">RX30V   3297990    </t>
  </si>
  <si>
    <t>PAYROLL RX30086 BUS/ENT</t>
  </si>
  <si>
    <t>七店工资</t>
  </si>
  <si>
    <t>附件1</t>
  </si>
  <si>
    <t xml:space="preserve">OZB0V   3305025    </t>
  </si>
  <si>
    <t>PAYROLL OZB0086 BUS/ENT</t>
  </si>
  <si>
    <t>职能部门工资</t>
  </si>
  <si>
    <t>附件3</t>
  </si>
  <si>
    <t xml:space="preserve">TBJ0V   3305126    </t>
  </si>
  <si>
    <t>PAYROLL TBJ0086 BUS/ENT</t>
  </si>
  <si>
    <t>一店工资</t>
  </si>
  <si>
    <t>附件2</t>
  </si>
  <si>
    <t>0000001068000000025</t>
  </si>
  <si>
    <t xml:space="preserve">D-AB6961D0-0108    </t>
  </si>
  <si>
    <t>SNAPPYDEBIT     EXP/RDD</t>
  </si>
  <si>
    <t>平台费</t>
  </si>
  <si>
    <t>Snappy平台费</t>
  </si>
  <si>
    <t>945125400050025</t>
  </si>
  <si>
    <t>Aug 07, 2025</t>
  </si>
  <si>
    <t>FANTUAN         MSP/DIV</t>
  </si>
  <si>
    <t>饭团第三方进账</t>
  </si>
  <si>
    <t xml:space="preserve">RX30V   3306555    </t>
  </si>
  <si>
    <t>附件12</t>
  </si>
  <si>
    <t>NSF Fee</t>
  </si>
  <si>
    <t>BR.0072</t>
  </si>
  <si>
    <t>资金不足手续费</t>
  </si>
  <si>
    <t>NSF</t>
  </si>
  <si>
    <t>因资金不足退回</t>
  </si>
  <si>
    <t>13ZQD7AFVXEX6DDDZHJ</t>
  </si>
  <si>
    <t>SNAPPYON4933    EXP/RDD</t>
  </si>
  <si>
    <t>Snappy第三方进账</t>
  </si>
  <si>
    <t>0000001072000000037</t>
  </si>
  <si>
    <t>BR.   0782</t>
  </si>
  <si>
    <t>Aug 08, 2025</t>
  </si>
  <si>
    <t>0000001073000000021</t>
  </si>
  <si>
    <t>Aug 11, 2025</t>
  </si>
  <si>
    <t>213602640725223-E2B</t>
  </si>
  <si>
    <t>0000001074000000563</t>
  </si>
  <si>
    <t>0000001074000000280</t>
  </si>
  <si>
    <t>0000001074000000016</t>
  </si>
  <si>
    <t xml:space="preserve">1872657            </t>
  </si>
  <si>
    <t>CLOVER FEES     BPY/FAC</t>
  </si>
  <si>
    <t>一店7/25-7/31 小費</t>
  </si>
  <si>
    <t>945125500003640</t>
  </si>
  <si>
    <t>DEFT SETTLEMENT FLE  0170</t>
  </si>
  <si>
    <t>六店工资扣款</t>
  </si>
  <si>
    <t>Aug 12, 2025</t>
  </si>
  <si>
    <t>附件5</t>
  </si>
  <si>
    <t>从BMO6317转</t>
  </si>
  <si>
    <t>Aug 13, 2025</t>
  </si>
  <si>
    <t>附件13</t>
  </si>
  <si>
    <t>是</t>
  </si>
  <si>
    <t>DEFT SETTLEMENT FLE  0171</t>
  </si>
  <si>
    <t>营业外收入-娃娃机</t>
  </si>
  <si>
    <t>Aug 14, 2025</t>
  </si>
  <si>
    <t xml:space="preserve">03098816           </t>
  </si>
  <si>
    <t>REGIONAL RECYCL AP /CC</t>
  </si>
  <si>
    <t>卖废品收入进账</t>
  </si>
  <si>
    <t>0000001077000000031</t>
  </si>
  <si>
    <t>转至BMO1699</t>
  </si>
  <si>
    <t>0888-1996-333 3587</t>
  </si>
  <si>
    <t>转至BMO6333</t>
  </si>
  <si>
    <t>转至BMO1680</t>
  </si>
  <si>
    <t>Aug 15, 2025</t>
  </si>
  <si>
    <t>296652CADJUL25 PCFS</t>
  </si>
  <si>
    <t>CASH MGMT   FEE BOM/B/M</t>
  </si>
  <si>
    <t>管理费</t>
  </si>
  <si>
    <t>银行管理费</t>
  </si>
  <si>
    <t>0000001078000000034</t>
  </si>
  <si>
    <t>DEFT SETTLEMENT FLE  0172</t>
  </si>
  <si>
    <t>转到RBC5419</t>
  </si>
  <si>
    <t>Aug 18, 2025</t>
  </si>
  <si>
    <t>加拿大一店8.1-8.7 小費</t>
  </si>
  <si>
    <t>945125500003780</t>
  </si>
  <si>
    <t>一店员工超发工资退回</t>
  </si>
  <si>
    <t>附件6</t>
  </si>
  <si>
    <t>附件7</t>
  </si>
  <si>
    <t>BMO PAYMENT     CBP/PFE</t>
  </si>
  <si>
    <t>信用卡还款</t>
  </si>
  <si>
    <t>BMO信用卡还款</t>
  </si>
  <si>
    <t>手工做账</t>
  </si>
  <si>
    <t>Aug 19, 2025</t>
  </si>
  <si>
    <t>附件4</t>
  </si>
  <si>
    <t>B.C. HYDRO-PAP  CHB/ELE</t>
  </si>
  <si>
    <t>电费</t>
  </si>
  <si>
    <t>一店门店电费</t>
  </si>
  <si>
    <t>945125400050020</t>
  </si>
  <si>
    <t>Aug 20, 2025</t>
  </si>
  <si>
    <t>BMO6333</t>
  </si>
  <si>
    <t>BMO6027</t>
  </si>
  <si>
    <t>BMO1680</t>
  </si>
  <si>
    <t>BMO1699</t>
  </si>
  <si>
    <t>DEFT SETTLEMENT FLE  0173</t>
  </si>
  <si>
    <t>RBC5419</t>
  </si>
  <si>
    <t>Aug 21, 2025</t>
  </si>
  <si>
    <t>SHAW CABLE TV   BPY/FAC</t>
  </si>
  <si>
    <t>网费</t>
  </si>
  <si>
    <t>一店门店网费</t>
  </si>
  <si>
    <t>945125400050024</t>
  </si>
  <si>
    <t>一店小费</t>
  </si>
  <si>
    <t>945125500003888</t>
  </si>
  <si>
    <t>Aug 22, 2025</t>
  </si>
  <si>
    <t>附件9</t>
  </si>
  <si>
    <t>附件8</t>
  </si>
  <si>
    <t>六店政府退款</t>
  </si>
  <si>
    <t>Aug 25, 2025</t>
  </si>
  <si>
    <t>ICBC            INS/ASS</t>
  </si>
  <si>
    <t>保险费</t>
  </si>
  <si>
    <t>新采购车保险</t>
  </si>
  <si>
    <t>Aug 26, 2025</t>
  </si>
  <si>
    <t>待确认</t>
  </si>
  <si>
    <t>FISERV CANADA   MSP/DIV</t>
  </si>
  <si>
    <t>FISERV刷卡进账</t>
  </si>
  <si>
    <t>HAI DI LAO CANADA 2 - 07821936027 CAD (BMO - DDA)</t>
  </si>
  <si>
    <t xml:space="preserve">3XF0O   3275689    </t>
  </si>
  <si>
    <t>PAYROLL 3XF0086 BUS/ENT</t>
  </si>
  <si>
    <t>员工工资发放</t>
  </si>
  <si>
    <t xml:space="preserve">La 2016            </t>
  </si>
  <si>
    <t>$$$    11471@ $2.25/1000        COIN     63.60@$2.25/ 100</t>
  </si>
  <si>
    <t xml:space="preserve">22047420013        </t>
  </si>
  <si>
    <t>DP22047420013   MSP/DIV</t>
  </si>
  <si>
    <t>BR.   0758</t>
  </si>
  <si>
    <t>0000001065000000132</t>
  </si>
  <si>
    <t xml:space="preserve">039172621589       </t>
  </si>
  <si>
    <t>七店采购用车保险费</t>
  </si>
  <si>
    <t xml:space="preserve">039172621588       </t>
  </si>
  <si>
    <t>二店采购车保险费</t>
  </si>
  <si>
    <t>MRCH22047420013 MSP/DIV</t>
  </si>
  <si>
    <t xml:space="preserve">411143831          </t>
  </si>
  <si>
    <t>MON FEE11143831 MSP/DIV</t>
  </si>
  <si>
    <t>Service Charge / Correction</t>
  </si>
  <si>
    <t>FULL PLAN FEE REBATE</t>
  </si>
  <si>
    <t>回冲</t>
  </si>
  <si>
    <t>BMO账户费退款</t>
  </si>
  <si>
    <t>0004-1813-817 3587</t>
  </si>
  <si>
    <t>BR.0758</t>
  </si>
  <si>
    <t>银行入错帐</t>
  </si>
  <si>
    <t>INTERAC Email Money Transfer Received</t>
  </si>
  <si>
    <t xml:space="preserve">880064896-250806020433          </t>
  </si>
  <si>
    <t>INTERAC ETRNSFR RECVD        YIFEIYANG</t>
  </si>
  <si>
    <t xml:space="preserve">880066216-250806020511          </t>
  </si>
  <si>
    <t>INTERAC ETRNSFR RECVD        WANRONG SHENG</t>
  </si>
  <si>
    <t>945125400047034</t>
  </si>
  <si>
    <t>Cheque</t>
  </si>
  <si>
    <t>157</t>
  </si>
  <si>
    <t>蒋冰遇宿舍租赁费</t>
  </si>
  <si>
    <t>945125400045316</t>
  </si>
  <si>
    <t xml:space="preserve">885925656-250810175136          </t>
  </si>
  <si>
    <t>二店营业款</t>
  </si>
  <si>
    <t>B.C. HYDRO-PAP  BPY/FAC</t>
  </si>
  <si>
    <t>二店宿舍电费</t>
  </si>
  <si>
    <t>945125400047869</t>
  </si>
  <si>
    <t>二店门店电费</t>
  </si>
  <si>
    <t>945125400047866</t>
  </si>
  <si>
    <t>二店员工缴纳住宿费用</t>
  </si>
  <si>
    <t>0000001077000000130</t>
  </si>
  <si>
    <t xml:space="preserve">3XF0O   3356026    </t>
  </si>
  <si>
    <t>234129CADJUL25 PCFS</t>
  </si>
  <si>
    <t>0000001078000000109</t>
  </si>
  <si>
    <t>BMO3817</t>
  </si>
  <si>
    <t>二店员工工资发放</t>
  </si>
  <si>
    <t xml:space="preserve">899140536-250821091430          </t>
  </si>
  <si>
    <t xml:space="preserve">903979316-250825162506          </t>
  </si>
  <si>
    <t>HAI DI LAO CANADA 3 - 07821931680 CAD (BMO - DDA)</t>
  </si>
  <si>
    <t>$$$   170450@ $2.25/1000        COIN    470.50@$2.25/ 100</t>
  </si>
  <si>
    <t xml:space="preserve">211143898          </t>
  </si>
  <si>
    <t>MON FEE11143898 MSP/DIV</t>
  </si>
  <si>
    <t>BR.   3025</t>
  </si>
  <si>
    <t>0000001065000000237</t>
  </si>
  <si>
    <t xml:space="preserve">22045490018        </t>
  </si>
  <si>
    <t>DP22045490018   MSP/DIV</t>
  </si>
  <si>
    <t>MRCH22045490018 MSP/DIV</t>
  </si>
  <si>
    <t>ALECTRA UTIL    MSP/DIV</t>
  </si>
  <si>
    <t>三店员工宿舍电费</t>
  </si>
  <si>
    <t>ENBRIDGE GAS    BPY/FAC</t>
  </si>
  <si>
    <t>三店宿舍燃气费</t>
  </si>
  <si>
    <t>三店门店燃气费</t>
  </si>
  <si>
    <t>PAYROLL DHC0086 BUS/ENT</t>
  </si>
  <si>
    <t>BR.3025</t>
  </si>
  <si>
    <t>3店7.16-7.31门店小费</t>
  </si>
  <si>
    <t>945125500003638</t>
  </si>
  <si>
    <t>945125400045016</t>
  </si>
  <si>
    <t>SNAPPYON8000    EXP/RDD</t>
  </si>
  <si>
    <t>ACURA FINANCE   LNS/PRE</t>
  </si>
  <si>
    <t>三店经理汽车租赁费</t>
  </si>
  <si>
    <t>BELL CANADA EFT BPY/FAC</t>
  </si>
  <si>
    <t>三店门店bell网络费用</t>
  </si>
  <si>
    <t>BR.   3993</t>
  </si>
  <si>
    <t>0000001077000000262</t>
  </si>
  <si>
    <t>BR.   2592</t>
  </si>
  <si>
    <t>从BMO3817转</t>
  </si>
  <si>
    <t>234127CADJUL25 PCFS</t>
  </si>
  <si>
    <t xml:space="preserve">128571435          </t>
  </si>
  <si>
    <t>COOPERATORS CSI INS/ASS</t>
  </si>
  <si>
    <t>三店员工宿舍保险$108.81+店经理用车acura保险$411.59</t>
  </si>
  <si>
    <t>0000001078000000248</t>
  </si>
  <si>
    <t>三店员工工资发放</t>
  </si>
  <si>
    <t>3店8.1-8.15门店小费</t>
  </si>
  <si>
    <t>945125500003968</t>
  </si>
  <si>
    <t>三店门店采购用车保险</t>
  </si>
  <si>
    <t>待附件-同上月</t>
  </si>
  <si>
    <t>礼品卡充值</t>
  </si>
  <si>
    <t>MILLER WASTE    BUS/ENT</t>
  </si>
  <si>
    <t>垃圾费</t>
  </si>
  <si>
    <t>三店门店垃圾清理费</t>
  </si>
  <si>
    <t>945125400046389</t>
  </si>
  <si>
    <t>BR.   2924</t>
  </si>
  <si>
    <t>HAI DI LAO CANADA 4 - 07821931699 CAD (BMO - DDA)</t>
  </si>
  <si>
    <t>$$$   230280@ $2.25/1000        COIN    737.70@$2.25/ 100</t>
  </si>
  <si>
    <t xml:space="preserve">211264785          </t>
  </si>
  <si>
    <t>VSA FEE11264785 MSP/DIV</t>
  </si>
  <si>
    <t>MON FEE11264785 MSP/DIV</t>
  </si>
  <si>
    <t>INT FEE11264785 MSP/DIV</t>
  </si>
  <si>
    <t>MC FEE 11264785 MSP/DIV</t>
  </si>
  <si>
    <t>AMX FEE11264785 MSP/DIV</t>
  </si>
  <si>
    <t xml:space="preserve">128003674          </t>
  </si>
  <si>
    <t>四店员工宿舍保险</t>
  </si>
  <si>
    <t>BR.   3831</t>
  </si>
  <si>
    <t>0000001065000000239</t>
  </si>
  <si>
    <t xml:space="preserve">22043300011        </t>
  </si>
  <si>
    <t>DP22043300011   MSP/DIV</t>
  </si>
  <si>
    <t>MRCH22043300011 MSP/DIV</t>
  </si>
  <si>
    <t>BR.   2577</t>
  </si>
  <si>
    <t>EXCESS ITEMS  32 AT $3.50        CHEQUE  01 AT $1.25</t>
  </si>
  <si>
    <t xml:space="preserve">128055533          </t>
  </si>
  <si>
    <t>四店门店货车保险费</t>
  </si>
  <si>
    <t>PAYROLL W9Z0086 BUS/ENT</t>
  </si>
  <si>
    <t>废油收入</t>
  </si>
  <si>
    <t>69</t>
  </si>
  <si>
    <t>小费</t>
  </si>
  <si>
    <t>7月下半期小费</t>
  </si>
  <si>
    <t>945125500003639</t>
  </si>
  <si>
    <t>HUNGRYPANDA     MSP/DIV</t>
  </si>
  <si>
    <t>熊猫外卖第三方进账</t>
  </si>
  <si>
    <t>SNAPPYON8001    EXP/RDD</t>
  </si>
  <si>
    <t>TORONTO HYDRO   BPY/FAC</t>
  </si>
  <si>
    <t>四店门店电费</t>
  </si>
  <si>
    <t>945125400044534</t>
  </si>
  <si>
    <t>RH8NSK4KCHJQ5LJQOGU</t>
  </si>
  <si>
    <t>0000001077000000252</t>
  </si>
  <si>
    <t>234128CADJUL25 PCFS</t>
  </si>
  <si>
    <t>VBTVGPLYUZGIVRUTFDV</t>
  </si>
  <si>
    <t>0000001078000000251</t>
  </si>
  <si>
    <t>Merchant Deposit  / Adjustment</t>
  </si>
  <si>
    <t>MC0816 11264785</t>
  </si>
  <si>
    <t>Moneris刷卡进账</t>
  </si>
  <si>
    <t>EF0816 11264785</t>
  </si>
  <si>
    <t>BMO6317</t>
  </si>
  <si>
    <t>BR.   3974</t>
  </si>
  <si>
    <t>70</t>
  </si>
  <si>
    <t>提取8月上小费</t>
  </si>
  <si>
    <t>945125500003912</t>
  </si>
  <si>
    <t>四店员工工资发放</t>
  </si>
  <si>
    <t>71</t>
  </si>
  <si>
    <t>支付离职员工工资</t>
  </si>
  <si>
    <t>945125400049792</t>
  </si>
  <si>
    <t>UP0822 11264785</t>
  </si>
  <si>
    <t>Moneris进账</t>
  </si>
  <si>
    <t>EF0822 11264785</t>
  </si>
  <si>
    <t>MC0822 11264785</t>
  </si>
  <si>
    <t>237 YONGE ST TORONTO - 08881996333 CAD (BMO - DDA)</t>
  </si>
  <si>
    <t xml:space="preserve">212121315          </t>
  </si>
  <si>
    <t>MON FEE12121315 MSP/DIV</t>
  </si>
  <si>
    <t>BR.   2487</t>
  </si>
  <si>
    <t>0000001065000000236</t>
  </si>
  <si>
    <t xml:space="preserve">22064310014        </t>
  </si>
  <si>
    <t>DP22064310014   MSP/DIV</t>
  </si>
  <si>
    <t>MRCH22064310014 MSP/DIV</t>
  </si>
  <si>
    <t>BR.2487</t>
  </si>
  <si>
    <t>银行入错款</t>
  </si>
  <si>
    <t>945125400045813</t>
  </si>
  <si>
    <t>PAYROLL E1F0086 BUS/ENT</t>
  </si>
  <si>
    <t>5店工资发放</t>
  </si>
  <si>
    <t>五店小费</t>
  </si>
  <si>
    <t>945125500003663,945125500003662,945125500003661
945125500003583,945125500003582,945125500003581
945125500003580,945125500003579,945125500003578
945125500003577,945125500003576,945125500003575
945125500003574,945125500003573,945125500003572
945125500003571</t>
  </si>
  <si>
    <t>HI BOWL</t>
  </si>
  <si>
    <t xml:space="preserve">885897136-250810174830          </t>
  </si>
  <si>
    <t>INTERAC ETRNSFR RECVD        YUET WONG        HI BOWL</t>
  </si>
  <si>
    <t>hi-bowl营业款</t>
  </si>
  <si>
    <t>HI BWOL</t>
  </si>
  <si>
    <t xml:space="preserve">885897236-250810174935          </t>
  </si>
  <si>
    <t>INTERAC ETRNSFR RECVD        YUET WONG        HI BWOL</t>
  </si>
  <si>
    <t xml:space="preserve">885924816-250810175024          </t>
  </si>
  <si>
    <t>0000001077000000261</t>
  </si>
  <si>
    <t>480698CADJUL25 PCFS</t>
  </si>
  <si>
    <t>CASH MGMT   INT BOM/B/M</t>
  </si>
  <si>
    <t>利息</t>
  </si>
  <si>
    <t>银行存款利息</t>
  </si>
  <si>
    <t>0000001078000000246</t>
  </si>
  <si>
    <t xml:space="preserve">899150316-250821092129          </t>
  </si>
  <si>
    <t>INTERAC ETRNSFR RECVD        XUDONG JOHN CHEN        HI BOWL</t>
  </si>
  <si>
    <t>945125500003909,945125500003908,945125500003907
945125500003906,945125500003905,945125500003904
945125500003903,945125500003902,945125500003901
945125500003900,945125500003899,945125500003898
945125500003897,945125500003896,945125500003895</t>
  </si>
  <si>
    <t>1194 1196 SAINTE CATHERINE WEST MONTREAL - 08881996317 CAD (BMO - DDA)</t>
  </si>
  <si>
    <t xml:space="preserve">112722856          </t>
  </si>
  <si>
    <t>MON FEE12722856 MSP/DIV</t>
  </si>
  <si>
    <t>BR.   2118</t>
  </si>
  <si>
    <t>0000001065000000186</t>
  </si>
  <si>
    <t xml:space="preserve">30049050016        </t>
  </si>
  <si>
    <t>DP30049050016   MSP/DIV</t>
  </si>
  <si>
    <t>MRCH30049050016 MSP/DIV</t>
  </si>
  <si>
    <t>BR.   3832</t>
  </si>
  <si>
    <t>转至BMO3817</t>
  </si>
  <si>
    <t>0000001077000000167</t>
  </si>
  <si>
    <t>480697CADJUL25 PCFS</t>
  </si>
  <si>
    <t xml:space="preserve">Aco232977          </t>
  </si>
  <si>
    <t>TECHNOCHIM      MSP/DIV</t>
  </si>
  <si>
    <t>0000001078000000162</t>
  </si>
  <si>
    <t>GOUV. QUEBEC    MSP/DIV</t>
  </si>
  <si>
    <t>税金</t>
  </si>
  <si>
    <t>5月份的qst返款+利息</t>
  </si>
  <si>
    <t>CIBC：00900-2100401</t>
  </si>
  <si>
    <t xml:space="preserve">Transaction details </t>
  </si>
  <si>
    <t>Balance</t>
  </si>
  <si>
    <t>DEPOSIT NOTE FEE
FULL-SERVICE
58374.95 AT 1.5/1,000</t>
  </si>
  <si>
    <t>SERVICE CHARGE
SELF-SERVICE</t>
  </si>
  <si>
    <t>SERVICE CHARGE
FULL-SERVICE</t>
  </si>
  <si>
    <t>RENT/LEASE
000001509397038
ALOUETTE WARE WASH CHEMICAL</t>
  </si>
  <si>
    <t>945125400047476</t>
  </si>
  <si>
    <t>RENT/LEASE
Rent
100097669</t>
  </si>
  <si>
    <t>七店员工宿舍租赁费</t>
  </si>
  <si>
    <t>945125400045881</t>
  </si>
  <si>
    <t>WITHDRAWAL 05910
BRENTWOOD BANKING CENTRE</t>
  </si>
  <si>
    <t>二店7月21号至7月26号小费</t>
  </si>
  <si>
    <t>945125500003539</t>
  </si>
  <si>
    <t>MISC PAYMENT
MRCH30124340019
FIRST DATA CANADA(J)</t>
  </si>
  <si>
    <t>945125500003540</t>
  </si>
  <si>
    <t>MISC PAYMENT
IOT PAY TECHNOLOGIES INC</t>
  </si>
  <si>
    <t>DEPOSIT 05910
BRENTWOOD BANKING CENTRE</t>
  </si>
  <si>
    <t>MISC PAYMENT
DP30124340019
FIRST DATA CANADA(J)</t>
  </si>
  <si>
    <t>BUS ETRANSFER DEPOSIT
TXN REF:C1AF8GP4FdCB
oceanorth</t>
  </si>
  <si>
    <t>未分类交易</t>
  </si>
  <si>
    <t>需要手动分类</t>
  </si>
  <si>
    <t>SERVICE CHARGE
CMO - MONTHLY FEE
CMO JULY 2025</t>
  </si>
  <si>
    <t>GOVERNMENT
CANADA</t>
  </si>
  <si>
    <t>关税</t>
  </si>
  <si>
    <t>关税账单</t>
  </si>
  <si>
    <t>DEPOSIT 33420</t>
  </si>
  <si>
    <t>MISC PAYMENT
IOT PAY</t>
  </si>
  <si>
    <t>CREDIT MEMO
INT @ 2.4500%
CIBC-AUTOMATED INTEREST SYSTEM</t>
  </si>
  <si>
    <t>利息收入</t>
  </si>
  <si>
    <t>MISC PAYMENT
Uber Holdings Canad</t>
  </si>
  <si>
    <t>PRE-AUTH DEBIT
SNAPPYDEBIT</t>
  </si>
  <si>
    <t>945125400047863</t>
  </si>
  <si>
    <t>945125400044780</t>
  </si>
  <si>
    <t xml:space="preserve">
加拿大二店7月27号至7月31号小费</t>
  </si>
  <si>
    <t>945125500003625</t>
  </si>
  <si>
    <t>加拿大七店7月27日-7月31日小费</t>
  </si>
  <si>
    <t>945125500003623</t>
  </si>
  <si>
    <t>MISC PAYMENT
FANTUAN</t>
  </si>
  <si>
    <t>饭团进账</t>
  </si>
  <si>
    <t>MISC PAYMENT
RBC Life Insura</t>
  </si>
  <si>
    <t>二店员工2025年8月商业保险费</t>
  </si>
  <si>
    <t>六店员工2025年8月商业保险费</t>
  </si>
  <si>
    <t>一店员工2025年8月商业保险费</t>
  </si>
  <si>
    <t>七店员工2025年8月商业保险费</t>
  </si>
  <si>
    <t>职能部门员工2025年8月商业保险费</t>
  </si>
  <si>
    <t>四店员工2025年8月商业保险费</t>
  </si>
  <si>
    <t>五店员工2025年8月商业保险费</t>
  </si>
  <si>
    <t>三店员工2025年8月商业保险费</t>
  </si>
  <si>
    <t>信用卡误刷存回</t>
  </si>
  <si>
    <t>DEPOSIT ADJUSTMENT 33420
AUG11/25 $3,140.00
CASH SHORTAGE 1x20 CASH SHORTA</t>
  </si>
  <si>
    <t>银行入错账</t>
  </si>
  <si>
    <t>BUS ETRANSFER DEPOSIT
TXN REF:C1AV6RmQgEWQ
oceanorth</t>
  </si>
  <si>
    <t>加拿大四店SWINGBY第三方收入</t>
  </si>
  <si>
    <t>DEP ERROR ADJ FEE
PER DEPOSIT ERROR
1.0</t>
  </si>
  <si>
    <t>存款错误调整费用</t>
  </si>
  <si>
    <t>BILL PAYMENT
FORTISBC HOLDINGS INC.</t>
  </si>
  <si>
    <t>七店员工宿舍燃气费</t>
  </si>
  <si>
    <t>945125400044779</t>
  </si>
  <si>
    <t>七店门店燃气费</t>
  </si>
  <si>
    <t>945125400044778</t>
  </si>
  <si>
    <t>BUS ETRANSFER DEPOSIT
TXN REF:C1ATtZMtX5VS
oceanorth</t>
  </si>
  <si>
    <t>加拿大二店8月1号至8月9号小费</t>
  </si>
  <si>
    <t xml:space="preserve">
945125500003795</t>
  </si>
  <si>
    <t>加拿大七店8月1号至8月9号小费</t>
  </si>
  <si>
    <t>945125500003794</t>
  </si>
  <si>
    <t>银行手续费</t>
  </si>
  <si>
    <t>BUS ETRANSFER DEPOSIT
TXN REF:C1AbzHdZNhCK
oceanorth</t>
  </si>
  <si>
    <t>DEPOSIT ADJUSTMENT 33420
AUG25/25 $3,166.75
CASH OVERAGE 1x50 short 1x100</t>
  </si>
  <si>
    <t>银行现金收入存错帐调整</t>
  </si>
  <si>
    <t>加拿大二店小费8月10号 至 8月17号</t>
  </si>
  <si>
    <t>945125500003920</t>
  </si>
  <si>
    <t>加拿大七店8月14-8月16日小费</t>
  </si>
  <si>
    <t>945125500003911</t>
  </si>
  <si>
    <t>加拿大七店8月10日-8月13日小费</t>
  </si>
  <si>
    <t>945125500003891</t>
  </si>
  <si>
    <t>ROYAL BANK OF CANADA-02705-1035401-HAI DI LAO CANADA RE</t>
  </si>
  <si>
    <t>Description</t>
  </si>
  <si>
    <t>Effective Date</t>
  </si>
  <si>
    <t>Serial Number</t>
  </si>
  <si>
    <t>Debits</t>
  </si>
  <si>
    <t>Credits</t>
  </si>
  <si>
    <t>OD HANDLING FEE</t>
  </si>
  <si>
    <t>Account transfer - HAI DI LAO CANA</t>
  </si>
  <si>
    <t>RBC5419转入</t>
  </si>
  <si>
    <t>Bill Payment - PAY-FILE FEES</t>
  </si>
  <si>
    <t>Activity fee</t>
  </si>
  <si>
    <t>Bill payment</t>
  </si>
  <si>
    <t>加拿大二店支付25年2月1日-25年5月31日门店水费</t>
  </si>
  <si>
    <t>ACCOUNT TRANSFER 
9522392204</t>
  </si>
  <si>
    <t>信用卡</t>
  </si>
  <si>
    <t>给RBC8741还款信用卡</t>
  </si>
  <si>
    <t>ACCOUNT TRANSFER 9522392206</t>
  </si>
  <si>
    <t>给RBC8748还款信用卡</t>
  </si>
  <si>
    <t>ACCOUNT TRANSFER 9522392205</t>
  </si>
  <si>
    <t>给RBC2680还款信用卡</t>
  </si>
  <si>
    <t xml:space="preserve">Bill payment - 6363 ENERGIR
</t>
  </si>
  <si>
    <t>CA6D支付门店燃气费（缴费时段：2025.6.17-2025.7.18）</t>
  </si>
  <si>
    <t xml:space="preserve">Bill payment - 6362 TORONTO HYDRO
</t>
  </si>
  <si>
    <t>加拿大五店 2025年5月31日 至 2025年6月30日 門店電費</t>
  </si>
  <si>
    <t>945125400042038</t>
  </si>
  <si>
    <t>Account transfer HAI DI LAO CANA</t>
  </si>
  <si>
    <t>从RBC5419转入</t>
  </si>
  <si>
    <t>Business PAD EMPBD 4467813</t>
  </si>
  <si>
    <t>加拿大片区支付7月份神秘嘉宾Without holding tax</t>
  </si>
  <si>
    <t>Business PAD NRWHT 4468539</t>
  </si>
  <si>
    <t>加拿大片区支付利息50%预扣税</t>
  </si>
  <si>
    <t>Overdraft interest @ RBP+05.00%P.A</t>
  </si>
  <si>
    <t>银行透支利息手续费</t>
  </si>
  <si>
    <t>ACCOUNT TRANSFER9523707234</t>
  </si>
  <si>
    <t>ROYAL BANK OF CANADA-02705-1035419-HAI DI LAO CANADA RE</t>
  </si>
  <si>
    <t>付款日期</t>
  </si>
  <si>
    <t>MISCELLANEOUS DR</t>
  </si>
  <si>
    <t>费用报销系统</t>
  </si>
  <si>
    <t>Direct Deposits (PDS) service total - GRADS2391320000</t>
  </si>
  <si>
    <t>DOMT45101866</t>
  </si>
  <si>
    <t>Account transfer - ACTR5521302306</t>
  </si>
  <si>
    <t>转入RBC5401</t>
  </si>
  <si>
    <t>Deposit interest</t>
  </si>
  <si>
    <t>DOMT45101867</t>
  </si>
  <si>
    <t>Cash Management - haidilao - 35419&lt;DEFTPYMT&gt;</t>
  </si>
  <si>
    <t xml:space="preserve">从BMO3817转入 </t>
  </si>
  <si>
    <t>Account transfer - ACTR5521700009</t>
  </si>
  <si>
    <t>DOMT45101868</t>
  </si>
  <si>
    <t>ACCOUNT TRANSFER - 9521785562</t>
  </si>
  <si>
    <t>RBC8771信用卡还款</t>
  </si>
  <si>
    <t>Account transfer - ACTR5521700742</t>
  </si>
  <si>
    <t>转入RBC0922</t>
  </si>
  <si>
    <t>Funds transfer</t>
  </si>
  <si>
    <t>INTT45100510</t>
  </si>
  <si>
    <t xml:space="preserve">Direct Deposits (PDS) service total
GRADS2391320000
</t>
  </si>
  <si>
    <t>DOMT45101869</t>
  </si>
  <si>
    <t>DOMT45101870，DOMT45101871</t>
  </si>
  <si>
    <t>DOMT45101872，DOMT45101873，DOMT45101874</t>
  </si>
  <si>
    <t>Direct Deposits (PDS) service total GRADS2391320000</t>
  </si>
  <si>
    <t>DOMT45101875</t>
  </si>
  <si>
    <t>Direct Deposits (PDS) service total
 GRADS2391320000</t>
  </si>
  <si>
    <t>DOMT45101876</t>
  </si>
  <si>
    <t>Cash Management haidilao</t>
  </si>
  <si>
    <t>Account transfer ACTR5522600945</t>
  </si>
  <si>
    <t>DOMT45101877，DOMT45101878，DOMT45101879</t>
  </si>
  <si>
    <t>Direct Deposits (PDS) service totalGRADS2391320000</t>
  </si>
  <si>
    <t>DOMT45101880,DOMT45101881,DOMT45101882</t>
  </si>
  <si>
    <t>Cash Management haidilao 35419&lt;DEFTPYMT&gt;</t>
  </si>
  <si>
    <t>待確認</t>
  </si>
  <si>
    <t>ROYAL BANK OF CANADA-02705-1130517-HI BOWL CANADA RESTA</t>
  </si>
  <si>
    <t>BILL PYMT</t>
  </si>
  <si>
    <t>HI BOWL一店 報銷 2025-2026年度門店保险费</t>
  </si>
  <si>
    <t>Direct Deposits (PDS) service total - GRADS8850720000</t>
  </si>
  <si>
    <t>DOMT45200005</t>
  </si>
  <si>
    <t>BR TO BR - 0002</t>
  </si>
  <si>
    <t>Expense Payment - SNAPPYWC9005</t>
  </si>
  <si>
    <t>Snappy刷卡进账</t>
  </si>
  <si>
    <t>Expense Payment - SNAPPY9005</t>
  </si>
  <si>
    <t>Misc Payment - Herefordshire C</t>
  </si>
  <si>
    <t>租金</t>
  </si>
  <si>
    <t>大嗨麻辣烫一店房租</t>
  </si>
  <si>
    <t>DOMT45200006</t>
  </si>
  <si>
    <t>SNAPPYWC9005</t>
  </si>
  <si>
    <t>DOMT45200007</t>
  </si>
  <si>
    <t>Expense Payment - SNAPPYDEBIT</t>
  </si>
  <si>
    <t>HI BOWL一店 核銷 Snappy平板(兩台)</t>
  </si>
  <si>
    <t>945225400046657</t>
  </si>
  <si>
    <t>945225400045229</t>
  </si>
  <si>
    <t>Miscellaneous debit</t>
  </si>
  <si>
    <t>DOMT45200008</t>
  </si>
  <si>
    <t>工程尾款</t>
  </si>
  <si>
    <t>第二品牌501 HI BOWL 麻辣燙 需支付 Charming Construction Ltd. 第四期金額</t>
  </si>
  <si>
    <t>945225400040038</t>
  </si>
  <si>
    <t>BR TO BR - 2157</t>
  </si>
  <si>
    <t>Expense Payment SNAPPY9005</t>
  </si>
  <si>
    <t xml:space="preserve">Business PAD PAYROLL-08N0086 </t>
  </si>
  <si>
    <t>大嗨麻辣烫一店工资</t>
  </si>
  <si>
    <t>Direct Deposits (PDS) service total GRADS8850720000</t>
  </si>
  <si>
    <t>DOMT45200009</t>
  </si>
  <si>
    <t>Expense Payment SNAPPYDEBIT</t>
  </si>
  <si>
    <t>945225400047487</t>
  </si>
  <si>
    <t>Expense Payment  SNAPPY9005</t>
  </si>
  <si>
    <t>Expense Payment SNAPPYWC9005</t>
  </si>
  <si>
    <t xml:space="preserve">Expense Payment SNAPPYWC9005 </t>
  </si>
  <si>
    <t>DOMT45200010</t>
  </si>
  <si>
    <t>DOMT45200011</t>
  </si>
  <si>
    <t>Expense PaymentSNAPPYWC9005</t>
  </si>
  <si>
    <t>Expense PaymentSNAPPY9005</t>
  </si>
  <si>
    <t>Business PADPAYROLL-08N0086</t>
  </si>
  <si>
    <t>门店工资</t>
  </si>
  <si>
    <t>Expense PaymentSNAPPYDEBIT</t>
  </si>
  <si>
    <t>Direct Deposits (PDS) service totalGRADS8850720000</t>
  </si>
  <si>
    <t>DOMT45200012</t>
  </si>
  <si>
    <t>Chq Printing FeeCHQ/DEP ORDER</t>
  </si>
  <si>
    <t>物料费</t>
  </si>
  <si>
    <t>支票打印费</t>
  </si>
  <si>
    <t>DOMT45200014</t>
  </si>
  <si>
    <t>GIC purchase</t>
  </si>
  <si>
    <t>押金</t>
  </si>
  <si>
    <t>hi bowl信用卡押金</t>
  </si>
  <si>
    <t>ROYAL BANK OF CANADA-02705-4010922-HAI DI LAO CANADA RE</t>
  </si>
  <si>
    <t>Funds transfer - ICSVJIKPLLOV</t>
  </si>
  <si>
    <t>ICSVJIKPLLOV</t>
  </si>
  <si>
    <t>INTT45100509</t>
  </si>
  <si>
    <t>INTT45100508</t>
  </si>
  <si>
    <t>Funds transfer - UD5R6XNIX0BN</t>
  </si>
  <si>
    <t>Funds transfer - 8GHT8NIPTR4L</t>
  </si>
  <si>
    <t>软件使用费</t>
  </si>
  <si>
    <t>加拿大一店8月10付款加拿大一店邊緣連接器費用</t>
  </si>
  <si>
    <t>Funds transfer UDVWLOTHFSEJ</t>
  </si>
  <si>
    <t>Funds transferAMVQMJMKKHPD</t>
  </si>
  <si>
    <t>Funds transferROR7XMZ7PLIQ</t>
  </si>
  <si>
    <t>Funds transferQQ5CGBY6YU3C</t>
  </si>
  <si>
    <t>Funds transfer1BRATWUN3LCP</t>
  </si>
  <si>
    <t>Funds transferWC8HCXWR2GUS</t>
  </si>
  <si>
    <t>Funds transferR1YBK4BJBUI7</t>
  </si>
  <si>
    <t>Funds transfer5D8OZ7H5PHZC</t>
  </si>
  <si>
    <t>INTT45100516</t>
  </si>
  <si>
    <t>Funds transfer7DFJMK36AAGJ</t>
  </si>
  <si>
    <t>ROYAL BANK OF CANADA-02705-4053088-HI BOWL CANADA RESTA</t>
  </si>
  <si>
    <t xml:space="preserve"> </t>
  </si>
  <si>
    <t>HAI DI LAO CANADA RESTURANTS GROUP USD - 00044660798 USD (BMO - DDA)</t>
  </si>
  <si>
    <t xml:space="preserve"> Bank Reference</t>
  </si>
  <si>
    <t>Interest / Adjustment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</si>
</sst>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&quot;$&quot;#,##0.00;&quot;$&quot;#,##0.00"/>
    <numFmt numFmtId="179" formatCode="&quot;$&quot;#,##0.00"/>
    <numFmt numFmtId="180" formatCode="m&quot;月&quot;d&quot;日&quot;;@"/>
    <numFmt numFmtId="181" formatCode="#\ ?/?"/>
    <numFmt numFmtId="182" formatCode="0.00_);[Red]\(0.00\)"/>
    <numFmt numFmtId="183" formatCode="dd\/mm\/yyyy"/>
    <numFmt numFmtId="184" formatCode="m&quot;月&quot;d&quot;日&quot;"/>
  </numFmts>
  <fonts count="40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u/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9"/>
      <color rgb="FF000000"/>
      <name val="SansSerif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color rgb="FF000000"/>
      <name val="宋体"/>
      <charset val="134"/>
    </font>
    <font>
      <sz val="11"/>
      <color indexed="8"/>
      <name val="Calibri"/>
      <charset val="134"/>
      <scheme val="minor"/>
    </font>
    <font>
      <sz val="11"/>
      <color theme="1"/>
      <name val="SimSun"/>
      <charset val="134"/>
    </font>
    <font>
      <sz val="12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rgb="FF000000"/>
      <name val="Arial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微软雅黑"/>
      <charset val="134"/>
    </font>
    <font>
      <sz val="12"/>
      <color theme="1"/>
      <name val="宋体"/>
      <charset val="134"/>
    </font>
    <font>
      <sz val="12"/>
      <color theme="1"/>
      <name val="SimSun"/>
      <charset val="134"/>
    </font>
    <font>
      <sz val="11"/>
      <color indexed="8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DEDEE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rgb="FFC8C8C8"/>
      </left>
      <right style="thin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16" borderId="11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2">
      <alignment vertical="center"/>
    </xf>
    <xf numFmtId="0" fontId="27" fillId="0" borderId="12">
      <alignment vertical="center"/>
    </xf>
    <xf numFmtId="0" fontId="28" fillId="0" borderId="13">
      <alignment vertical="center"/>
    </xf>
    <xf numFmtId="0" fontId="28" fillId="0" borderId="0">
      <alignment vertical="center"/>
    </xf>
    <xf numFmtId="0" fontId="29" fillId="17" borderId="14">
      <alignment vertical="center"/>
    </xf>
    <xf numFmtId="0" fontId="30" fillId="18" borderId="15">
      <alignment vertical="center"/>
    </xf>
    <xf numFmtId="0" fontId="31" fillId="18" borderId="14">
      <alignment vertical="center"/>
    </xf>
    <xf numFmtId="0" fontId="32" fillId="19" borderId="16">
      <alignment vertical="center"/>
    </xf>
    <xf numFmtId="0" fontId="33" fillId="0" borderId="17">
      <alignment vertical="center"/>
    </xf>
    <xf numFmtId="0" fontId="34" fillId="0" borderId="18">
      <alignment vertical="center"/>
    </xf>
    <xf numFmtId="0" fontId="35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38" fillId="42" borderId="0">
      <alignment vertical="center"/>
    </xf>
    <xf numFmtId="0" fontId="38" fillId="9" borderId="0">
      <alignment vertical="center"/>
    </xf>
    <xf numFmtId="0" fontId="39" fillId="43" borderId="0">
      <alignment vertical="center"/>
    </xf>
    <xf numFmtId="0" fontId="39" fillId="44" borderId="0">
      <alignment vertical="center"/>
    </xf>
    <xf numFmtId="0" fontId="38" fillId="45" borderId="0">
      <alignment vertical="center"/>
    </xf>
  </cellStyleXfs>
  <cellXfs count="1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left" vertical="center" wrapText="1"/>
    </xf>
    <xf numFmtId="178" fontId="4" fillId="4" borderId="2" xfId="0" applyNumberFormat="1" applyFont="1" applyFill="1" applyBorder="1" applyAlignment="1">
      <alignment horizontal="right" vertical="center" wrapText="1"/>
    </xf>
    <xf numFmtId="179" fontId="4" fillId="4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left" vertical="center"/>
    </xf>
    <xf numFmtId="180" fontId="6" fillId="2" borderId="4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58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 wrapText="1"/>
    </xf>
    <xf numFmtId="58" fontId="9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179" fontId="9" fillId="0" borderId="4" xfId="0" applyNumberFormat="1" applyFont="1" applyBorder="1" applyAlignment="1">
      <alignment vertical="center"/>
    </xf>
    <xf numFmtId="179" fontId="9" fillId="6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58" fontId="0" fillId="0" borderId="8" xfId="0" applyNumberFormat="1" applyBorder="1" applyAlignment="1">
      <alignment vertical="center"/>
    </xf>
    <xf numFmtId="58" fontId="6" fillId="5" borderId="4" xfId="0" applyNumberFormat="1" applyFont="1" applyFill="1" applyBorder="1" applyAlignment="1">
      <alignment vertical="center"/>
    </xf>
    <xf numFmtId="0" fontId="6" fillId="5" borderId="4" xfId="0" applyFont="1" applyFill="1" applyBorder="1" applyAlignment="1">
      <alignment horizontal="left" vertical="center"/>
    </xf>
    <xf numFmtId="0" fontId="0" fillId="0" borderId="4" xfId="0" applyBorder="1"/>
    <xf numFmtId="58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58" fontId="8" fillId="0" borderId="4" xfId="0" applyNumberFormat="1" applyFon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9" fillId="0" borderId="4" xfId="0" applyFont="1" applyBorder="1" applyAlignment="1">
      <alignment vertical="center" wrapText="1"/>
    </xf>
    <xf numFmtId="182" fontId="9" fillId="0" borderId="4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81" fontId="0" fillId="0" borderId="8" xfId="0" applyNumberFormat="1" applyBorder="1" applyAlignment="1">
      <alignment vertical="center"/>
    </xf>
    <xf numFmtId="181" fontId="6" fillId="5" borderId="4" xfId="0" applyNumberFormat="1" applyFont="1" applyFill="1" applyBorder="1" applyAlignment="1">
      <alignment vertical="center"/>
    </xf>
    <xf numFmtId="181" fontId="8" fillId="0" borderId="4" xfId="0" applyNumberFormat="1" applyFont="1" applyBorder="1" applyAlignment="1">
      <alignment horizontal="center" vertical="center"/>
    </xf>
    <xf numFmtId="181" fontId="8" fillId="0" borderId="4" xfId="0" applyNumberFormat="1" applyFont="1" applyBorder="1" applyAlignment="1">
      <alignment vertical="center"/>
    </xf>
    <xf numFmtId="181" fontId="0" fillId="0" borderId="4" xfId="0" applyNumberFormat="1" applyBorder="1"/>
    <xf numFmtId="181" fontId="8" fillId="0" borderId="4" xfId="0" applyNumberFormat="1" applyFont="1" applyBorder="1" applyAlignment="1">
      <alignment horizontal="right" vertical="center"/>
    </xf>
    <xf numFmtId="58" fontId="8" fillId="0" borderId="0" xfId="0" applyNumberFormat="1" applyFont="1" applyAlignment="1">
      <alignment horizontal="right" vertical="center"/>
    </xf>
    <xf numFmtId="0" fontId="9" fillId="7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7" borderId="4" xfId="0" applyFill="1" applyBorder="1" applyAlignment="1">
      <alignment wrapText="1"/>
    </xf>
    <xf numFmtId="0" fontId="9" fillId="7" borderId="4" xfId="0" applyFont="1" applyFill="1" applyBorder="1" applyAlignment="1">
      <alignment vertical="center"/>
    </xf>
    <xf numFmtId="179" fontId="9" fillId="7" borderId="4" xfId="0" applyNumberFormat="1" applyFont="1" applyFill="1" applyBorder="1" applyAlignment="1">
      <alignment vertical="center"/>
    </xf>
    <xf numFmtId="0" fontId="7" fillId="7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vertical="center"/>
    </xf>
    <xf numFmtId="0" fontId="0" fillId="0" borderId="4" xfId="0" applyBorder="1" applyAlignment="1">
      <alignment wrapText="1"/>
    </xf>
    <xf numFmtId="0" fontId="5" fillId="8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right" vertical="center"/>
    </xf>
    <xf numFmtId="2" fontId="11" fillId="0" borderId="0" xfId="0" applyNumberFormat="1" applyFont="1" applyFill="1" applyAlignment="1"/>
    <xf numFmtId="0" fontId="11" fillId="0" borderId="0" xfId="0" applyFont="1" applyFill="1" applyAlignment="1">
      <alignment vertical="center"/>
    </xf>
    <xf numFmtId="0" fontId="0" fillId="0" borderId="8" xfId="0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58" fontId="8" fillId="7" borderId="4" xfId="0" applyNumberFormat="1" applyFont="1" applyFill="1" applyBorder="1" applyAlignment="1">
      <alignment horizontal="center" vertical="center"/>
    </xf>
    <xf numFmtId="183" fontId="0" fillId="0" borderId="0" xfId="0" applyNumberFormat="1" applyAlignment="1">
      <alignment horizontal="center"/>
    </xf>
    <xf numFmtId="0" fontId="11" fillId="0" borderId="9" xfId="0" applyFont="1" applyFill="1" applyBorder="1" applyAlignment="1">
      <alignment vertical="center"/>
    </xf>
    <xf numFmtId="58" fontId="8" fillId="0" borderId="4" xfId="0" applyNumberFormat="1" applyFont="1" applyBorder="1" applyAlignment="1">
      <alignment vertical="center"/>
    </xf>
    <xf numFmtId="0" fontId="9" fillId="7" borderId="4" xfId="0" applyFont="1" applyFill="1" applyBorder="1" applyAlignment="1">
      <alignment vertical="center" wrapText="1"/>
    </xf>
    <xf numFmtId="58" fontId="9" fillId="7" borderId="4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horizontal="left" vertical="center" wrapText="1"/>
    </xf>
    <xf numFmtId="182" fontId="12" fillId="9" borderId="4" xfId="0" applyNumberFormat="1" applyFont="1" applyFill="1" applyBorder="1" applyAlignment="1">
      <alignment vertical="center"/>
    </xf>
    <xf numFmtId="58" fontId="8" fillId="7" borderId="4" xfId="0" applyNumberFormat="1" applyFont="1" applyFill="1" applyBorder="1" applyAlignment="1">
      <alignment horizontal="right" vertical="center"/>
    </xf>
    <xf numFmtId="181" fontId="8" fillId="0" borderId="4" xfId="0" applyNumberFormat="1" applyFont="1" applyBorder="1" applyAlignment="1">
      <alignment horizontal="center" vertical="center" wrapText="1"/>
    </xf>
    <xf numFmtId="0" fontId="13" fillId="10" borderId="0" xfId="0" applyFont="1" applyFill="1" applyAlignment="1">
      <alignment horizontal="left" vertical="center"/>
    </xf>
    <xf numFmtId="18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15" fillId="10" borderId="4" xfId="0" applyFont="1" applyFill="1" applyBorder="1" applyAlignment="1">
      <alignment horizontal="left" vertical="center" wrapText="1"/>
    </xf>
    <xf numFmtId="182" fontId="15" fillId="10" borderId="4" xfId="0" applyNumberFormat="1" applyFont="1" applyFill="1" applyBorder="1" applyAlignment="1">
      <alignment horizontal="left" vertical="center" wrapText="1"/>
    </xf>
    <xf numFmtId="0" fontId="16" fillId="10" borderId="4" xfId="0" applyFont="1" applyFill="1" applyBorder="1" applyAlignment="1">
      <alignment horizontal="left" vertical="center"/>
    </xf>
    <xf numFmtId="184" fontId="9" fillId="7" borderId="4" xfId="0" applyNumberFormat="1" applyFont="1" applyFill="1" applyBorder="1" applyAlignment="1">
      <alignment vertical="center"/>
    </xf>
    <xf numFmtId="182" fontId="9" fillId="7" borderId="4" xfId="0" applyNumberFormat="1" applyFont="1" applyFill="1" applyBorder="1" applyAlignment="1">
      <alignment vertical="center"/>
    </xf>
    <xf numFmtId="0" fontId="17" fillId="7" borderId="0" xfId="0" applyFont="1" applyFill="1" applyAlignment="1">
      <alignment horizontal="left" vertical="center"/>
    </xf>
    <xf numFmtId="0" fontId="8" fillId="7" borderId="0" xfId="0" applyFont="1" applyFill="1" applyAlignment="1">
      <alignment vertical="center"/>
    </xf>
    <xf numFmtId="0" fontId="17" fillId="7" borderId="0" xfId="0" applyFont="1" applyFill="1" applyBorder="1" applyAlignment="1">
      <alignment horizontal="left" vertical="center"/>
    </xf>
    <xf numFmtId="184" fontId="9" fillId="0" borderId="4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Fill="1" applyAlignment="1">
      <alignment horizontal="left" vertical="center"/>
    </xf>
    <xf numFmtId="0" fontId="16" fillId="10" borderId="4" xfId="0" applyFont="1" applyFill="1" applyBorder="1" applyAlignment="1">
      <alignment horizontal="center" vertical="center"/>
    </xf>
    <xf numFmtId="58" fontId="13" fillId="7" borderId="0" xfId="0" applyNumberFormat="1" applyFont="1" applyFill="1" applyAlignment="1">
      <alignment horizontal="center" vertical="center"/>
    </xf>
    <xf numFmtId="58" fontId="13" fillId="7" borderId="0" xfId="0" applyNumberFormat="1" applyFont="1" applyFill="1" applyAlignment="1">
      <alignment vertical="center"/>
    </xf>
    <xf numFmtId="58" fontId="13" fillId="0" borderId="0" xfId="0" applyNumberFormat="1" applyFont="1" applyAlignment="1">
      <alignment horizontal="center" vertical="center"/>
    </xf>
    <xf numFmtId="58" fontId="13" fillId="0" borderId="0" xfId="0" applyNumberFormat="1" applyFont="1" applyAlignment="1">
      <alignment vertical="center"/>
    </xf>
    <xf numFmtId="58" fontId="18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184" fontId="9" fillId="0" borderId="4" xfId="0" applyNumberFormat="1" applyFont="1" applyBorder="1" applyAlignment="1">
      <alignment vertical="center" wrapText="1"/>
    </xf>
    <xf numFmtId="184" fontId="0" fillId="0" borderId="0" xfId="0" applyNumberFormat="1" applyAlignment="1">
      <alignment vertical="center"/>
    </xf>
    <xf numFmtId="58" fontId="19" fillId="0" borderId="0" xfId="0" applyNumberFormat="1" applyFont="1" applyAlignment="1">
      <alignment horizontal="center" vertical="center"/>
    </xf>
    <xf numFmtId="0" fontId="0" fillId="11" borderId="0" xfId="0" applyFill="1"/>
    <xf numFmtId="0" fontId="0" fillId="0" borderId="0" xfId="0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 wrapText="1"/>
    </xf>
    <xf numFmtId="58" fontId="8" fillId="0" borderId="0" xfId="0" applyNumberFormat="1" applyFont="1" applyFill="1" applyAlignment="1">
      <alignment horizontal="center" vertical="center"/>
    </xf>
    <xf numFmtId="0" fontId="0" fillId="12" borderId="0" xfId="0" applyFill="1"/>
    <xf numFmtId="0" fontId="9" fillId="0" borderId="0" xfId="0" applyFont="1" applyAlignment="1">
      <alignment horizontal="left" vertical="center"/>
    </xf>
    <xf numFmtId="58" fontId="0" fillId="0" borderId="0" xfId="0" applyNumberFormat="1" applyAlignment="1">
      <alignment horizontal="center" vertical="center"/>
    </xf>
    <xf numFmtId="0" fontId="0" fillId="13" borderId="0" xfId="0" applyFill="1"/>
    <xf numFmtId="58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80" fontId="6" fillId="5" borderId="4" xfId="0" applyNumberFormat="1" applyFont="1" applyFill="1" applyBorder="1" applyAlignment="1">
      <alignment horizontal="left" vertical="center"/>
    </xf>
    <xf numFmtId="0" fontId="20" fillId="14" borderId="10" xfId="0" applyFont="1" applyFill="1" applyBorder="1" applyAlignment="1" applyProtection="1">
      <alignment horizontal="left" vertical="center" wrapText="1"/>
    </xf>
    <xf numFmtId="0" fontId="8" fillId="15" borderId="0" xfId="0" applyFont="1" applyFill="1" applyAlignment="1">
      <alignment vertical="center" wrapText="1"/>
    </xf>
    <xf numFmtId="0" fontId="8" fillId="0" borderId="0" xfId="0" applyFont="1" applyAlignment="1" quotePrefix="1">
      <alignment vertical="center" wrapText="1"/>
    </xf>
    <xf numFmtId="0" fontId="8" fillId="0" borderId="0" xfId="0" applyFont="1" applyAlignment="1" quotePrefix="1">
      <alignment vertical="center"/>
    </xf>
    <xf numFmtId="0" fontId="7" fillId="0" borderId="0" xfId="0" applyFont="1" applyBorder="1" applyAlignment="1" quotePrefix="1">
      <alignment horizontal="left" vertical="center"/>
    </xf>
    <xf numFmtId="181" fontId="8" fillId="0" borderId="4" xfId="0" applyNumberFormat="1" applyFont="1" applyBorder="1" applyAlignment="1" quotePrefix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bgColor theme="9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9" tint="0.399945066682943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Zeros="0" zoomScale="85" zoomScaleNormal="85" workbookViewId="0">
      <pane xSplit="2" ySplit="2" topLeftCell="C129" activePane="bottomRight" state="frozen"/>
      <selection/>
      <selection pane="topRight"/>
      <selection pane="bottomLeft"/>
      <selection pane="bottomRight" activeCell="J149" sqref="J149"/>
    </sheetView>
  </sheetViews>
  <sheetFormatPr defaultColWidth="9" defaultRowHeight="15"/>
  <cols>
    <col min="1" max="1" width="12.8571428571429" style="20" customWidth="1"/>
    <col min="2" max="2" width="1.57142857142857" style="20" customWidth="1"/>
    <col min="3" max="3" width="30.5714285714286" style="20" customWidth="1"/>
    <col min="4" max="4" width="27.2857142857143" style="20" customWidth="1"/>
    <col min="5" max="5" width="17.1428571428571" style="20" customWidth="1"/>
    <col min="6" max="7" width="13.4285714285714" style="20" customWidth="1"/>
    <col min="8" max="8" width="30.7142857142857" style="20" customWidth="1"/>
    <col min="9" max="9" width="13.7142857142857" style="19" customWidth="1"/>
    <col min="10" max="10" width="34.1428571428571" style="19" customWidth="1"/>
    <col min="11" max="11" width="17.4285714285714" style="116" customWidth="1"/>
    <col min="12" max="12" width="8" style="116" customWidth="1"/>
    <col min="13" max="13" width="23.7142857142857" style="127" customWidth="1"/>
    <col min="14" max="14" width="23.7142857142857" style="20" customWidth="1"/>
    <col min="15" max="16384" width="9" style="20" customWidth="1"/>
  </cols>
  <sheetData>
    <row r="1" spans="1:1">
      <c r="A1" s="2" t="s">
        <v>0</v>
      </c>
    </row>
    <row r="2" s="123" customFormat="1" ht="15.75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128" t="s">
        <v>12</v>
      </c>
      <c r="N2" s="40" t="s">
        <v>13</v>
      </c>
    </row>
    <row r="3" s="1" customFormat="1" ht="15.75" spans="1:14">
      <c r="A3" s="6" t="s">
        <v>14</v>
      </c>
      <c r="B3" s="7"/>
      <c r="C3" s="8" t="s">
        <v>15</v>
      </c>
      <c r="D3" s="6" t="s">
        <v>16</v>
      </c>
      <c r="E3" s="6"/>
      <c r="F3" s="9">
        <v>-649.6</v>
      </c>
      <c r="G3" s="10"/>
      <c r="H3" s="11" t="s">
        <v>17</v>
      </c>
      <c r="I3" s="15" t="s">
        <v>18</v>
      </c>
      <c r="J3" s="16" t="s">
        <v>19</v>
      </c>
      <c r="K3" s="17" t="s">
        <v>20</v>
      </c>
      <c r="L3" s="17" t="s">
        <v>21</v>
      </c>
      <c r="M3" s="18">
        <v>45875</v>
      </c>
      <c r="N3" s="18"/>
    </row>
    <row r="4" s="1" customFormat="1" ht="15.75" spans="1:14">
      <c r="A4" s="6" t="s">
        <v>14</v>
      </c>
      <c r="B4" s="7" t="s">
        <v>22</v>
      </c>
      <c r="C4" s="8" t="s">
        <v>23</v>
      </c>
      <c r="D4" s="6" t="s">
        <v>24</v>
      </c>
      <c r="E4" s="6"/>
      <c r="F4" s="9">
        <v>-219.81</v>
      </c>
      <c r="G4" s="10"/>
      <c r="H4" s="11" t="s">
        <v>25</v>
      </c>
      <c r="I4" s="15" t="s">
        <v>26</v>
      </c>
      <c r="J4" s="16" t="s">
        <v>27</v>
      </c>
      <c r="K4" s="17" t="s">
        <v>20</v>
      </c>
      <c r="L4" s="17" t="s">
        <v>20</v>
      </c>
      <c r="M4" s="18" t="s">
        <v>20</v>
      </c>
      <c r="N4" s="18"/>
    </row>
    <row r="5" s="1" customFormat="1" ht="15.75" spans="1:14">
      <c r="A5" s="6" t="s">
        <v>14</v>
      </c>
      <c r="B5" s="7"/>
      <c r="C5" s="8" t="s">
        <v>28</v>
      </c>
      <c r="D5" s="6" t="s">
        <v>29</v>
      </c>
      <c r="E5" s="6"/>
      <c r="F5" s="9"/>
      <c r="G5" s="10">
        <v>5077.44</v>
      </c>
      <c r="H5" s="11" t="s">
        <v>30</v>
      </c>
      <c r="I5" s="15" t="s">
        <v>31</v>
      </c>
      <c r="J5" s="16" t="s">
        <v>32</v>
      </c>
      <c r="K5" s="17" t="s">
        <v>20</v>
      </c>
      <c r="L5" s="17" t="s">
        <v>20</v>
      </c>
      <c r="M5" s="18" t="s">
        <v>20</v>
      </c>
      <c r="N5" s="18"/>
    </row>
    <row r="6" s="1" customFormat="1" ht="15.75" spans="1:14">
      <c r="A6" s="6" t="s">
        <v>14</v>
      </c>
      <c r="B6" s="7"/>
      <c r="C6" s="8" t="s">
        <v>28</v>
      </c>
      <c r="D6" s="6" t="s">
        <v>33</v>
      </c>
      <c r="E6" s="6"/>
      <c r="F6" s="9"/>
      <c r="G6" s="10">
        <v>27520.35</v>
      </c>
      <c r="H6" s="11" t="s">
        <v>34</v>
      </c>
      <c r="I6" s="15" t="s">
        <v>31</v>
      </c>
      <c r="J6" s="16" t="s">
        <v>35</v>
      </c>
      <c r="K6" s="17" t="s">
        <v>20</v>
      </c>
      <c r="L6" s="17" t="s">
        <v>20</v>
      </c>
      <c r="M6" s="18" t="s">
        <v>20</v>
      </c>
      <c r="N6" s="18"/>
    </row>
    <row r="7" s="1" customFormat="1" ht="15.75" spans="1:14">
      <c r="A7" s="6" t="s">
        <v>14</v>
      </c>
      <c r="B7" s="7"/>
      <c r="C7" s="8" t="s">
        <v>15</v>
      </c>
      <c r="D7" s="6" t="s">
        <v>36</v>
      </c>
      <c r="E7" s="6"/>
      <c r="F7" s="9">
        <v>-0.2</v>
      </c>
      <c r="G7" s="10"/>
      <c r="H7" s="11" t="s">
        <v>37</v>
      </c>
      <c r="I7" s="15" t="s">
        <v>38</v>
      </c>
      <c r="J7" s="16" t="s">
        <v>39</v>
      </c>
      <c r="K7" s="17" t="s">
        <v>20</v>
      </c>
      <c r="L7" s="17" t="s">
        <v>40</v>
      </c>
      <c r="M7" s="18">
        <v>45875</v>
      </c>
      <c r="N7" s="18"/>
    </row>
    <row r="8" s="1" customFormat="1" ht="15.75" spans="1:14">
      <c r="A8" s="6" t="s">
        <v>14</v>
      </c>
      <c r="B8" s="7"/>
      <c r="C8" s="8" t="s">
        <v>15</v>
      </c>
      <c r="D8" s="6" t="s">
        <v>36</v>
      </c>
      <c r="E8" s="6"/>
      <c r="F8" s="9">
        <v>-103.75</v>
      </c>
      <c r="G8" s="10"/>
      <c r="H8" s="11" t="s">
        <v>41</v>
      </c>
      <c r="I8" s="15" t="s">
        <v>38</v>
      </c>
      <c r="J8" s="16" t="s">
        <v>39</v>
      </c>
      <c r="K8" s="17" t="s">
        <v>20</v>
      </c>
      <c r="L8" s="17" t="s">
        <v>40</v>
      </c>
      <c r="M8" s="18">
        <v>45875</v>
      </c>
      <c r="N8" s="18"/>
    </row>
    <row r="9" s="1" customFormat="1" ht="15.75" spans="1:14">
      <c r="A9" s="6" t="s">
        <v>14</v>
      </c>
      <c r="B9" s="7"/>
      <c r="C9" s="8" t="s">
        <v>15</v>
      </c>
      <c r="D9" s="6" t="s">
        <v>42</v>
      </c>
      <c r="E9" s="6"/>
      <c r="F9" s="9">
        <v>-3815.72</v>
      </c>
      <c r="G9" s="10"/>
      <c r="H9" s="11" t="s">
        <v>43</v>
      </c>
      <c r="I9" s="15" t="s">
        <v>44</v>
      </c>
      <c r="J9" s="16" t="s">
        <v>45</v>
      </c>
      <c r="K9" s="17" t="s">
        <v>46</v>
      </c>
      <c r="L9" s="17" t="s">
        <v>20</v>
      </c>
      <c r="M9" s="18" t="s">
        <v>20</v>
      </c>
      <c r="N9" s="18"/>
    </row>
    <row r="10" s="1" customFormat="1" ht="15.75" spans="1:14">
      <c r="A10" s="6" t="s">
        <v>14</v>
      </c>
      <c r="B10" s="7"/>
      <c r="C10" s="8" t="s">
        <v>15</v>
      </c>
      <c r="D10" s="6" t="s">
        <v>33</v>
      </c>
      <c r="E10" s="6"/>
      <c r="F10" s="9">
        <v>-14041.39</v>
      </c>
      <c r="G10" s="10"/>
      <c r="H10" s="11" t="s">
        <v>47</v>
      </c>
      <c r="I10" s="15" t="s">
        <v>38</v>
      </c>
      <c r="J10" s="16" t="s">
        <v>48</v>
      </c>
      <c r="K10" s="17" t="s">
        <v>20</v>
      </c>
      <c r="L10" s="17" t="s">
        <v>49</v>
      </c>
      <c r="M10" s="18">
        <v>45875</v>
      </c>
      <c r="N10" s="18"/>
    </row>
    <row r="11" s="1" customFormat="1" ht="15.75" spans="1:14">
      <c r="A11" s="6" t="s">
        <v>14</v>
      </c>
      <c r="B11" s="7"/>
      <c r="C11" s="8" t="s">
        <v>50</v>
      </c>
      <c r="D11" s="6" t="s">
        <v>24</v>
      </c>
      <c r="E11" s="6"/>
      <c r="F11" s="9">
        <v>-31790.27</v>
      </c>
      <c r="G11" s="10"/>
      <c r="H11" s="11" t="s">
        <v>51</v>
      </c>
      <c r="I11" s="15" t="s">
        <v>52</v>
      </c>
      <c r="J11" s="16" t="s">
        <v>53</v>
      </c>
      <c r="K11" s="131" t="s">
        <v>54</v>
      </c>
      <c r="L11" s="17" t="s">
        <v>20</v>
      </c>
      <c r="M11" s="18" t="s">
        <v>20</v>
      </c>
      <c r="N11" s="18"/>
    </row>
    <row r="12" s="1" customFormat="1" ht="15.75" spans="1:14">
      <c r="A12" s="6" t="s">
        <v>14</v>
      </c>
      <c r="B12" s="7" t="s">
        <v>22</v>
      </c>
      <c r="C12" s="8" t="s">
        <v>23</v>
      </c>
      <c r="D12" s="6" t="s">
        <v>24</v>
      </c>
      <c r="E12" s="6"/>
      <c r="F12" s="9">
        <v>-7.8</v>
      </c>
      <c r="G12" s="10"/>
      <c r="H12" s="11" t="s">
        <v>55</v>
      </c>
      <c r="I12" s="15" t="s">
        <v>26</v>
      </c>
      <c r="J12" s="16" t="s">
        <v>27</v>
      </c>
      <c r="K12" s="17" t="s">
        <v>20</v>
      </c>
      <c r="L12" s="17" t="s">
        <v>20</v>
      </c>
      <c r="M12" s="18" t="s">
        <v>20</v>
      </c>
      <c r="N12" s="18"/>
    </row>
    <row r="13" s="1" customFormat="1" ht="15.75" spans="1:14">
      <c r="A13" s="6" t="s">
        <v>14</v>
      </c>
      <c r="B13" s="7" t="s">
        <v>22</v>
      </c>
      <c r="C13" s="8" t="s">
        <v>23</v>
      </c>
      <c r="D13" s="6" t="s">
        <v>24</v>
      </c>
      <c r="E13" s="6"/>
      <c r="F13" s="9">
        <v>-120</v>
      </c>
      <c r="G13" s="10"/>
      <c r="H13" s="11" t="s">
        <v>56</v>
      </c>
      <c r="I13" s="15" t="s">
        <v>26</v>
      </c>
      <c r="J13" s="16" t="s">
        <v>57</v>
      </c>
      <c r="K13" s="17" t="s">
        <v>20</v>
      </c>
      <c r="L13" s="17" t="s">
        <v>20</v>
      </c>
      <c r="M13" s="18" t="s">
        <v>20</v>
      </c>
      <c r="N13" s="18"/>
    </row>
    <row r="14" s="1" customFormat="1" ht="15.75" spans="1:14">
      <c r="A14" s="6" t="s">
        <v>14</v>
      </c>
      <c r="B14" s="7"/>
      <c r="C14" s="8" t="s">
        <v>58</v>
      </c>
      <c r="D14" s="6" t="s">
        <v>24</v>
      </c>
      <c r="E14" s="6"/>
      <c r="F14" s="9"/>
      <c r="G14" s="10">
        <v>105</v>
      </c>
      <c r="H14" s="11" t="s">
        <v>59</v>
      </c>
      <c r="I14" s="15" t="s">
        <v>60</v>
      </c>
      <c r="J14" s="16" t="s">
        <v>61</v>
      </c>
      <c r="K14" s="17" t="s">
        <v>20</v>
      </c>
      <c r="L14" s="17" t="s">
        <v>20</v>
      </c>
      <c r="M14" s="18" t="s">
        <v>20</v>
      </c>
      <c r="N14" s="18"/>
    </row>
    <row r="15" s="1" customFormat="1" ht="15.75" spans="1:14">
      <c r="A15" s="6" t="s">
        <v>14</v>
      </c>
      <c r="B15" s="7"/>
      <c r="C15" s="8" t="s">
        <v>58</v>
      </c>
      <c r="D15" s="6" t="s">
        <v>24</v>
      </c>
      <c r="E15" s="6"/>
      <c r="F15" s="9"/>
      <c r="G15" s="10">
        <v>3230</v>
      </c>
      <c r="H15" s="11" t="s">
        <v>59</v>
      </c>
      <c r="I15" s="15" t="s">
        <v>31</v>
      </c>
      <c r="J15" s="16" t="s">
        <v>62</v>
      </c>
      <c r="K15" s="17" t="s">
        <v>20</v>
      </c>
      <c r="L15" s="17" t="s">
        <v>20</v>
      </c>
      <c r="M15" s="18" t="s">
        <v>20</v>
      </c>
      <c r="N15" s="18"/>
    </row>
    <row r="16" s="1" customFormat="1" ht="15.75" spans="1:14">
      <c r="A16" s="6" t="s">
        <v>14</v>
      </c>
      <c r="B16" s="7"/>
      <c r="C16" s="8" t="s">
        <v>63</v>
      </c>
      <c r="D16" s="6" t="s">
        <v>24</v>
      </c>
      <c r="E16" s="6"/>
      <c r="F16" s="9"/>
      <c r="G16" s="10">
        <v>350000</v>
      </c>
      <c r="H16" s="11" t="s">
        <v>64</v>
      </c>
      <c r="I16" s="15" t="s">
        <v>65</v>
      </c>
      <c r="J16" s="16" t="s">
        <v>66</v>
      </c>
      <c r="K16" s="17" t="s">
        <v>20</v>
      </c>
      <c r="L16" s="17" t="s">
        <v>20</v>
      </c>
      <c r="M16" s="18" t="s">
        <v>20</v>
      </c>
      <c r="N16" s="18"/>
    </row>
    <row r="17" s="1" customFormat="1" ht="15.75" spans="1:14">
      <c r="A17" s="6" t="s">
        <v>14</v>
      </c>
      <c r="B17" s="7"/>
      <c r="C17" s="8" t="s">
        <v>63</v>
      </c>
      <c r="D17" s="6" t="s">
        <v>24</v>
      </c>
      <c r="E17" s="6"/>
      <c r="F17" s="9"/>
      <c r="G17" s="10">
        <v>500000</v>
      </c>
      <c r="H17" s="11" t="s">
        <v>67</v>
      </c>
      <c r="I17" s="15" t="s">
        <v>65</v>
      </c>
      <c r="J17" s="16" t="s">
        <v>66</v>
      </c>
      <c r="K17" s="17" t="s">
        <v>20</v>
      </c>
      <c r="L17" s="17" t="s">
        <v>20</v>
      </c>
      <c r="M17" s="18" t="s">
        <v>20</v>
      </c>
      <c r="N17" s="18"/>
    </row>
    <row r="18" s="1" customFormat="1" ht="15.75" spans="1:14">
      <c r="A18" s="6" t="s">
        <v>14</v>
      </c>
      <c r="B18" s="7"/>
      <c r="C18" s="8" t="s">
        <v>63</v>
      </c>
      <c r="D18" s="6" t="s">
        <v>24</v>
      </c>
      <c r="E18" s="6"/>
      <c r="F18" s="9"/>
      <c r="G18" s="10">
        <v>200000</v>
      </c>
      <c r="H18" s="11" t="s">
        <v>68</v>
      </c>
      <c r="I18" s="15" t="s">
        <v>65</v>
      </c>
      <c r="J18" s="16" t="s">
        <v>66</v>
      </c>
      <c r="K18" s="17" t="s">
        <v>20</v>
      </c>
      <c r="L18" s="17" t="s">
        <v>20</v>
      </c>
      <c r="M18" s="18" t="s">
        <v>20</v>
      </c>
      <c r="N18" s="18"/>
    </row>
    <row r="19" s="1" customFormat="1" ht="15.75" spans="1:14">
      <c r="A19" s="6" t="s">
        <v>69</v>
      </c>
      <c r="B19" s="7"/>
      <c r="C19" s="8" t="s">
        <v>15</v>
      </c>
      <c r="D19" s="6" t="s">
        <v>70</v>
      </c>
      <c r="E19" s="6"/>
      <c r="F19" s="9">
        <v>-197.99</v>
      </c>
      <c r="G19" s="10"/>
      <c r="H19" s="11" t="s">
        <v>71</v>
      </c>
      <c r="I19" s="15" t="s">
        <v>18</v>
      </c>
      <c r="J19" s="16" t="s">
        <v>72</v>
      </c>
      <c r="K19" s="17" t="s">
        <v>73</v>
      </c>
      <c r="L19" s="17" t="s">
        <v>20</v>
      </c>
      <c r="M19" s="18">
        <v>45875</v>
      </c>
      <c r="N19" s="18"/>
    </row>
    <row r="20" s="1" customFormat="1" ht="15.75" spans="1:14">
      <c r="A20" s="6" t="s">
        <v>69</v>
      </c>
      <c r="B20" s="7"/>
      <c r="C20" s="8" t="s">
        <v>15</v>
      </c>
      <c r="D20" s="6" t="s">
        <v>36</v>
      </c>
      <c r="E20" s="6"/>
      <c r="F20" s="9">
        <v>-10.5</v>
      </c>
      <c r="G20" s="10"/>
      <c r="H20" s="11" t="s">
        <v>41</v>
      </c>
      <c r="I20" s="15" t="s">
        <v>38</v>
      </c>
      <c r="J20" s="16" t="s">
        <v>39</v>
      </c>
      <c r="K20" s="17" t="s">
        <v>20</v>
      </c>
      <c r="L20" s="17" t="s">
        <v>40</v>
      </c>
      <c r="M20" s="18">
        <v>45875</v>
      </c>
      <c r="N20" s="18"/>
    </row>
    <row r="21" s="1" customFormat="1" ht="15.75" spans="1:14">
      <c r="A21" s="6" t="s">
        <v>69</v>
      </c>
      <c r="B21" s="7"/>
      <c r="C21" s="8" t="s">
        <v>28</v>
      </c>
      <c r="D21" s="6" t="s">
        <v>74</v>
      </c>
      <c r="E21" s="6"/>
      <c r="F21" s="9"/>
      <c r="G21" s="10">
        <v>1263.5</v>
      </c>
      <c r="H21" s="11" t="s">
        <v>75</v>
      </c>
      <c r="I21" s="15" t="s">
        <v>31</v>
      </c>
      <c r="J21" s="16" t="s">
        <v>76</v>
      </c>
      <c r="K21" s="17" t="s">
        <v>20</v>
      </c>
      <c r="L21" s="17" t="s">
        <v>20</v>
      </c>
      <c r="M21" s="18" t="s">
        <v>20</v>
      </c>
      <c r="N21" s="18"/>
    </row>
    <row r="22" s="1" customFormat="1" ht="15.75" spans="1:14">
      <c r="A22" s="6" t="s">
        <v>69</v>
      </c>
      <c r="B22" s="7"/>
      <c r="C22" s="8" t="s">
        <v>15</v>
      </c>
      <c r="D22" s="6" t="s">
        <v>24</v>
      </c>
      <c r="E22" s="6"/>
      <c r="F22" s="9">
        <v>-900000</v>
      </c>
      <c r="G22" s="10"/>
      <c r="H22" s="11" t="s">
        <v>77</v>
      </c>
      <c r="I22" s="15" t="s">
        <v>65</v>
      </c>
      <c r="J22" s="16" t="s">
        <v>78</v>
      </c>
      <c r="K22" s="17" t="s">
        <v>20</v>
      </c>
      <c r="L22" s="17" t="s">
        <v>20</v>
      </c>
      <c r="M22" s="18" t="s">
        <v>20</v>
      </c>
      <c r="N22" s="18"/>
    </row>
    <row r="23" s="1" customFormat="1" ht="15.75" spans="1:14">
      <c r="A23" s="6" t="s">
        <v>69</v>
      </c>
      <c r="B23" s="7"/>
      <c r="C23" s="8" t="s">
        <v>28</v>
      </c>
      <c r="D23" s="6" t="s">
        <v>79</v>
      </c>
      <c r="E23" s="6"/>
      <c r="F23" s="9"/>
      <c r="G23" s="10">
        <v>1388.04</v>
      </c>
      <c r="H23" s="11" t="s">
        <v>80</v>
      </c>
      <c r="I23" s="15" t="s">
        <v>31</v>
      </c>
      <c r="J23" s="16" t="s">
        <v>81</v>
      </c>
      <c r="K23" s="17" t="s">
        <v>20</v>
      </c>
      <c r="L23" s="17" t="s">
        <v>20</v>
      </c>
      <c r="M23" s="18" t="s">
        <v>20</v>
      </c>
      <c r="N23" s="18"/>
    </row>
    <row r="24" s="1" customFormat="1" ht="15.75" spans="1:14">
      <c r="A24" s="6" t="s">
        <v>69</v>
      </c>
      <c r="B24" s="7"/>
      <c r="C24" s="8" t="s">
        <v>28</v>
      </c>
      <c r="D24" s="6" t="s">
        <v>82</v>
      </c>
      <c r="E24" s="6"/>
      <c r="F24" s="9"/>
      <c r="G24" s="10">
        <v>2651.05</v>
      </c>
      <c r="H24" s="11" t="s">
        <v>80</v>
      </c>
      <c r="I24" s="15" t="s">
        <v>31</v>
      </c>
      <c r="J24" s="16" t="s">
        <v>81</v>
      </c>
      <c r="K24" s="17" t="s">
        <v>20</v>
      </c>
      <c r="L24" s="17" t="s">
        <v>20</v>
      </c>
      <c r="M24" s="18" t="s">
        <v>20</v>
      </c>
      <c r="N24" s="18"/>
    </row>
    <row r="25" s="1" customFormat="1" ht="15.75" spans="1:14">
      <c r="A25" s="6" t="s">
        <v>69</v>
      </c>
      <c r="B25" s="7"/>
      <c r="C25" s="8" t="s">
        <v>63</v>
      </c>
      <c r="D25" s="6" t="s">
        <v>24</v>
      </c>
      <c r="E25" s="6"/>
      <c r="F25" s="9"/>
      <c r="G25" s="10">
        <v>400000</v>
      </c>
      <c r="H25" s="11" t="s">
        <v>83</v>
      </c>
      <c r="I25" s="15" t="s">
        <v>65</v>
      </c>
      <c r="J25" s="16" t="s">
        <v>66</v>
      </c>
      <c r="K25" s="17" t="s">
        <v>20</v>
      </c>
      <c r="L25" s="17" t="s">
        <v>20</v>
      </c>
      <c r="M25" s="18" t="s">
        <v>20</v>
      </c>
      <c r="N25" s="18"/>
    </row>
    <row r="26" s="1" customFormat="1" ht="15.75" spans="1:14">
      <c r="A26" s="6" t="s">
        <v>69</v>
      </c>
      <c r="B26" s="7"/>
      <c r="C26" s="8" t="s">
        <v>58</v>
      </c>
      <c r="D26" s="6" t="s">
        <v>24</v>
      </c>
      <c r="E26" s="6"/>
      <c r="F26" s="9"/>
      <c r="G26" s="10">
        <v>3205</v>
      </c>
      <c r="H26" s="11" t="s">
        <v>59</v>
      </c>
      <c r="I26" s="15" t="s">
        <v>31</v>
      </c>
      <c r="J26" s="16" t="s">
        <v>62</v>
      </c>
      <c r="K26" s="17" t="s">
        <v>20</v>
      </c>
      <c r="L26" s="17" t="s">
        <v>20</v>
      </c>
      <c r="M26" s="18" t="s">
        <v>20</v>
      </c>
      <c r="N26" s="18"/>
    </row>
    <row r="27" s="1" customFormat="1" ht="15.75" spans="1:14">
      <c r="A27" s="6" t="s">
        <v>69</v>
      </c>
      <c r="B27" s="7"/>
      <c r="C27" s="8" t="s">
        <v>58</v>
      </c>
      <c r="D27" s="6" t="s">
        <v>24</v>
      </c>
      <c r="E27" s="6"/>
      <c r="F27" s="9"/>
      <c r="G27" s="10">
        <v>3525</v>
      </c>
      <c r="H27" s="11" t="s">
        <v>59</v>
      </c>
      <c r="I27" s="15" t="s">
        <v>31</v>
      </c>
      <c r="J27" s="16" t="s">
        <v>62</v>
      </c>
      <c r="K27" s="17" t="s">
        <v>20</v>
      </c>
      <c r="L27" s="17" t="s">
        <v>20</v>
      </c>
      <c r="M27" s="18" t="s">
        <v>20</v>
      </c>
      <c r="N27" s="18"/>
    </row>
    <row r="28" s="1" customFormat="1" ht="15.75" spans="1:14">
      <c r="A28" s="6" t="s">
        <v>69</v>
      </c>
      <c r="B28" s="7"/>
      <c r="C28" s="8" t="s">
        <v>28</v>
      </c>
      <c r="D28" s="6" t="s">
        <v>84</v>
      </c>
      <c r="E28" s="6"/>
      <c r="F28" s="9"/>
      <c r="G28" s="10">
        <v>2905.07</v>
      </c>
      <c r="H28" s="11" t="s">
        <v>30</v>
      </c>
      <c r="I28" s="15" t="s">
        <v>31</v>
      </c>
      <c r="J28" s="16" t="s">
        <v>32</v>
      </c>
      <c r="K28" s="17" t="s">
        <v>20</v>
      </c>
      <c r="L28" s="17" t="s">
        <v>20</v>
      </c>
      <c r="M28" s="18" t="s">
        <v>20</v>
      </c>
      <c r="N28" s="18"/>
    </row>
    <row r="29" s="1" customFormat="1" ht="15.75" spans="1:14">
      <c r="A29" s="6" t="s">
        <v>69</v>
      </c>
      <c r="B29" s="7"/>
      <c r="C29" s="8" t="s">
        <v>28</v>
      </c>
      <c r="D29" s="6" t="s">
        <v>85</v>
      </c>
      <c r="E29" s="6"/>
      <c r="F29" s="9"/>
      <c r="G29" s="10">
        <v>3449.58</v>
      </c>
      <c r="H29" s="11" t="s">
        <v>30</v>
      </c>
      <c r="I29" s="15" t="s">
        <v>31</v>
      </c>
      <c r="J29" s="16" t="s">
        <v>32</v>
      </c>
      <c r="K29" s="17" t="s">
        <v>20</v>
      </c>
      <c r="L29" s="17" t="s">
        <v>20</v>
      </c>
      <c r="M29" s="18" t="s">
        <v>20</v>
      </c>
      <c r="N29" s="18"/>
    </row>
    <row r="30" s="1" customFormat="1" ht="15.75" spans="1:14">
      <c r="A30" s="6" t="s">
        <v>69</v>
      </c>
      <c r="B30" s="7"/>
      <c r="C30" s="8" t="s">
        <v>28</v>
      </c>
      <c r="D30" s="6" t="s">
        <v>86</v>
      </c>
      <c r="E30" s="6"/>
      <c r="F30" s="9"/>
      <c r="G30" s="10">
        <v>3596.35</v>
      </c>
      <c r="H30" s="11" t="s">
        <v>30</v>
      </c>
      <c r="I30" s="15" t="s">
        <v>31</v>
      </c>
      <c r="J30" s="16" t="s">
        <v>32</v>
      </c>
      <c r="K30" s="17" t="s">
        <v>20</v>
      </c>
      <c r="L30" s="17" t="s">
        <v>20</v>
      </c>
      <c r="M30" s="18" t="s">
        <v>20</v>
      </c>
      <c r="N30" s="18"/>
    </row>
    <row r="31" s="1" customFormat="1" ht="15.75" spans="1:14">
      <c r="A31" s="6" t="s">
        <v>69</v>
      </c>
      <c r="B31" s="7"/>
      <c r="C31" s="8" t="s">
        <v>28</v>
      </c>
      <c r="D31" s="6" t="s">
        <v>87</v>
      </c>
      <c r="E31" s="6"/>
      <c r="F31" s="9"/>
      <c r="G31" s="10">
        <v>4185.55</v>
      </c>
      <c r="H31" s="11" t="s">
        <v>30</v>
      </c>
      <c r="I31" s="15" t="s">
        <v>31</v>
      </c>
      <c r="J31" s="16" t="s">
        <v>32</v>
      </c>
      <c r="K31" s="17" t="s">
        <v>20</v>
      </c>
      <c r="L31" s="17" t="s">
        <v>20</v>
      </c>
      <c r="M31" s="18" t="s">
        <v>20</v>
      </c>
      <c r="N31" s="18"/>
    </row>
    <row r="32" s="1" customFormat="1" ht="15.75" spans="1:14">
      <c r="A32" s="6" t="s">
        <v>69</v>
      </c>
      <c r="B32" s="7"/>
      <c r="C32" s="8" t="s">
        <v>28</v>
      </c>
      <c r="D32" s="6" t="s">
        <v>33</v>
      </c>
      <c r="E32" s="6"/>
      <c r="F32" s="9"/>
      <c r="G32" s="10">
        <v>153520.12</v>
      </c>
      <c r="H32" s="11" t="s">
        <v>34</v>
      </c>
      <c r="I32" s="15" t="s">
        <v>31</v>
      </c>
      <c r="J32" s="16" t="s">
        <v>35</v>
      </c>
      <c r="K32" s="17" t="s">
        <v>20</v>
      </c>
      <c r="L32" s="17" t="s">
        <v>20</v>
      </c>
      <c r="M32" s="18" t="s">
        <v>20</v>
      </c>
      <c r="N32" s="18"/>
    </row>
    <row r="33" s="1" customFormat="1" ht="15.75" spans="1:14">
      <c r="A33" s="6" t="s">
        <v>69</v>
      </c>
      <c r="B33" s="7"/>
      <c r="C33" s="8" t="s">
        <v>58</v>
      </c>
      <c r="D33" s="6" t="s">
        <v>24</v>
      </c>
      <c r="E33" s="6"/>
      <c r="F33" s="9"/>
      <c r="G33" s="10">
        <v>3025</v>
      </c>
      <c r="H33" s="11" t="s">
        <v>59</v>
      </c>
      <c r="I33" s="15" t="s">
        <v>31</v>
      </c>
      <c r="J33" s="16" t="s">
        <v>62</v>
      </c>
      <c r="K33" s="17" t="s">
        <v>20</v>
      </c>
      <c r="L33" s="17" t="s">
        <v>20</v>
      </c>
      <c r="M33" s="18" t="s">
        <v>20</v>
      </c>
      <c r="N33" s="18"/>
    </row>
    <row r="34" s="1" customFormat="1" ht="15.75" spans="1:14">
      <c r="A34" s="6" t="s">
        <v>69</v>
      </c>
      <c r="B34" s="7"/>
      <c r="C34" s="8" t="s">
        <v>58</v>
      </c>
      <c r="D34" s="6" t="s">
        <v>24</v>
      </c>
      <c r="E34" s="6"/>
      <c r="F34" s="9"/>
      <c r="G34" s="10">
        <v>3400</v>
      </c>
      <c r="H34" s="11" t="s">
        <v>59</v>
      </c>
      <c r="I34" s="15" t="s">
        <v>31</v>
      </c>
      <c r="J34" s="16" t="s">
        <v>62</v>
      </c>
      <c r="K34" s="17" t="s">
        <v>20</v>
      </c>
      <c r="L34" s="17" t="s">
        <v>20</v>
      </c>
      <c r="M34" s="18" t="s">
        <v>20</v>
      </c>
      <c r="N34" s="18"/>
    </row>
    <row r="35" s="1" customFormat="1" ht="15.75" spans="1:14">
      <c r="A35" s="6" t="s">
        <v>69</v>
      </c>
      <c r="B35" s="7"/>
      <c r="C35" s="8" t="s">
        <v>28</v>
      </c>
      <c r="D35" s="6" t="s">
        <v>88</v>
      </c>
      <c r="E35" s="6"/>
      <c r="F35" s="9"/>
      <c r="G35" s="10">
        <v>3977.55</v>
      </c>
      <c r="H35" s="11" t="s">
        <v>30</v>
      </c>
      <c r="I35" s="15" t="s">
        <v>31</v>
      </c>
      <c r="J35" s="16" t="s">
        <v>32</v>
      </c>
      <c r="K35" s="17" t="s">
        <v>20</v>
      </c>
      <c r="L35" s="17" t="s">
        <v>20</v>
      </c>
      <c r="M35" s="18" t="s">
        <v>20</v>
      </c>
      <c r="N35" s="18"/>
    </row>
    <row r="36" s="1" customFormat="1" ht="15.75" spans="1:14">
      <c r="A36" s="6" t="s">
        <v>69</v>
      </c>
      <c r="B36" s="7"/>
      <c r="C36" s="8" t="s">
        <v>15</v>
      </c>
      <c r="D36" s="6" t="s">
        <v>24</v>
      </c>
      <c r="E36" s="6"/>
      <c r="F36" s="9">
        <v>-900000</v>
      </c>
      <c r="G36" s="10"/>
      <c r="H36" s="11" t="s">
        <v>89</v>
      </c>
      <c r="I36" s="15" t="s">
        <v>65</v>
      </c>
      <c r="J36" s="16" t="s">
        <v>78</v>
      </c>
      <c r="K36" s="17"/>
      <c r="L36" s="17"/>
      <c r="M36" s="18"/>
      <c r="N36" s="18"/>
    </row>
    <row r="37" s="1" customFormat="1" ht="15.75" spans="1:14">
      <c r="A37" s="6" t="s">
        <v>90</v>
      </c>
      <c r="B37" s="7"/>
      <c r="C37" s="8" t="s">
        <v>15</v>
      </c>
      <c r="D37" s="6" t="s">
        <v>91</v>
      </c>
      <c r="E37" s="6"/>
      <c r="F37" s="9">
        <v>-169547.5</v>
      </c>
      <c r="G37" s="10"/>
      <c r="H37" s="11" t="s">
        <v>92</v>
      </c>
      <c r="I37" s="15" t="s">
        <v>93</v>
      </c>
      <c r="J37" s="16" t="s">
        <v>94</v>
      </c>
      <c r="K37" s="17" t="s">
        <v>20</v>
      </c>
      <c r="L37" s="17"/>
      <c r="M37" s="18">
        <v>45875</v>
      </c>
      <c r="N37" s="18"/>
    </row>
    <row r="38" s="1" customFormat="1" ht="15.75" spans="1:14">
      <c r="A38" s="6" t="s">
        <v>90</v>
      </c>
      <c r="B38" s="7"/>
      <c r="C38" s="8" t="s">
        <v>15</v>
      </c>
      <c r="D38" s="6" t="s">
        <v>95</v>
      </c>
      <c r="E38" s="6"/>
      <c r="F38" s="9">
        <v>-199411.97</v>
      </c>
      <c r="G38" s="10"/>
      <c r="H38" s="11" t="s">
        <v>96</v>
      </c>
      <c r="I38" s="15" t="s">
        <v>93</v>
      </c>
      <c r="J38" s="16" t="s">
        <v>97</v>
      </c>
      <c r="K38" s="17" t="s">
        <v>20</v>
      </c>
      <c r="L38" s="17" t="s">
        <v>98</v>
      </c>
      <c r="M38" s="18">
        <v>45875</v>
      </c>
      <c r="N38" s="18"/>
    </row>
    <row r="39" s="1" customFormat="1" ht="15.75" spans="1:14">
      <c r="A39" s="6" t="s">
        <v>90</v>
      </c>
      <c r="B39" s="7"/>
      <c r="C39" s="8" t="s">
        <v>15</v>
      </c>
      <c r="D39" s="6" t="s">
        <v>99</v>
      </c>
      <c r="E39" s="6"/>
      <c r="F39" s="9">
        <v>-116927.62</v>
      </c>
      <c r="G39" s="10"/>
      <c r="H39" s="11" t="s">
        <v>100</v>
      </c>
      <c r="I39" s="15" t="s">
        <v>93</v>
      </c>
      <c r="J39" s="16" t="s">
        <v>101</v>
      </c>
      <c r="K39" s="17" t="s">
        <v>20</v>
      </c>
      <c r="L39" s="17" t="s">
        <v>102</v>
      </c>
      <c r="M39" s="18">
        <v>45875</v>
      </c>
      <c r="N39" s="18"/>
    </row>
    <row r="40" s="1" customFormat="1" ht="15.75" spans="1:14">
      <c r="A40" s="6" t="s">
        <v>90</v>
      </c>
      <c r="B40" s="7"/>
      <c r="C40" s="8" t="s">
        <v>15</v>
      </c>
      <c r="D40" s="6" t="s">
        <v>103</v>
      </c>
      <c r="E40" s="6"/>
      <c r="F40" s="9">
        <v>-206091.27</v>
      </c>
      <c r="G40" s="10"/>
      <c r="H40" s="11" t="s">
        <v>104</v>
      </c>
      <c r="I40" s="15" t="s">
        <v>93</v>
      </c>
      <c r="J40" s="16" t="s">
        <v>105</v>
      </c>
      <c r="K40" s="17" t="s">
        <v>20</v>
      </c>
      <c r="L40" s="17" t="s">
        <v>106</v>
      </c>
      <c r="M40" s="18">
        <v>45875</v>
      </c>
      <c r="N40" s="18"/>
    </row>
    <row r="41" s="1" customFormat="1" ht="15.75" spans="1:14">
      <c r="A41" s="6" t="s">
        <v>90</v>
      </c>
      <c r="B41" s="7"/>
      <c r="C41" s="8" t="s">
        <v>28</v>
      </c>
      <c r="D41" s="6" t="s">
        <v>107</v>
      </c>
      <c r="E41" s="6"/>
      <c r="F41" s="9"/>
      <c r="G41" s="10">
        <v>6702.43</v>
      </c>
      <c r="H41" s="11" t="s">
        <v>30</v>
      </c>
      <c r="I41" s="15" t="s">
        <v>31</v>
      </c>
      <c r="J41" s="16" t="s">
        <v>32</v>
      </c>
      <c r="K41" s="17" t="s">
        <v>20</v>
      </c>
      <c r="L41" s="17" t="s">
        <v>20</v>
      </c>
      <c r="M41" s="18" t="s">
        <v>20</v>
      </c>
      <c r="N41" s="18"/>
    </row>
    <row r="42" s="1" customFormat="1" ht="15.75" spans="1:14">
      <c r="A42" s="6" t="s">
        <v>90</v>
      </c>
      <c r="B42" s="7"/>
      <c r="C42" s="8" t="s">
        <v>28</v>
      </c>
      <c r="D42" s="6" t="s">
        <v>33</v>
      </c>
      <c r="E42" s="6"/>
      <c r="F42" s="9"/>
      <c r="G42" s="10">
        <v>34741.5</v>
      </c>
      <c r="H42" s="11" t="s">
        <v>34</v>
      </c>
      <c r="I42" s="15" t="s">
        <v>31</v>
      </c>
      <c r="J42" s="16" t="s">
        <v>35</v>
      </c>
      <c r="K42" s="17" t="s">
        <v>20</v>
      </c>
      <c r="L42" s="17" t="s">
        <v>20</v>
      </c>
      <c r="M42" s="18" t="s">
        <v>20</v>
      </c>
      <c r="N42" s="18"/>
    </row>
    <row r="43" s="1" customFormat="1" ht="15.75" spans="1:14">
      <c r="A43" s="6" t="s">
        <v>90</v>
      </c>
      <c r="B43" s="7"/>
      <c r="C43" s="8" t="s">
        <v>15</v>
      </c>
      <c r="D43" s="6" t="s">
        <v>108</v>
      </c>
      <c r="E43" s="6"/>
      <c r="F43" s="9">
        <v>-624.96</v>
      </c>
      <c r="G43" s="10"/>
      <c r="H43" s="11" t="s">
        <v>109</v>
      </c>
      <c r="I43" s="15" t="s">
        <v>110</v>
      </c>
      <c r="J43" s="16" t="s">
        <v>111</v>
      </c>
      <c r="K43" s="132" t="s">
        <v>112</v>
      </c>
      <c r="L43" s="17" t="s">
        <v>20</v>
      </c>
      <c r="M43" s="18">
        <v>45875</v>
      </c>
      <c r="N43" s="18"/>
    </row>
    <row r="44" s="1" customFormat="1" ht="15.75" spans="1:14">
      <c r="A44" s="6" t="s">
        <v>90</v>
      </c>
      <c r="B44" s="7"/>
      <c r="C44" s="8" t="s">
        <v>58</v>
      </c>
      <c r="D44" s="6" t="s">
        <v>24</v>
      </c>
      <c r="E44" s="6"/>
      <c r="F44" s="9"/>
      <c r="G44" s="10">
        <v>2510</v>
      </c>
      <c r="H44" s="11" t="s">
        <v>59</v>
      </c>
      <c r="I44" s="15" t="s">
        <v>31</v>
      </c>
      <c r="J44" s="16" t="s">
        <v>62</v>
      </c>
      <c r="K44" s="17" t="s">
        <v>20</v>
      </c>
      <c r="L44" s="17" t="s">
        <v>20</v>
      </c>
      <c r="M44" s="18" t="s">
        <v>20</v>
      </c>
      <c r="N44" s="18"/>
    </row>
    <row r="45" s="1" customFormat="1" ht="15.75" spans="1:14">
      <c r="A45" s="6" t="s">
        <v>113</v>
      </c>
      <c r="B45" s="7"/>
      <c r="C45" s="8" t="s">
        <v>28</v>
      </c>
      <c r="D45" s="6" t="s">
        <v>24</v>
      </c>
      <c r="E45" s="6"/>
      <c r="F45" s="9"/>
      <c r="G45" s="10">
        <v>278.08</v>
      </c>
      <c r="H45" s="11" t="s">
        <v>114</v>
      </c>
      <c r="I45" s="15" t="s">
        <v>31</v>
      </c>
      <c r="J45" s="16" t="s">
        <v>115</v>
      </c>
      <c r="K45" s="17" t="s">
        <v>20</v>
      </c>
      <c r="L45" s="17" t="s">
        <v>20</v>
      </c>
      <c r="M45" s="18" t="s">
        <v>20</v>
      </c>
      <c r="N45" s="18"/>
    </row>
    <row r="46" s="1" customFormat="1" ht="15.75" spans="1:14">
      <c r="A46" s="6" t="s">
        <v>113</v>
      </c>
      <c r="B46" s="7"/>
      <c r="C46" s="8" t="s">
        <v>28</v>
      </c>
      <c r="D46" s="6" t="s">
        <v>24</v>
      </c>
      <c r="E46" s="6"/>
      <c r="F46" s="9"/>
      <c r="G46" s="10">
        <v>1251.47</v>
      </c>
      <c r="H46" s="11" t="s">
        <v>114</v>
      </c>
      <c r="I46" s="15" t="s">
        <v>31</v>
      </c>
      <c r="J46" s="16" t="s">
        <v>115</v>
      </c>
      <c r="K46" s="17" t="s">
        <v>20</v>
      </c>
      <c r="L46" s="17" t="s">
        <v>20</v>
      </c>
      <c r="M46" s="18" t="s">
        <v>20</v>
      </c>
      <c r="N46" s="18"/>
    </row>
    <row r="47" s="1" customFormat="1" ht="15.75" spans="1:14">
      <c r="A47" s="6" t="s">
        <v>113</v>
      </c>
      <c r="B47" s="7"/>
      <c r="C47" s="8" t="s">
        <v>28</v>
      </c>
      <c r="D47" s="6" t="s">
        <v>24</v>
      </c>
      <c r="E47" s="6"/>
      <c r="F47" s="9"/>
      <c r="G47" s="10">
        <v>4040.99</v>
      </c>
      <c r="H47" s="11" t="s">
        <v>114</v>
      </c>
      <c r="I47" s="15" t="s">
        <v>31</v>
      </c>
      <c r="J47" s="16" t="s">
        <v>115</v>
      </c>
      <c r="K47" s="17" t="s">
        <v>20</v>
      </c>
      <c r="L47" s="17" t="s">
        <v>20</v>
      </c>
      <c r="M47" s="18" t="s">
        <v>20</v>
      </c>
      <c r="N47" s="18"/>
    </row>
    <row r="48" s="1" customFormat="1" ht="15.75" spans="1:14">
      <c r="A48" s="6" t="s">
        <v>113</v>
      </c>
      <c r="B48" s="7"/>
      <c r="C48" s="8" t="s">
        <v>15</v>
      </c>
      <c r="D48" s="6" t="s">
        <v>116</v>
      </c>
      <c r="E48" s="6"/>
      <c r="F48" s="9">
        <v>-573.51</v>
      </c>
      <c r="G48" s="10"/>
      <c r="H48" s="11" t="s">
        <v>96</v>
      </c>
      <c r="I48" s="15" t="s">
        <v>52</v>
      </c>
      <c r="J48" s="16" t="s">
        <v>97</v>
      </c>
      <c r="K48" s="17" t="s">
        <v>20</v>
      </c>
      <c r="L48" s="17" t="s">
        <v>117</v>
      </c>
      <c r="M48" s="18">
        <v>45876</v>
      </c>
      <c r="N48" s="18"/>
    </row>
    <row r="49" s="1" customFormat="1" ht="15.75" spans="1:14">
      <c r="A49" s="6" t="s">
        <v>113</v>
      </c>
      <c r="B49" s="7" t="s">
        <v>22</v>
      </c>
      <c r="C49" s="8" t="s">
        <v>118</v>
      </c>
      <c r="D49" s="6" t="s">
        <v>24</v>
      </c>
      <c r="E49" s="6"/>
      <c r="F49" s="9">
        <v>-48</v>
      </c>
      <c r="G49" s="10"/>
      <c r="H49" s="11" t="s">
        <v>119</v>
      </c>
      <c r="I49" s="15" t="s">
        <v>38</v>
      </c>
      <c r="J49" s="16" t="s">
        <v>120</v>
      </c>
      <c r="K49" s="17" t="s">
        <v>20</v>
      </c>
      <c r="L49" s="17" t="s">
        <v>20</v>
      </c>
      <c r="M49" s="18">
        <v>45876</v>
      </c>
      <c r="N49" s="18"/>
    </row>
    <row r="50" s="1" customFormat="1" ht="15.75" spans="1:14">
      <c r="A50" s="6" t="s">
        <v>113</v>
      </c>
      <c r="B50" s="7" t="s">
        <v>22</v>
      </c>
      <c r="C50" s="8" t="s">
        <v>121</v>
      </c>
      <c r="D50" s="6" t="s">
        <v>24</v>
      </c>
      <c r="E50" s="6"/>
      <c r="F50" s="9"/>
      <c r="G50" s="10">
        <v>169547.5</v>
      </c>
      <c r="H50" s="11" t="s">
        <v>119</v>
      </c>
      <c r="I50" s="15" t="s">
        <v>52</v>
      </c>
      <c r="J50" s="16" t="s">
        <v>122</v>
      </c>
      <c r="K50" s="17" t="s">
        <v>20</v>
      </c>
      <c r="L50" s="17" t="s">
        <v>20</v>
      </c>
      <c r="M50" s="18" t="s">
        <v>20</v>
      </c>
      <c r="N50" s="18"/>
    </row>
    <row r="51" s="1" customFormat="1" ht="15.75" spans="1:14">
      <c r="A51" s="6" t="s">
        <v>113</v>
      </c>
      <c r="B51" s="7"/>
      <c r="C51" s="8" t="s">
        <v>28</v>
      </c>
      <c r="D51" s="6" t="s">
        <v>123</v>
      </c>
      <c r="E51" s="6"/>
      <c r="F51" s="9"/>
      <c r="G51" s="10">
        <v>29.74</v>
      </c>
      <c r="H51" s="11" t="s">
        <v>124</v>
      </c>
      <c r="I51" s="15" t="s">
        <v>31</v>
      </c>
      <c r="J51" s="16" t="s">
        <v>125</v>
      </c>
      <c r="K51" s="17"/>
      <c r="L51" s="17" t="s">
        <v>20</v>
      </c>
      <c r="M51" s="18"/>
      <c r="N51" s="18"/>
    </row>
    <row r="52" s="1" customFormat="1" ht="15.75" spans="1:14">
      <c r="A52" s="6" t="s">
        <v>113</v>
      </c>
      <c r="B52" s="7"/>
      <c r="C52" s="8" t="s">
        <v>28</v>
      </c>
      <c r="D52" s="6" t="s">
        <v>126</v>
      </c>
      <c r="E52" s="6"/>
      <c r="F52" s="9"/>
      <c r="G52" s="10">
        <v>4267.09</v>
      </c>
      <c r="H52" s="11" t="s">
        <v>30</v>
      </c>
      <c r="I52" s="15" t="s">
        <v>31</v>
      </c>
      <c r="J52" s="16" t="s">
        <v>32</v>
      </c>
      <c r="K52" s="17" t="s">
        <v>20</v>
      </c>
      <c r="L52" s="17" t="s">
        <v>20</v>
      </c>
      <c r="M52" s="18" t="s">
        <v>20</v>
      </c>
      <c r="N52" s="18"/>
    </row>
    <row r="53" s="1" customFormat="1" ht="15.75" spans="1:14">
      <c r="A53" s="6" t="s">
        <v>113</v>
      </c>
      <c r="B53" s="7"/>
      <c r="C53" s="8" t="s">
        <v>28</v>
      </c>
      <c r="D53" s="6" t="s">
        <v>33</v>
      </c>
      <c r="E53" s="6"/>
      <c r="F53" s="9"/>
      <c r="G53" s="10">
        <v>29632.33</v>
      </c>
      <c r="H53" s="11" t="s">
        <v>34</v>
      </c>
      <c r="I53" s="15" t="s">
        <v>31</v>
      </c>
      <c r="J53" s="16" t="s">
        <v>35</v>
      </c>
      <c r="K53" s="17" t="s">
        <v>20</v>
      </c>
      <c r="L53" s="17" t="s">
        <v>20</v>
      </c>
      <c r="M53" s="18" t="s">
        <v>20</v>
      </c>
      <c r="N53" s="18"/>
    </row>
    <row r="54" s="1" customFormat="1" ht="15.75" spans="1:14">
      <c r="A54" s="6" t="s">
        <v>113</v>
      </c>
      <c r="B54" s="7"/>
      <c r="C54" s="8" t="s">
        <v>58</v>
      </c>
      <c r="D54" s="6" t="s">
        <v>24</v>
      </c>
      <c r="E54" s="6"/>
      <c r="F54" s="9"/>
      <c r="G54" s="10">
        <v>2985</v>
      </c>
      <c r="H54" s="11" t="s">
        <v>127</v>
      </c>
      <c r="I54" s="15" t="s">
        <v>31</v>
      </c>
      <c r="J54" s="16" t="s">
        <v>62</v>
      </c>
      <c r="K54" s="17" t="s">
        <v>20</v>
      </c>
      <c r="L54" s="17" t="s">
        <v>20</v>
      </c>
      <c r="M54" s="18" t="s">
        <v>20</v>
      </c>
      <c r="N54" s="18"/>
    </row>
    <row r="55" s="1" customFormat="1" ht="15.75" spans="1:14">
      <c r="A55" s="6" t="s">
        <v>113</v>
      </c>
      <c r="B55" s="7"/>
      <c r="C55" s="8" t="s">
        <v>58</v>
      </c>
      <c r="D55" s="6" t="s">
        <v>24</v>
      </c>
      <c r="E55" s="6"/>
      <c r="F55" s="9"/>
      <c r="G55" s="10">
        <v>2970</v>
      </c>
      <c r="H55" s="11" t="s">
        <v>59</v>
      </c>
      <c r="I55" s="15" t="s">
        <v>31</v>
      </c>
      <c r="J55" s="16" t="s">
        <v>62</v>
      </c>
      <c r="K55" s="17" t="s">
        <v>20</v>
      </c>
      <c r="L55" s="17" t="s">
        <v>20</v>
      </c>
      <c r="M55" s="18" t="s">
        <v>20</v>
      </c>
      <c r="N55" s="18"/>
    </row>
    <row r="56" s="1" customFormat="1" ht="15.75" spans="1:14">
      <c r="A56" s="6" t="s">
        <v>113</v>
      </c>
      <c r="B56" s="7"/>
      <c r="C56" s="8" t="s">
        <v>63</v>
      </c>
      <c r="D56" s="6" t="s">
        <v>24</v>
      </c>
      <c r="E56" s="6"/>
      <c r="F56" s="9"/>
      <c r="G56" s="10">
        <v>500000</v>
      </c>
      <c r="H56" s="11" t="s">
        <v>83</v>
      </c>
      <c r="I56" s="15" t="s">
        <v>65</v>
      </c>
      <c r="J56" s="16" t="s">
        <v>66</v>
      </c>
      <c r="K56" s="17" t="s">
        <v>20</v>
      </c>
      <c r="L56" s="17" t="s">
        <v>20</v>
      </c>
      <c r="M56" s="18" t="s">
        <v>20</v>
      </c>
      <c r="N56" s="18"/>
    </row>
    <row r="57" s="1" customFormat="1" ht="15.75" spans="1:14">
      <c r="A57" s="6" t="s">
        <v>128</v>
      </c>
      <c r="B57" s="7"/>
      <c r="C57" s="8" t="s">
        <v>28</v>
      </c>
      <c r="D57" s="6" t="s">
        <v>129</v>
      </c>
      <c r="E57" s="6"/>
      <c r="F57" s="9"/>
      <c r="G57" s="10">
        <v>4081.49</v>
      </c>
      <c r="H57" s="11" t="s">
        <v>30</v>
      </c>
      <c r="I57" s="15" t="s">
        <v>31</v>
      </c>
      <c r="J57" s="16" t="s">
        <v>32</v>
      </c>
      <c r="K57" s="17" t="s">
        <v>20</v>
      </c>
      <c r="L57" s="17" t="s">
        <v>20</v>
      </c>
      <c r="M57" s="18" t="s">
        <v>20</v>
      </c>
      <c r="N57" s="18"/>
    </row>
    <row r="58" s="1" customFormat="1" ht="15.75" spans="1:14">
      <c r="A58" s="6" t="s">
        <v>128</v>
      </c>
      <c r="B58" s="7"/>
      <c r="C58" s="8" t="s">
        <v>28</v>
      </c>
      <c r="D58" s="6" t="s">
        <v>33</v>
      </c>
      <c r="E58" s="6"/>
      <c r="F58" s="9"/>
      <c r="G58" s="10">
        <v>26603.41</v>
      </c>
      <c r="H58" s="11" t="s">
        <v>34</v>
      </c>
      <c r="I58" s="15" t="s">
        <v>31</v>
      </c>
      <c r="J58" s="16" t="s">
        <v>35</v>
      </c>
      <c r="K58" s="17" t="s">
        <v>20</v>
      </c>
      <c r="L58" s="17" t="s">
        <v>20</v>
      </c>
      <c r="M58" s="18" t="s">
        <v>20</v>
      </c>
      <c r="N58" s="18"/>
    </row>
    <row r="59" s="1" customFormat="1" ht="15.75" spans="1:14">
      <c r="A59" s="6" t="s">
        <v>130</v>
      </c>
      <c r="B59" s="7"/>
      <c r="C59" s="8" t="s">
        <v>15</v>
      </c>
      <c r="D59" s="6" t="s">
        <v>131</v>
      </c>
      <c r="E59" s="6"/>
      <c r="F59" s="9">
        <v>-197.99</v>
      </c>
      <c r="G59" s="10"/>
      <c r="H59" s="11" t="s">
        <v>71</v>
      </c>
      <c r="I59" s="15" t="s">
        <v>18</v>
      </c>
      <c r="J59" s="16" t="s">
        <v>72</v>
      </c>
      <c r="K59" s="17" t="s">
        <v>73</v>
      </c>
      <c r="L59" s="17" t="s">
        <v>20</v>
      </c>
      <c r="M59" s="18">
        <v>45881</v>
      </c>
      <c r="N59" s="18" t="s">
        <v>20</v>
      </c>
    </row>
    <row r="60" s="1" customFormat="1" ht="15.75" spans="1:14">
      <c r="A60" s="6" t="s">
        <v>130</v>
      </c>
      <c r="B60" s="7"/>
      <c r="C60" s="8" t="s">
        <v>28</v>
      </c>
      <c r="D60" s="6" t="s">
        <v>132</v>
      </c>
      <c r="E60" s="6"/>
      <c r="F60" s="9"/>
      <c r="G60" s="10">
        <v>2535.11</v>
      </c>
      <c r="H60" s="11" t="s">
        <v>30</v>
      </c>
      <c r="I60" s="15" t="s">
        <v>31</v>
      </c>
      <c r="J60" s="16" t="s">
        <v>32</v>
      </c>
      <c r="K60" s="17" t="s">
        <v>20</v>
      </c>
      <c r="L60" s="17" t="s">
        <v>20</v>
      </c>
      <c r="M60" s="18" t="s">
        <v>20</v>
      </c>
      <c r="N60" s="18" t="s">
        <v>20</v>
      </c>
    </row>
    <row r="61" s="1" customFormat="1" ht="15.75" spans="1:14">
      <c r="A61" s="6" t="s">
        <v>130</v>
      </c>
      <c r="B61" s="7"/>
      <c r="C61" s="8" t="s">
        <v>28</v>
      </c>
      <c r="D61" s="6" t="s">
        <v>133</v>
      </c>
      <c r="E61" s="6"/>
      <c r="F61" s="9"/>
      <c r="G61" s="10">
        <v>2141.06</v>
      </c>
      <c r="H61" s="11" t="s">
        <v>30</v>
      </c>
      <c r="I61" s="15" t="s">
        <v>31</v>
      </c>
      <c r="J61" s="16" t="s">
        <v>32</v>
      </c>
      <c r="K61" s="17" t="s">
        <v>20</v>
      </c>
      <c r="L61" s="17" t="s">
        <v>20</v>
      </c>
      <c r="M61" s="18" t="s">
        <v>20</v>
      </c>
      <c r="N61" s="18" t="s">
        <v>20</v>
      </c>
    </row>
    <row r="62" s="1" customFormat="1" ht="15.75" spans="1:14">
      <c r="A62" s="6" t="s">
        <v>130</v>
      </c>
      <c r="B62" s="7"/>
      <c r="C62" s="8" t="s">
        <v>28</v>
      </c>
      <c r="D62" s="6" t="s">
        <v>134</v>
      </c>
      <c r="E62" s="6"/>
      <c r="F62" s="9"/>
      <c r="G62" s="10">
        <v>3555.25</v>
      </c>
      <c r="H62" s="11" t="s">
        <v>30</v>
      </c>
      <c r="I62" s="15" t="s">
        <v>31</v>
      </c>
      <c r="J62" s="16" t="s">
        <v>32</v>
      </c>
      <c r="K62" s="17" t="s">
        <v>20</v>
      </c>
      <c r="L62" s="17" t="s">
        <v>20</v>
      </c>
      <c r="M62" s="18" t="s">
        <v>20</v>
      </c>
      <c r="N62" s="18" t="s">
        <v>20</v>
      </c>
    </row>
    <row r="63" s="1" customFormat="1" ht="15.75" spans="1:14">
      <c r="A63" s="6" t="s">
        <v>130</v>
      </c>
      <c r="B63" s="7"/>
      <c r="C63" s="8" t="s">
        <v>28</v>
      </c>
      <c r="D63" s="6" t="s">
        <v>33</v>
      </c>
      <c r="E63" s="6"/>
      <c r="F63" s="9"/>
      <c r="G63" s="10">
        <v>108401.17</v>
      </c>
      <c r="H63" s="11" t="s">
        <v>34</v>
      </c>
      <c r="I63" s="15" t="s">
        <v>31</v>
      </c>
      <c r="J63" s="16" t="s">
        <v>35</v>
      </c>
      <c r="K63" s="17" t="s">
        <v>20</v>
      </c>
      <c r="L63" s="17" t="s">
        <v>20</v>
      </c>
      <c r="M63" s="18" t="s">
        <v>20</v>
      </c>
      <c r="N63" s="18" t="s">
        <v>20</v>
      </c>
    </row>
    <row r="64" s="1" customFormat="1" ht="15.75" spans="1:14">
      <c r="A64" s="6" t="s">
        <v>130</v>
      </c>
      <c r="B64" s="7"/>
      <c r="C64" s="8" t="s">
        <v>15</v>
      </c>
      <c r="D64" s="6" t="s">
        <v>135</v>
      </c>
      <c r="E64" s="6"/>
      <c r="F64" s="9">
        <v>-44.69</v>
      </c>
      <c r="G64" s="10"/>
      <c r="H64" s="11" t="s">
        <v>136</v>
      </c>
      <c r="I64" s="119" t="s">
        <v>38</v>
      </c>
      <c r="J64" s="120" t="s">
        <v>48</v>
      </c>
      <c r="K64" s="111"/>
      <c r="L64" s="111"/>
      <c r="M64" s="18">
        <v>45881</v>
      </c>
      <c r="N64" s="18" t="s">
        <v>20</v>
      </c>
    </row>
    <row r="65" s="1" customFormat="1" ht="15.75" spans="1:14">
      <c r="A65" s="6" t="s">
        <v>130</v>
      </c>
      <c r="B65" s="7"/>
      <c r="C65" s="8" t="s">
        <v>50</v>
      </c>
      <c r="D65" s="6" t="s">
        <v>24</v>
      </c>
      <c r="E65" s="6"/>
      <c r="F65" s="9">
        <v>-33764.82</v>
      </c>
      <c r="G65" s="10"/>
      <c r="H65" s="11" t="s">
        <v>51</v>
      </c>
      <c r="I65" s="15" t="s">
        <v>52</v>
      </c>
      <c r="J65" s="130" t="s">
        <v>137</v>
      </c>
      <c r="K65" s="132" t="s">
        <v>138</v>
      </c>
      <c r="L65" s="17" t="s">
        <v>20</v>
      </c>
      <c r="M65" s="18" t="s">
        <v>20</v>
      </c>
      <c r="N65" s="18" t="s">
        <v>20</v>
      </c>
    </row>
    <row r="66" s="1" customFormat="1" ht="15.75" spans="1:14">
      <c r="A66" s="6" t="s">
        <v>130</v>
      </c>
      <c r="B66" s="7"/>
      <c r="C66" s="8" t="s">
        <v>58</v>
      </c>
      <c r="D66" s="6" t="s">
        <v>24</v>
      </c>
      <c r="E66" s="6"/>
      <c r="F66" s="9"/>
      <c r="G66" s="10">
        <v>2390</v>
      </c>
      <c r="H66" s="11" t="s">
        <v>59</v>
      </c>
      <c r="I66" s="15" t="s">
        <v>31</v>
      </c>
      <c r="J66" s="16" t="s">
        <v>62</v>
      </c>
      <c r="K66" s="17" t="s">
        <v>20</v>
      </c>
      <c r="L66" s="17" t="s">
        <v>20</v>
      </c>
      <c r="M66" s="18" t="s">
        <v>20</v>
      </c>
      <c r="N66" s="18" t="s">
        <v>20</v>
      </c>
    </row>
    <row r="67" s="1" customFormat="1" ht="15.75" spans="1:14">
      <c r="A67" s="6" t="s">
        <v>130</v>
      </c>
      <c r="B67" s="7"/>
      <c r="C67" s="8" t="s">
        <v>58</v>
      </c>
      <c r="D67" s="6" t="s">
        <v>24</v>
      </c>
      <c r="E67" s="6"/>
      <c r="F67" s="9"/>
      <c r="G67" s="10">
        <v>2855</v>
      </c>
      <c r="H67" s="11" t="s">
        <v>59</v>
      </c>
      <c r="I67" s="15" t="s">
        <v>31</v>
      </c>
      <c r="J67" s="16" t="s">
        <v>62</v>
      </c>
      <c r="K67" s="17" t="s">
        <v>20</v>
      </c>
      <c r="L67" s="17" t="s">
        <v>20</v>
      </c>
      <c r="M67" s="18" t="s">
        <v>20</v>
      </c>
      <c r="N67" s="18" t="s">
        <v>20</v>
      </c>
    </row>
    <row r="68" s="1" customFormat="1" ht="15.75" spans="1:14">
      <c r="A68" s="6" t="s">
        <v>130</v>
      </c>
      <c r="B68" s="7"/>
      <c r="C68" s="8" t="s">
        <v>58</v>
      </c>
      <c r="D68" s="6" t="s">
        <v>24</v>
      </c>
      <c r="E68" s="6"/>
      <c r="F68" s="9"/>
      <c r="G68" s="10">
        <v>3330</v>
      </c>
      <c r="H68" s="11" t="s">
        <v>59</v>
      </c>
      <c r="I68" s="15" t="s">
        <v>31</v>
      </c>
      <c r="J68" s="16" t="s">
        <v>62</v>
      </c>
      <c r="K68" s="17" t="s">
        <v>20</v>
      </c>
      <c r="L68" s="17" t="s">
        <v>20</v>
      </c>
      <c r="M68" s="18" t="s">
        <v>20</v>
      </c>
      <c r="N68" s="18" t="s">
        <v>20</v>
      </c>
    </row>
    <row r="69" s="1" customFormat="1" ht="15.75" spans="1:14">
      <c r="A69" s="6" t="s">
        <v>130</v>
      </c>
      <c r="B69" s="7"/>
      <c r="C69" s="8" t="s">
        <v>28</v>
      </c>
      <c r="D69" s="6" t="s">
        <v>88</v>
      </c>
      <c r="E69" s="6"/>
      <c r="F69" s="9"/>
      <c r="G69" s="10">
        <v>6820.87</v>
      </c>
      <c r="H69" s="11" t="s">
        <v>30</v>
      </c>
      <c r="I69" s="15" t="s">
        <v>31</v>
      </c>
      <c r="J69" s="16" t="s">
        <v>32</v>
      </c>
      <c r="K69" s="17" t="s">
        <v>20</v>
      </c>
      <c r="L69" s="17" t="s">
        <v>20</v>
      </c>
      <c r="M69" s="18" t="s">
        <v>20</v>
      </c>
      <c r="N69" s="18" t="s">
        <v>20</v>
      </c>
    </row>
    <row r="70" s="1" customFormat="1" ht="15.75" spans="1:14">
      <c r="A70" s="6" t="s">
        <v>130</v>
      </c>
      <c r="B70" s="7"/>
      <c r="C70" s="8" t="s">
        <v>15</v>
      </c>
      <c r="D70" s="6" t="s">
        <v>24</v>
      </c>
      <c r="E70" s="6"/>
      <c r="F70" s="9">
        <v>-169547.5</v>
      </c>
      <c r="G70" s="10"/>
      <c r="H70" s="11" t="s">
        <v>139</v>
      </c>
      <c r="I70" s="15" t="s">
        <v>52</v>
      </c>
      <c r="J70" s="16" t="s">
        <v>140</v>
      </c>
      <c r="K70" s="17" t="s">
        <v>20</v>
      </c>
      <c r="L70" s="17" t="s">
        <v>20</v>
      </c>
      <c r="M70" s="18" t="s">
        <v>20</v>
      </c>
      <c r="N70" s="18" t="s">
        <v>20</v>
      </c>
    </row>
    <row r="71" s="1" customFormat="1" ht="15.75" spans="1:14">
      <c r="A71" s="6" t="s">
        <v>141</v>
      </c>
      <c r="B71" s="7"/>
      <c r="C71" s="8" t="s">
        <v>28</v>
      </c>
      <c r="D71" s="6" t="s">
        <v>24</v>
      </c>
      <c r="E71" s="6"/>
      <c r="F71" s="9"/>
      <c r="G71" s="10">
        <v>1277.65</v>
      </c>
      <c r="H71" s="11" t="s">
        <v>80</v>
      </c>
      <c r="I71" s="15" t="s">
        <v>31</v>
      </c>
      <c r="J71" s="16" t="s">
        <v>81</v>
      </c>
      <c r="K71" s="17"/>
      <c r="L71" s="17"/>
      <c r="M71" s="18"/>
      <c r="N71" s="18"/>
    </row>
    <row r="72" s="1" customFormat="1" ht="15.75" spans="1:14">
      <c r="A72" s="6" t="s">
        <v>141</v>
      </c>
      <c r="B72" s="7"/>
      <c r="C72" s="8" t="s">
        <v>28</v>
      </c>
      <c r="D72" s="6" t="s">
        <v>24</v>
      </c>
      <c r="E72" s="6"/>
      <c r="F72" s="9"/>
      <c r="G72" s="10">
        <v>2100.11</v>
      </c>
      <c r="H72" s="11" t="s">
        <v>80</v>
      </c>
      <c r="I72" s="15" t="s">
        <v>31</v>
      </c>
      <c r="J72" s="16" t="s">
        <v>81</v>
      </c>
      <c r="K72" s="17"/>
      <c r="L72" s="17"/>
      <c r="M72" s="18"/>
      <c r="N72" s="18"/>
    </row>
    <row r="73" s="1" customFormat="1" ht="15.75" spans="1:14">
      <c r="A73" s="6" t="s">
        <v>141</v>
      </c>
      <c r="B73" s="7"/>
      <c r="C73" s="8" t="s">
        <v>15</v>
      </c>
      <c r="D73" s="6" t="s">
        <v>24</v>
      </c>
      <c r="E73" s="6"/>
      <c r="F73" s="9">
        <v>-1725.37</v>
      </c>
      <c r="G73" s="10"/>
      <c r="H73" s="11" t="s">
        <v>96</v>
      </c>
      <c r="I73" s="119" t="s">
        <v>93</v>
      </c>
      <c r="J73" s="16" t="s">
        <v>97</v>
      </c>
      <c r="K73" s="17"/>
      <c r="L73" s="17" t="s">
        <v>142</v>
      </c>
      <c r="M73" s="18">
        <v>45881</v>
      </c>
      <c r="N73" s="18"/>
    </row>
    <row r="74" s="1" customFormat="1" ht="15.75" spans="1:14">
      <c r="A74" s="6" t="s">
        <v>141</v>
      </c>
      <c r="B74" s="7"/>
      <c r="C74" s="8" t="s">
        <v>63</v>
      </c>
      <c r="D74" s="6" t="s">
        <v>24</v>
      </c>
      <c r="E74" s="6"/>
      <c r="F74" s="9"/>
      <c r="G74" s="10">
        <v>600000</v>
      </c>
      <c r="H74" s="11" t="s">
        <v>83</v>
      </c>
      <c r="I74" s="15" t="s">
        <v>65</v>
      </c>
      <c r="J74" s="16" t="s">
        <v>143</v>
      </c>
      <c r="K74" s="17"/>
      <c r="L74" s="17"/>
      <c r="M74" s="18"/>
      <c r="N74" s="18"/>
    </row>
    <row r="75" s="1" customFormat="1" ht="15.75" spans="1:14">
      <c r="A75" s="6" t="s">
        <v>141</v>
      </c>
      <c r="B75" s="7"/>
      <c r="C75" s="8" t="s">
        <v>28</v>
      </c>
      <c r="D75" s="6" t="s">
        <v>24</v>
      </c>
      <c r="E75" s="6"/>
      <c r="F75" s="9"/>
      <c r="G75" s="10">
        <v>4830.87</v>
      </c>
      <c r="H75" s="11" t="s">
        <v>30</v>
      </c>
      <c r="I75" s="15" t="s">
        <v>31</v>
      </c>
      <c r="J75" s="16" t="s">
        <v>32</v>
      </c>
      <c r="K75" s="17"/>
      <c r="L75" s="17"/>
      <c r="M75" s="18"/>
      <c r="N75" s="18"/>
    </row>
    <row r="76" s="1" customFormat="1" ht="15.75" spans="1:14">
      <c r="A76" s="6" t="s">
        <v>141</v>
      </c>
      <c r="B76" s="7"/>
      <c r="C76" s="8" t="s">
        <v>28</v>
      </c>
      <c r="D76" s="6" t="s">
        <v>24</v>
      </c>
      <c r="E76" s="6"/>
      <c r="F76" s="9"/>
      <c r="G76" s="10">
        <v>27986.12</v>
      </c>
      <c r="H76" s="11" t="s">
        <v>34</v>
      </c>
      <c r="I76" s="15" t="s">
        <v>31</v>
      </c>
      <c r="J76" s="16" t="s">
        <v>35</v>
      </c>
      <c r="K76" s="17"/>
      <c r="L76" s="17"/>
      <c r="M76" s="18"/>
      <c r="N76" s="18"/>
    </row>
    <row r="77" s="1" customFormat="1" ht="15.75" spans="1:14">
      <c r="A77" s="6" t="s">
        <v>141</v>
      </c>
      <c r="B77" s="7"/>
      <c r="C77" s="8" t="s">
        <v>58</v>
      </c>
      <c r="D77" s="6" t="s">
        <v>24</v>
      </c>
      <c r="E77" s="6"/>
      <c r="F77" s="9"/>
      <c r="G77" s="10">
        <v>2575</v>
      </c>
      <c r="H77" s="11" t="s">
        <v>59</v>
      </c>
      <c r="I77" s="15" t="s">
        <v>31</v>
      </c>
      <c r="J77" s="16" t="s">
        <v>62</v>
      </c>
      <c r="K77" s="17"/>
      <c r="L77" s="17"/>
      <c r="M77" s="18"/>
      <c r="N77" s="18"/>
    </row>
    <row r="78" s="1" customFormat="1" ht="15.75" spans="1:14">
      <c r="A78" s="6" t="s">
        <v>144</v>
      </c>
      <c r="B78" s="7"/>
      <c r="C78" s="8" t="s">
        <v>28</v>
      </c>
      <c r="D78" s="6" t="s">
        <v>24</v>
      </c>
      <c r="E78" s="6"/>
      <c r="F78" s="9"/>
      <c r="G78" s="10">
        <v>417.12</v>
      </c>
      <c r="H78" s="11" t="s">
        <v>114</v>
      </c>
      <c r="I78" s="15" t="s">
        <v>31</v>
      </c>
      <c r="J78" s="16" t="s">
        <v>115</v>
      </c>
      <c r="K78" s="17"/>
      <c r="L78" s="17"/>
      <c r="M78" s="18"/>
      <c r="N78" s="18" t="s">
        <v>20</v>
      </c>
    </row>
    <row r="79" s="1" customFormat="1" ht="15.75" spans="1:14">
      <c r="A79" s="6" t="s">
        <v>144</v>
      </c>
      <c r="B79" s="7"/>
      <c r="C79" s="8" t="s">
        <v>28</v>
      </c>
      <c r="D79" s="6" t="s">
        <v>24</v>
      </c>
      <c r="E79" s="6"/>
      <c r="F79" s="9"/>
      <c r="G79" s="10">
        <v>1232.97</v>
      </c>
      <c r="H79" s="11" t="s">
        <v>114</v>
      </c>
      <c r="I79" s="15" t="s">
        <v>31</v>
      </c>
      <c r="J79" s="16" t="s">
        <v>115</v>
      </c>
      <c r="K79" s="17"/>
      <c r="L79" s="17"/>
      <c r="M79" s="18"/>
      <c r="N79" s="18" t="s">
        <v>20</v>
      </c>
    </row>
    <row r="80" s="1" customFormat="1" ht="15.75" spans="1:14">
      <c r="A80" s="6" t="s">
        <v>144</v>
      </c>
      <c r="B80" s="7"/>
      <c r="C80" s="8" t="s">
        <v>28</v>
      </c>
      <c r="D80" s="6" t="s">
        <v>24</v>
      </c>
      <c r="E80" s="6"/>
      <c r="F80" s="9"/>
      <c r="G80" s="10">
        <v>3527.79</v>
      </c>
      <c r="H80" s="11" t="s">
        <v>114</v>
      </c>
      <c r="I80" s="15" t="s">
        <v>31</v>
      </c>
      <c r="J80" s="16" t="s">
        <v>115</v>
      </c>
      <c r="K80" s="17"/>
      <c r="L80" s="17"/>
      <c r="M80" s="18"/>
      <c r="N80" s="18" t="s">
        <v>20</v>
      </c>
    </row>
    <row r="81" s="1" customFormat="1" ht="15.75" spans="1:14">
      <c r="A81" s="6" t="s">
        <v>144</v>
      </c>
      <c r="B81" s="7"/>
      <c r="C81" s="8" t="s">
        <v>15</v>
      </c>
      <c r="D81" s="6" t="s">
        <v>24</v>
      </c>
      <c r="E81" s="6"/>
      <c r="F81" s="9">
        <v>-478.61</v>
      </c>
      <c r="G81" s="10"/>
      <c r="H81" s="11" t="s">
        <v>104</v>
      </c>
      <c r="I81" s="15" t="s">
        <v>93</v>
      </c>
      <c r="J81" s="16" t="s">
        <v>105</v>
      </c>
      <c r="K81" s="17"/>
      <c r="L81" s="17" t="s">
        <v>145</v>
      </c>
      <c r="M81" s="18" t="s">
        <v>146</v>
      </c>
      <c r="N81" s="18" t="s">
        <v>20</v>
      </c>
    </row>
    <row r="82" s="1" customFormat="1" ht="15.75" spans="1:14">
      <c r="A82" s="6" t="s">
        <v>144</v>
      </c>
      <c r="B82" s="7"/>
      <c r="C82" s="8" t="s">
        <v>15</v>
      </c>
      <c r="D82" s="6" t="s">
        <v>24</v>
      </c>
      <c r="E82" s="6"/>
      <c r="F82" s="9">
        <v>-900000</v>
      </c>
      <c r="G82" s="10"/>
      <c r="H82" s="11" t="s">
        <v>147</v>
      </c>
      <c r="I82" s="15" t="s">
        <v>65</v>
      </c>
      <c r="J82" s="16" t="s">
        <v>78</v>
      </c>
      <c r="K82" s="17"/>
      <c r="L82" s="17"/>
      <c r="M82" s="18"/>
      <c r="N82" s="18" t="s">
        <v>20</v>
      </c>
    </row>
    <row r="83" s="1" customFormat="1" ht="15.75" spans="1:14">
      <c r="A83" s="6" t="s">
        <v>144</v>
      </c>
      <c r="B83" s="7"/>
      <c r="C83" s="8" t="s">
        <v>58</v>
      </c>
      <c r="D83" s="6" t="s">
        <v>24</v>
      </c>
      <c r="E83" s="6"/>
      <c r="F83" s="9"/>
      <c r="G83" s="10">
        <v>140</v>
      </c>
      <c r="H83" s="11" t="s">
        <v>59</v>
      </c>
      <c r="I83" s="15" t="s">
        <v>31</v>
      </c>
      <c r="J83" s="15" t="s">
        <v>148</v>
      </c>
      <c r="K83" s="17"/>
      <c r="L83" s="17"/>
      <c r="M83" s="18"/>
      <c r="N83" s="18" t="s">
        <v>20</v>
      </c>
    </row>
    <row r="84" s="1" customFormat="1" ht="15.75" spans="1:14">
      <c r="A84" s="6" t="s">
        <v>144</v>
      </c>
      <c r="B84" s="7"/>
      <c r="C84" s="8" t="s">
        <v>58</v>
      </c>
      <c r="D84" s="6" t="s">
        <v>24</v>
      </c>
      <c r="E84" s="6"/>
      <c r="F84" s="9"/>
      <c r="G84" s="10">
        <v>2310</v>
      </c>
      <c r="H84" s="11" t="s">
        <v>59</v>
      </c>
      <c r="I84" s="15" t="s">
        <v>31</v>
      </c>
      <c r="J84" s="16" t="s">
        <v>62</v>
      </c>
      <c r="K84" s="17"/>
      <c r="L84" s="17"/>
      <c r="M84" s="18"/>
      <c r="N84" s="18" t="s">
        <v>20</v>
      </c>
    </row>
    <row r="85" s="1" customFormat="1" ht="15.75" spans="1:14">
      <c r="A85" s="6" t="s">
        <v>144</v>
      </c>
      <c r="B85" s="7"/>
      <c r="C85" s="8" t="s">
        <v>28</v>
      </c>
      <c r="D85" s="6" t="s">
        <v>24</v>
      </c>
      <c r="E85" s="6"/>
      <c r="F85" s="9"/>
      <c r="G85" s="10">
        <v>34.27</v>
      </c>
      <c r="H85" s="11" t="s">
        <v>124</v>
      </c>
      <c r="I85" s="15" t="s">
        <v>31</v>
      </c>
      <c r="J85" s="16" t="s">
        <v>125</v>
      </c>
      <c r="K85" s="17"/>
      <c r="L85" s="17"/>
      <c r="M85" s="18"/>
      <c r="N85" s="18" t="s">
        <v>20</v>
      </c>
    </row>
    <row r="86" s="1" customFormat="1" ht="15.75" spans="1:14">
      <c r="A86" s="6" t="s">
        <v>144</v>
      </c>
      <c r="B86" s="7"/>
      <c r="C86" s="8" t="s">
        <v>28</v>
      </c>
      <c r="D86" s="6" t="s">
        <v>24</v>
      </c>
      <c r="E86" s="6"/>
      <c r="F86" s="9"/>
      <c r="G86" s="10">
        <v>3058.63</v>
      </c>
      <c r="H86" s="11" t="s">
        <v>30</v>
      </c>
      <c r="I86" s="15" t="s">
        <v>31</v>
      </c>
      <c r="J86" s="16" t="s">
        <v>32</v>
      </c>
      <c r="K86" s="17"/>
      <c r="L86" s="17"/>
      <c r="M86" s="18"/>
      <c r="N86" s="18" t="s">
        <v>20</v>
      </c>
    </row>
    <row r="87" s="1" customFormat="1" ht="15.75" spans="1:14">
      <c r="A87" s="6" t="s">
        <v>144</v>
      </c>
      <c r="B87" s="7"/>
      <c r="C87" s="8" t="s">
        <v>28</v>
      </c>
      <c r="D87" s="6" t="s">
        <v>24</v>
      </c>
      <c r="E87" s="6"/>
      <c r="F87" s="9"/>
      <c r="G87" s="10">
        <v>28268.21</v>
      </c>
      <c r="H87" s="11" t="s">
        <v>34</v>
      </c>
      <c r="I87" s="15" t="s">
        <v>31</v>
      </c>
      <c r="J87" s="16" t="s">
        <v>35</v>
      </c>
      <c r="K87" s="17"/>
      <c r="L87" s="17"/>
      <c r="M87" s="18"/>
      <c r="N87" s="18" t="s">
        <v>20</v>
      </c>
    </row>
    <row r="88" s="1" customFormat="1" ht="15.75" spans="1:14">
      <c r="A88" s="6" t="s">
        <v>149</v>
      </c>
      <c r="B88" s="7"/>
      <c r="C88" s="8" t="s">
        <v>28</v>
      </c>
      <c r="D88" s="6" t="s">
        <v>150</v>
      </c>
      <c r="E88" s="6"/>
      <c r="F88" s="9"/>
      <c r="G88" s="10">
        <v>192.99</v>
      </c>
      <c r="H88" s="11" t="s">
        <v>151</v>
      </c>
      <c r="I88" s="15" t="s">
        <v>31</v>
      </c>
      <c r="J88" s="16" t="s">
        <v>152</v>
      </c>
      <c r="K88" s="17"/>
      <c r="L88" s="17"/>
      <c r="M88" s="18"/>
      <c r="N88" s="18" t="s">
        <v>20</v>
      </c>
    </row>
    <row r="89" s="1" customFormat="1" ht="15.75" spans="1:14">
      <c r="A89" s="6" t="s">
        <v>149</v>
      </c>
      <c r="B89" s="7"/>
      <c r="C89" s="8" t="s">
        <v>28</v>
      </c>
      <c r="D89" s="6" t="s">
        <v>153</v>
      </c>
      <c r="E89" s="6"/>
      <c r="F89" s="9"/>
      <c r="G89" s="10">
        <v>3937.95</v>
      </c>
      <c r="H89" s="11" t="s">
        <v>30</v>
      </c>
      <c r="I89" s="15" t="s">
        <v>31</v>
      </c>
      <c r="J89" s="16" t="s">
        <v>32</v>
      </c>
      <c r="K89" s="17"/>
      <c r="L89" s="17"/>
      <c r="M89" s="18"/>
      <c r="N89" s="18" t="s">
        <v>20</v>
      </c>
    </row>
    <row r="90" s="1" customFormat="1" ht="15.75" spans="1:14">
      <c r="A90" s="6" t="s">
        <v>149</v>
      </c>
      <c r="B90" s="7"/>
      <c r="C90" s="8" t="s">
        <v>28</v>
      </c>
      <c r="D90" s="6" t="s">
        <v>33</v>
      </c>
      <c r="E90" s="6"/>
      <c r="F90" s="9"/>
      <c r="G90" s="10">
        <v>26520.76</v>
      </c>
      <c r="H90" s="11" t="s">
        <v>34</v>
      </c>
      <c r="I90" s="15" t="s">
        <v>31</v>
      </c>
      <c r="J90" s="16" t="s">
        <v>35</v>
      </c>
      <c r="K90" s="17"/>
      <c r="L90" s="17"/>
      <c r="M90" s="18"/>
      <c r="N90" s="18" t="s">
        <v>20</v>
      </c>
    </row>
    <row r="91" s="1" customFormat="1" ht="15.75" spans="1:14">
      <c r="A91" s="6" t="s">
        <v>149</v>
      </c>
      <c r="B91" s="7"/>
      <c r="C91" s="8" t="s">
        <v>58</v>
      </c>
      <c r="D91" s="6" t="s">
        <v>24</v>
      </c>
      <c r="E91" s="6"/>
      <c r="F91" s="9"/>
      <c r="G91" s="10">
        <v>3585</v>
      </c>
      <c r="H91" s="11" t="s">
        <v>59</v>
      </c>
      <c r="I91" s="15" t="s">
        <v>31</v>
      </c>
      <c r="J91" s="16" t="s">
        <v>62</v>
      </c>
      <c r="K91" s="17"/>
      <c r="L91" s="17"/>
      <c r="M91" s="18"/>
      <c r="N91" s="18" t="s">
        <v>20</v>
      </c>
    </row>
    <row r="92" s="1" customFormat="1" ht="15.75" spans="1:14">
      <c r="A92" s="6" t="s">
        <v>149</v>
      </c>
      <c r="B92" s="7"/>
      <c r="C92" s="8" t="s">
        <v>63</v>
      </c>
      <c r="D92" s="6" t="s">
        <v>24</v>
      </c>
      <c r="E92" s="6"/>
      <c r="F92" s="9"/>
      <c r="G92" s="10">
        <v>300000</v>
      </c>
      <c r="H92" s="11" t="s">
        <v>67</v>
      </c>
      <c r="I92" s="15" t="s">
        <v>65</v>
      </c>
      <c r="J92" s="16" t="s">
        <v>154</v>
      </c>
      <c r="K92" s="17"/>
      <c r="L92" s="17"/>
      <c r="M92" s="18"/>
      <c r="N92" s="18" t="s">
        <v>20</v>
      </c>
    </row>
    <row r="93" s="1" customFormat="1" ht="15.75" spans="1:14">
      <c r="A93" s="6" t="s">
        <v>149</v>
      </c>
      <c r="B93" s="7"/>
      <c r="C93" s="8" t="s">
        <v>63</v>
      </c>
      <c r="D93" s="6" t="s">
        <v>24</v>
      </c>
      <c r="E93" s="6"/>
      <c r="F93" s="9"/>
      <c r="G93" s="10">
        <v>900000</v>
      </c>
      <c r="H93" s="11" t="s">
        <v>155</v>
      </c>
      <c r="I93" s="15" t="s">
        <v>65</v>
      </c>
      <c r="J93" s="16" t="s">
        <v>156</v>
      </c>
      <c r="K93" s="17"/>
      <c r="L93" s="17"/>
      <c r="M93" s="18"/>
      <c r="N93" s="18" t="s">
        <v>20</v>
      </c>
    </row>
    <row r="94" s="1" customFormat="1" ht="15.75" spans="1:14">
      <c r="A94" s="6" t="s">
        <v>149</v>
      </c>
      <c r="B94" s="7"/>
      <c r="C94" s="8" t="s">
        <v>63</v>
      </c>
      <c r="D94" s="6" t="s">
        <v>24</v>
      </c>
      <c r="E94" s="6"/>
      <c r="F94" s="9"/>
      <c r="G94" s="10">
        <v>200000</v>
      </c>
      <c r="H94" s="11" t="s">
        <v>64</v>
      </c>
      <c r="I94" s="15" t="s">
        <v>65</v>
      </c>
      <c r="J94" s="16" t="s">
        <v>157</v>
      </c>
      <c r="K94" s="17"/>
      <c r="L94" s="17"/>
      <c r="M94" s="18"/>
      <c r="N94" s="18" t="s">
        <v>20</v>
      </c>
    </row>
    <row r="95" s="1" customFormat="1" ht="15.75" spans="1:14">
      <c r="A95" s="6" t="s">
        <v>158</v>
      </c>
      <c r="B95" s="7"/>
      <c r="C95" s="8" t="s">
        <v>15</v>
      </c>
      <c r="D95" s="6" t="s">
        <v>159</v>
      </c>
      <c r="E95" s="6"/>
      <c r="F95" s="9">
        <v>-259.3</v>
      </c>
      <c r="G95" s="10"/>
      <c r="H95" s="11" t="s">
        <v>160</v>
      </c>
      <c r="I95" s="15" t="s">
        <v>161</v>
      </c>
      <c r="J95" s="16" t="s">
        <v>162</v>
      </c>
      <c r="K95" s="17" t="s">
        <v>20</v>
      </c>
      <c r="L95" s="17" t="s">
        <v>20</v>
      </c>
      <c r="M95" s="18">
        <v>45888</v>
      </c>
      <c r="N95" s="18" t="s">
        <v>20</v>
      </c>
    </row>
    <row r="96" s="1" customFormat="1" ht="15.75" spans="1:14">
      <c r="A96" s="6" t="s">
        <v>158</v>
      </c>
      <c r="B96" s="7"/>
      <c r="C96" s="8" t="s">
        <v>28</v>
      </c>
      <c r="D96" s="6" t="s">
        <v>163</v>
      </c>
      <c r="E96" s="6"/>
      <c r="F96" s="9"/>
      <c r="G96" s="10">
        <v>4475.35</v>
      </c>
      <c r="H96" s="11" t="s">
        <v>30</v>
      </c>
      <c r="I96" s="15" t="s">
        <v>31</v>
      </c>
      <c r="J96" s="16" t="s">
        <v>32</v>
      </c>
      <c r="K96" s="17"/>
      <c r="L96" s="17"/>
      <c r="M96" s="18"/>
      <c r="N96" s="18" t="s">
        <v>20</v>
      </c>
    </row>
    <row r="97" s="1" customFormat="1" ht="15.75" spans="1:14">
      <c r="A97" s="6" t="s">
        <v>158</v>
      </c>
      <c r="B97" s="7"/>
      <c r="C97" s="8" t="s">
        <v>28</v>
      </c>
      <c r="D97" s="6" t="s">
        <v>33</v>
      </c>
      <c r="E97" s="6"/>
      <c r="F97" s="9"/>
      <c r="G97" s="10">
        <v>28907.44</v>
      </c>
      <c r="H97" s="11" t="s">
        <v>34</v>
      </c>
      <c r="I97" s="15" t="s">
        <v>31</v>
      </c>
      <c r="J97" s="16" t="s">
        <v>35</v>
      </c>
      <c r="K97" s="17"/>
      <c r="L97" s="17"/>
      <c r="M97" s="18"/>
      <c r="N97" s="18" t="s">
        <v>20</v>
      </c>
    </row>
    <row r="98" s="1" customFormat="1" ht="15.75" spans="1:14">
      <c r="A98" s="6" t="s">
        <v>158</v>
      </c>
      <c r="B98" s="7"/>
      <c r="C98" s="8" t="s">
        <v>15</v>
      </c>
      <c r="D98" s="6" t="s">
        <v>24</v>
      </c>
      <c r="E98" s="6"/>
      <c r="F98" s="9">
        <v>-900000</v>
      </c>
      <c r="G98" s="10"/>
      <c r="H98" s="11" t="s">
        <v>164</v>
      </c>
      <c r="I98" s="15" t="s">
        <v>65</v>
      </c>
      <c r="J98" s="16" t="s">
        <v>165</v>
      </c>
      <c r="K98" s="17"/>
      <c r="L98" s="17"/>
      <c r="M98" s="18"/>
      <c r="N98" s="18"/>
    </row>
    <row r="99" s="1" customFormat="1" ht="15.75" spans="1:14">
      <c r="A99" s="6" t="s">
        <v>166</v>
      </c>
      <c r="B99" s="7"/>
      <c r="C99" s="8" t="s">
        <v>50</v>
      </c>
      <c r="D99" s="6" t="s">
        <v>24</v>
      </c>
      <c r="E99" s="6"/>
      <c r="F99" s="9">
        <v>-38465.36</v>
      </c>
      <c r="G99" s="10"/>
      <c r="H99" s="15" t="s">
        <v>51</v>
      </c>
      <c r="I99" s="15" t="s">
        <v>52</v>
      </c>
      <c r="J99" s="16" t="s">
        <v>167</v>
      </c>
      <c r="K99" s="132" t="s">
        <v>168</v>
      </c>
      <c r="L99" s="17"/>
      <c r="M99" s="18"/>
      <c r="N99" s="18" t="s">
        <v>20</v>
      </c>
    </row>
    <row r="100" s="1" customFormat="1" ht="15.75" spans="1:14">
      <c r="A100" s="6" t="s">
        <v>166</v>
      </c>
      <c r="B100" s="7"/>
      <c r="C100" s="8" t="s">
        <v>58</v>
      </c>
      <c r="D100" s="6" t="s">
        <v>24</v>
      </c>
      <c r="E100" s="6"/>
      <c r="F100" s="9"/>
      <c r="G100" s="10">
        <v>1780</v>
      </c>
      <c r="H100" s="15" t="s">
        <v>127</v>
      </c>
      <c r="I100" s="15" t="s">
        <v>52</v>
      </c>
      <c r="J100" s="16" t="s">
        <v>169</v>
      </c>
      <c r="K100" s="17"/>
      <c r="L100" s="17"/>
      <c r="M100" s="18"/>
      <c r="N100" s="18" t="s">
        <v>20</v>
      </c>
    </row>
    <row r="101" s="1" customFormat="1" ht="15.75" spans="1:14">
      <c r="A101" s="6" t="s">
        <v>166</v>
      </c>
      <c r="B101" s="7"/>
      <c r="C101" s="8" t="s">
        <v>58</v>
      </c>
      <c r="D101" s="6" t="s">
        <v>24</v>
      </c>
      <c r="E101" s="6"/>
      <c r="F101" s="9"/>
      <c r="G101" s="10">
        <v>3405</v>
      </c>
      <c r="H101" s="15" t="s">
        <v>127</v>
      </c>
      <c r="I101" s="15" t="s">
        <v>31</v>
      </c>
      <c r="J101" s="16" t="s">
        <v>62</v>
      </c>
      <c r="K101" s="17"/>
      <c r="L101" s="17"/>
      <c r="M101" s="18"/>
      <c r="N101" s="18" t="s">
        <v>20</v>
      </c>
    </row>
    <row r="102" s="1" customFormat="1" ht="15.75" spans="1:14">
      <c r="A102" s="6" t="s">
        <v>166</v>
      </c>
      <c r="B102" s="7"/>
      <c r="C102" s="8" t="s">
        <v>15</v>
      </c>
      <c r="D102" s="6" t="s">
        <v>24</v>
      </c>
      <c r="E102" s="6"/>
      <c r="F102" s="9">
        <v>-445.31</v>
      </c>
      <c r="G102" s="10"/>
      <c r="H102" s="15" t="s">
        <v>92</v>
      </c>
      <c r="I102" s="15" t="s">
        <v>93</v>
      </c>
      <c r="J102" s="16" t="s">
        <v>94</v>
      </c>
      <c r="K102" s="17" t="s">
        <v>20</v>
      </c>
      <c r="L102" s="17" t="s">
        <v>170</v>
      </c>
      <c r="M102" s="18">
        <v>45888</v>
      </c>
      <c r="N102" s="18" t="s">
        <v>20</v>
      </c>
    </row>
    <row r="103" s="1" customFormat="1" ht="15.75" spans="1:14">
      <c r="A103" s="6" t="s">
        <v>166</v>
      </c>
      <c r="B103" s="7"/>
      <c r="C103" s="8" t="s">
        <v>15</v>
      </c>
      <c r="D103" s="6" t="s">
        <v>24</v>
      </c>
      <c r="E103" s="6"/>
      <c r="F103" s="9">
        <v>-518.85</v>
      </c>
      <c r="G103" s="10"/>
      <c r="H103" s="15" t="s">
        <v>96</v>
      </c>
      <c r="I103" s="119" t="s">
        <v>93</v>
      </c>
      <c r="J103" s="16" t="s">
        <v>97</v>
      </c>
      <c r="K103" s="17"/>
      <c r="L103" s="17" t="s">
        <v>171</v>
      </c>
      <c r="M103" s="18">
        <v>45888</v>
      </c>
      <c r="N103" s="18" t="s">
        <v>20</v>
      </c>
    </row>
    <row r="104" s="1" customFormat="1" ht="15.75" spans="1:14">
      <c r="A104" s="6" t="s">
        <v>166</v>
      </c>
      <c r="B104" s="7"/>
      <c r="C104" s="8" t="s">
        <v>15</v>
      </c>
      <c r="D104" s="6" t="s">
        <v>24</v>
      </c>
      <c r="E104" s="6"/>
      <c r="F104" s="9">
        <v>-40684.83</v>
      </c>
      <c r="G104" s="10"/>
      <c r="H104" s="15" t="s">
        <v>172</v>
      </c>
      <c r="I104" s="15" t="s">
        <v>173</v>
      </c>
      <c r="J104" s="16" t="s">
        <v>174</v>
      </c>
      <c r="K104" s="17" t="s">
        <v>175</v>
      </c>
      <c r="L104" s="17"/>
      <c r="M104" s="18"/>
      <c r="N104" s="18" t="s">
        <v>20</v>
      </c>
    </row>
    <row r="105" s="1" customFormat="1" ht="15.75" spans="1:14">
      <c r="A105" s="6" t="s">
        <v>166</v>
      </c>
      <c r="B105" s="7"/>
      <c r="C105" s="8" t="s">
        <v>28</v>
      </c>
      <c r="D105" s="6" t="s">
        <v>24</v>
      </c>
      <c r="E105" s="6"/>
      <c r="F105" s="9"/>
      <c r="G105" s="10">
        <v>4505.21</v>
      </c>
      <c r="H105" s="15" t="s">
        <v>30</v>
      </c>
      <c r="I105" s="15" t="s">
        <v>31</v>
      </c>
      <c r="J105" s="16" t="s">
        <v>32</v>
      </c>
      <c r="K105" s="17"/>
      <c r="L105" s="17"/>
      <c r="M105" s="18"/>
      <c r="N105" s="18" t="s">
        <v>20</v>
      </c>
    </row>
    <row r="106" s="1" customFormat="1" ht="15.75" spans="1:14">
      <c r="A106" s="6" t="s">
        <v>166</v>
      </c>
      <c r="B106" s="7"/>
      <c r="C106" s="8" t="s">
        <v>28</v>
      </c>
      <c r="D106" s="6" t="s">
        <v>24</v>
      </c>
      <c r="E106" s="6"/>
      <c r="F106" s="9"/>
      <c r="G106" s="10">
        <v>3193.79</v>
      </c>
      <c r="H106" s="15" t="s">
        <v>30</v>
      </c>
      <c r="I106" s="15" t="s">
        <v>31</v>
      </c>
      <c r="J106" s="16" t="s">
        <v>32</v>
      </c>
      <c r="K106" s="17"/>
      <c r="L106" s="17"/>
      <c r="M106" s="18"/>
      <c r="N106" s="18" t="s">
        <v>20</v>
      </c>
    </row>
    <row r="107" s="1" customFormat="1" ht="15.75" spans="1:14">
      <c r="A107" s="6" t="s">
        <v>166</v>
      </c>
      <c r="B107" s="7"/>
      <c r="C107" s="8" t="s">
        <v>28</v>
      </c>
      <c r="D107" s="6" t="s">
        <v>24</v>
      </c>
      <c r="E107" s="6"/>
      <c r="F107" s="9"/>
      <c r="G107" s="10">
        <v>6112.34</v>
      </c>
      <c r="H107" s="15" t="s">
        <v>30</v>
      </c>
      <c r="I107" s="15" t="s">
        <v>31</v>
      </c>
      <c r="J107" s="16" t="s">
        <v>32</v>
      </c>
      <c r="K107" s="17"/>
      <c r="L107" s="17"/>
      <c r="M107" s="18"/>
      <c r="N107" s="18" t="s">
        <v>20</v>
      </c>
    </row>
    <row r="108" s="1" customFormat="1" ht="15.75" spans="1:14">
      <c r="A108" s="6" t="s">
        <v>166</v>
      </c>
      <c r="B108" s="7"/>
      <c r="C108" s="8" t="s">
        <v>28</v>
      </c>
      <c r="D108" s="6" t="s">
        <v>24</v>
      </c>
      <c r="E108" s="6"/>
      <c r="F108" s="9"/>
      <c r="G108" s="10">
        <v>125666.96</v>
      </c>
      <c r="H108" s="15" t="s">
        <v>34</v>
      </c>
      <c r="I108" s="15" t="s">
        <v>31</v>
      </c>
      <c r="J108" s="16" t="s">
        <v>35</v>
      </c>
      <c r="K108" s="17"/>
      <c r="L108" s="17"/>
      <c r="M108" s="18"/>
      <c r="N108" s="18" t="s">
        <v>20</v>
      </c>
    </row>
    <row r="109" s="1" customFormat="1" ht="15.75" spans="1:14">
      <c r="A109" s="6" t="s">
        <v>166</v>
      </c>
      <c r="B109" s="7"/>
      <c r="C109" s="8" t="s">
        <v>15</v>
      </c>
      <c r="D109" s="6" t="s">
        <v>24</v>
      </c>
      <c r="E109" s="6"/>
      <c r="F109" s="9">
        <v>-296.8</v>
      </c>
      <c r="G109" s="10"/>
      <c r="H109" s="15" t="s">
        <v>47</v>
      </c>
      <c r="I109" s="1" t="s">
        <v>38</v>
      </c>
      <c r="J109" s="16" t="s">
        <v>48</v>
      </c>
      <c r="K109" s="17" t="s">
        <v>20</v>
      </c>
      <c r="L109" s="17" t="s">
        <v>21</v>
      </c>
      <c r="M109" s="18">
        <v>45888</v>
      </c>
      <c r="N109" s="18" t="s">
        <v>20</v>
      </c>
    </row>
    <row r="110" s="1" customFormat="1" ht="15.75" spans="1:14">
      <c r="A110" s="6" t="s">
        <v>166</v>
      </c>
      <c r="B110" s="7"/>
      <c r="C110" s="8" t="s">
        <v>58</v>
      </c>
      <c r="D110" s="6" t="s">
        <v>24</v>
      </c>
      <c r="E110" s="6"/>
      <c r="F110" s="9"/>
      <c r="G110" s="10">
        <v>2555</v>
      </c>
      <c r="H110" s="15" t="s">
        <v>59</v>
      </c>
      <c r="I110" s="15" t="s">
        <v>31</v>
      </c>
      <c r="J110" s="16" t="s">
        <v>62</v>
      </c>
      <c r="K110" s="17"/>
      <c r="L110" s="17"/>
      <c r="M110" s="18"/>
      <c r="N110" s="18" t="s">
        <v>20</v>
      </c>
    </row>
    <row r="111" s="1" customFormat="1" ht="15.75" spans="1:14">
      <c r="A111" s="6" t="s">
        <v>166</v>
      </c>
      <c r="B111" s="7"/>
      <c r="C111" s="8" t="s">
        <v>58</v>
      </c>
      <c r="D111" s="6" t="s">
        <v>24</v>
      </c>
      <c r="E111" s="6"/>
      <c r="F111" s="9"/>
      <c r="G111" s="10">
        <v>3085</v>
      </c>
      <c r="H111" s="15" t="s">
        <v>59</v>
      </c>
      <c r="I111" s="15" t="s">
        <v>31</v>
      </c>
      <c r="J111" s="16" t="s">
        <v>62</v>
      </c>
      <c r="K111" s="17"/>
      <c r="L111" s="17"/>
      <c r="M111" s="18"/>
      <c r="N111" s="18" t="s">
        <v>20</v>
      </c>
    </row>
    <row r="112" s="1" customFormat="1" ht="15.75" spans="1:14">
      <c r="A112" s="6" t="s">
        <v>166</v>
      </c>
      <c r="B112" s="7"/>
      <c r="C112" s="8" t="s">
        <v>58</v>
      </c>
      <c r="D112" s="6" t="s">
        <v>24</v>
      </c>
      <c r="E112" s="6"/>
      <c r="F112" s="9"/>
      <c r="G112" s="10">
        <v>3485</v>
      </c>
      <c r="H112" s="15" t="s">
        <v>59</v>
      </c>
      <c r="I112" s="15" t="s">
        <v>31</v>
      </c>
      <c r="J112" s="16" t="s">
        <v>62</v>
      </c>
      <c r="K112" s="17"/>
      <c r="L112" s="17"/>
      <c r="M112" s="18"/>
      <c r="N112" s="18" t="s">
        <v>20</v>
      </c>
    </row>
    <row r="113" s="1" customFormat="1" ht="15.75" spans="1:14">
      <c r="A113" s="6" t="s">
        <v>166</v>
      </c>
      <c r="B113" s="7"/>
      <c r="C113" s="8" t="s">
        <v>28</v>
      </c>
      <c r="D113" s="6" t="s">
        <v>24</v>
      </c>
      <c r="E113" s="6"/>
      <c r="F113" s="9"/>
      <c r="G113" s="10">
        <v>4210.45</v>
      </c>
      <c r="H113" s="15" t="s">
        <v>30</v>
      </c>
      <c r="I113" s="15" t="s">
        <v>31</v>
      </c>
      <c r="J113" s="16" t="s">
        <v>32</v>
      </c>
      <c r="K113" s="17"/>
      <c r="L113" s="17"/>
      <c r="M113" s="18"/>
      <c r="N113" s="18"/>
    </row>
    <row r="114" s="1" customFormat="1" ht="15.75" spans="1:14">
      <c r="A114" s="6" t="s">
        <v>176</v>
      </c>
      <c r="B114" s="7"/>
      <c r="C114" s="8" t="s">
        <v>28</v>
      </c>
      <c r="D114" s="6" t="s">
        <v>24</v>
      </c>
      <c r="E114" s="6"/>
      <c r="F114" s="9"/>
      <c r="G114" s="10">
        <v>1209.87</v>
      </c>
      <c r="H114" s="15" t="s">
        <v>80</v>
      </c>
      <c r="I114" s="15" t="s">
        <v>31</v>
      </c>
      <c r="J114" s="16" t="s">
        <v>81</v>
      </c>
      <c r="K114" s="17"/>
      <c r="L114" s="17"/>
      <c r="M114" s="18"/>
      <c r="N114" s="18" t="s">
        <v>20</v>
      </c>
    </row>
    <row r="115" s="1" customFormat="1" ht="15.75" spans="1:14">
      <c r="A115" s="6" t="s">
        <v>176</v>
      </c>
      <c r="B115" s="7"/>
      <c r="C115" s="8" t="s">
        <v>28</v>
      </c>
      <c r="D115" s="6" t="s">
        <v>24</v>
      </c>
      <c r="E115" s="6"/>
      <c r="F115" s="9"/>
      <c r="G115" s="10">
        <v>2734.4</v>
      </c>
      <c r="H115" s="15" t="s">
        <v>80</v>
      </c>
      <c r="I115" s="15" t="s">
        <v>31</v>
      </c>
      <c r="J115" s="16" t="s">
        <v>81</v>
      </c>
      <c r="K115" s="17"/>
      <c r="L115" s="17"/>
      <c r="M115" s="18"/>
      <c r="N115" s="18" t="s">
        <v>20</v>
      </c>
    </row>
    <row r="116" s="1" customFormat="1" ht="15.75" spans="1:14">
      <c r="A116" s="6" t="s">
        <v>176</v>
      </c>
      <c r="B116" s="7"/>
      <c r="C116" s="8" t="s">
        <v>15</v>
      </c>
      <c r="D116" s="6" t="s">
        <v>24</v>
      </c>
      <c r="E116" s="6"/>
      <c r="F116" s="9">
        <v>-38.2</v>
      </c>
      <c r="G116" s="10"/>
      <c r="H116" s="15" t="s">
        <v>96</v>
      </c>
      <c r="I116" s="119" t="s">
        <v>93</v>
      </c>
      <c r="J116" s="16" t="s">
        <v>97</v>
      </c>
      <c r="K116" s="17"/>
      <c r="L116" s="17" t="s">
        <v>177</v>
      </c>
      <c r="M116" s="18">
        <v>45888</v>
      </c>
      <c r="N116" s="18" t="s">
        <v>20</v>
      </c>
    </row>
    <row r="117" s="1" customFormat="1" ht="15.75" spans="1:14">
      <c r="A117" s="6" t="s">
        <v>176</v>
      </c>
      <c r="B117" s="7"/>
      <c r="C117" s="8" t="s">
        <v>15</v>
      </c>
      <c r="D117" s="6" t="s">
        <v>24</v>
      </c>
      <c r="E117" s="6"/>
      <c r="F117" s="9">
        <v>-5726.78</v>
      </c>
      <c r="G117" s="10"/>
      <c r="H117" s="15" t="s">
        <v>178</v>
      </c>
      <c r="I117" s="1" t="s">
        <v>179</v>
      </c>
      <c r="J117" s="16" t="s">
        <v>180</v>
      </c>
      <c r="K117" s="132" t="s">
        <v>181</v>
      </c>
      <c r="L117" s="17"/>
      <c r="M117" s="18">
        <v>45888</v>
      </c>
      <c r="N117" s="18" t="s">
        <v>20</v>
      </c>
    </row>
    <row r="118" s="1" customFormat="1" ht="15.75" spans="1:14">
      <c r="A118" s="6" t="s">
        <v>176</v>
      </c>
      <c r="B118" s="7"/>
      <c r="C118" s="8" t="s">
        <v>28</v>
      </c>
      <c r="D118" s="6" t="s">
        <v>24</v>
      </c>
      <c r="E118" s="6"/>
      <c r="F118" s="9"/>
      <c r="G118" s="10">
        <v>6333.62</v>
      </c>
      <c r="H118" s="15" t="s">
        <v>30</v>
      </c>
      <c r="I118" s="1" t="s">
        <v>31</v>
      </c>
      <c r="J118" s="16" t="s">
        <v>32</v>
      </c>
      <c r="K118" s="17"/>
      <c r="L118" s="17"/>
      <c r="M118" s="18"/>
      <c r="N118" s="18" t="s">
        <v>20</v>
      </c>
    </row>
    <row r="119" s="1" customFormat="1" ht="15.75" spans="1:14">
      <c r="A119" s="6" t="s">
        <v>176</v>
      </c>
      <c r="B119" s="7"/>
      <c r="C119" s="8" t="s">
        <v>28</v>
      </c>
      <c r="D119" s="6" t="s">
        <v>24</v>
      </c>
      <c r="E119" s="6"/>
      <c r="F119" s="9"/>
      <c r="G119" s="10">
        <v>31131.05</v>
      </c>
      <c r="H119" s="15" t="s">
        <v>34</v>
      </c>
      <c r="I119" s="1" t="s">
        <v>31</v>
      </c>
      <c r="J119" s="16" t="s">
        <v>35</v>
      </c>
      <c r="K119" s="17"/>
      <c r="L119" s="17"/>
      <c r="M119" s="18"/>
      <c r="N119" s="18" t="s">
        <v>20</v>
      </c>
    </row>
    <row r="120" s="1" customFormat="1" ht="15.75" spans="1:14">
      <c r="A120" s="6" t="s">
        <v>176</v>
      </c>
      <c r="B120" s="7"/>
      <c r="C120" s="8" t="s">
        <v>58</v>
      </c>
      <c r="D120" s="6" t="s">
        <v>24</v>
      </c>
      <c r="E120" s="6"/>
      <c r="F120" s="9"/>
      <c r="G120" s="10">
        <v>4475</v>
      </c>
      <c r="H120" s="15" t="s">
        <v>59</v>
      </c>
      <c r="I120" s="1" t="s">
        <v>31</v>
      </c>
      <c r="J120" s="16" t="s">
        <v>62</v>
      </c>
      <c r="K120" s="17"/>
      <c r="L120" s="17"/>
      <c r="M120" s="18"/>
      <c r="N120" s="18" t="s">
        <v>20</v>
      </c>
    </row>
    <row r="121" s="1" customFormat="1" ht="15.75" spans="1:14">
      <c r="A121" s="129" t="s">
        <v>182</v>
      </c>
      <c r="B121" s="7"/>
      <c r="C121" s="8" t="s">
        <v>28</v>
      </c>
      <c r="D121" s="6" t="s">
        <v>24</v>
      </c>
      <c r="E121" s="6"/>
      <c r="F121" s="9"/>
      <c r="G121" s="10">
        <v>69.52</v>
      </c>
      <c r="H121" s="11" t="s">
        <v>114</v>
      </c>
      <c r="I121" s="15" t="s">
        <v>31</v>
      </c>
      <c r="J121" s="16" t="s">
        <v>115</v>
      </c>
      <c r="K121" s="17"/>
      <c r="L121" s="17"/>
      <c r="M121" s="18"/>
      <c r="N121" s="18" t="s">
        <v>20</v>
      </c>
    </row>
    <row r="122" s="1" customFormat="1" ht="15.75" spans="1:14">
      <c r="A122" s="6" t="s">
        <v>182</v>
      </c>
      <c r="B122" s="7"/>
      <c r="C122" s="8" t="s">
        <v>28</v>
      </c>
      <c r="D122" s="6" t="s">
        <v>24</v>
      </c>
      <c r="E122" s="6"/>
      <c r="F122" s="9"/>
      <c r="G122" s="10">
        <v>2205.79</v>
      </c>
      <c r="H122" s="11" t="s">
        <v>114</v>
      </c>
      <c r="I122" s="15" t="s">
        <v>31</v>
      </c>
      <c r="J122" s="16" t="s">
        <v>115</v>
      </c>
      <c r="K122" s="17"/>
      <c r="L122" s="17"/>
      <c r="M122" s="18"/>
      <c r="N122" s="18" t="s">
        <v>20</v>
      </c>
    </row>
    <row r="123" s="1" customFormat="1" ht="15.75" spans="1:14">
      <c r="A123" s="6" t="s">
        <v>182</v>
      </c>
      <c r="B123" s="7"/>
      <c r="C123" s="8" t="s">
        <v>28</v>
      </c>
      <c r="D123" s="6" t="s">
        <v>24</v>
      </c>
      <c r="E123" s="6"/>
      <c r="F123" s="9"/>
      <c r="G123" s="10">
        <v>2653.09</v>
      </c>
      <c r="H123" s="11" t="s">
        <v>114</v>
      </c>
      <c r="I123" s="15" t="s">
        <v>31</v>
      </c>
      <c r="J123" s="16" t="s">
        <v>115</v>
      </c>
      <c r="K123" s="17"/>
      <c r="L123" s="17"/>
      <c r="M123" s="18"/>
      <c r="N123" s="18" t="s">
        <v>20</v>
      </c>
    </row>
    <row r="124" s="1" customFormat="1" ht="15.75" spans="1:14">
      <c r="A124" s="6" t="s">
        <v>182</v>
      </c>
      <c r="B124" s="7"/>
      <c r="C124" s="8" t="s">
        <v>63</v>
      </c>
      <c r="D124" s="6" t="s">
        <v>24</v>
      </c>
      <c r="E124" s="6"/>
      <c r="F124" s="9"/>
      <c r="G124" s="10">
        <v>900000</v>
      </c>
      <c r="H124" s="11" t="s">
        <v>155</v>
      </c>
      <c r="I124" s="15" t="s">
        <v>65</v>
      </c>
      <c r="J124" s="16" t="s">
        <v>183</v>
      </c>
      <c r="K124" s="17"/>
      <c r="L124" s="17"/>
      <c r="M124" s="18"/>
      <c r="N124" s="18" t="s">
        <v>20</v>
      </c>
    </row>
    <row r="125" s="1" customFormat="1" ht="15.75" spans="1:14">
      <c r="A125" s="6" t="s">
        <v>182</v>
      </c>
      <c r="B125" s="7"/>
      <c r="C125" s="8" t="s">
        <v>63</v>
      </c>
      <c r="D125" s="6" t="s">
        <v>24</v>
      </c>
      <c r="E125" s="6"/>
      <c r="F125" s="9"/>
      <c r="G125" s="10">
        <v>150000</v>
      </c>
      <c r="H125" s="11" t="s">
        <v>68</v>
      </c>
      <c r="I125" s="15" t="s">
        <v>65</v>
      </c>
      <c r="J125" s="16" t="s">
        <v>184</v>
      </c>
      <c r="K125" s="17"/>
      <c r="L125" s="17"/>
      <c r="M125" s="18"/>
      <c r="N125" s="18" t="s">
        <v>20</v>
      </c>
    </row>
    <row r="126" s="1" customFormat="1" ht="15.75" spans="1:14">
      <c r="A126" s="6" t="s">
        <v>182</v>
      </c>
      <c r="B126" s="7"/>
      <c r="C126" s="8" t="s">
        <v>63</v>
      </c>
      <c r="D126" s="6" t="s">
        <v>24</v>
      </c>
      <c r="E126" s="6"/>
      <c r="F126" s="9"/>
      <c r="G126" s="10">
        <v>250000</v>
      </c>
      <c r="H126" s="11" t="s">
        <v>64</v>
      </c>
      <c r="I126" s="15" t="s">
        <v>65</v>
      </c>
      <c r="J126" s="16" t="s">
        <v>185</v>
      </c>
      <c r="K126" s="17"/>
      <c r="L126" s="17"/>
      <c r="M126" s="18"/>
      <c r="N126" s="18" t="s">
        <v>20</v>
      </c>
    </row>
    <row r="127" s="1" customFormat="1" ht="15.75" spans="1:14">
      <c r="A127" s="6" t="s">
        <v>182</v>
      </c>
      <c r="B127" s="7"/>
      <c r="C127" s="8" t="s">
        <v>63</v>
      </c>
      <c r="D127" s="6" t="s">
        <v>24</v>
      </c>
      <c r="E127" s="6"/>
      <c r="F127" s="9"/>
      <c r="G127" s="10">
        <v>300000</v>
      </c>
      <c r="H127" s="11" t="s">
        <v>67</v>
      </c>
      <c r="I127" s="15" t="s">
        <v>65</v>
      </c>
      <c r="J127" s="16" t="s">
        <v>186</v>
      </c>
      <c r="K127" s="17"/>
      <c r="L127" s="17"/>
      <c r="M127" s="18"/>
      <c r="N127" s="18" t="s">
        <v>20</v>
      </c>
    </row>
    <row r="128" s="1" customFormat="1" ht="15.75" spans="1:14">
      <c r="A128" s="6" t="s">
        <v>182</v>
      </c>
      <c r="B128" s="7"/>
      <c r="C128" s="8" t="s">
        <v>58</v>
      </c>
      <c r="D128" s="6" t="s">
        <v>24</v>
      </c>
      <c r="E128" s="6"/>
      <c r="F128" s="9"/>
      <c r="G128" s="10">
        <v>3455</v>
      </c>
      <c r="H128" s="11" t="s">
        <v>59</v>
      </c>
      <c r="I128" s="1" t="s">
        <v>31</v>
      </c>
      <c r="J128" s="16" t="s">
        <v>62</v>
      </c>
      <c r="K128" s="17"/>
      <c r="L128" s="17"/>
      <c r="M128" s="18"/>
      <c r="N128" s="18" t="s">
        <v>20</v>
      </c>
    </row>
    <row r="129" s="1" customFormat="1" ht="15.75" spans="1:14">
      <c r="A129" s="6" t="s">
        <v>182</v>
      </c>
      <c r="B129" s="7"/>
      <c r="C129" s="8" t="s">
        <v>28</v>
      </c>
      <c r="D129" s="6" t="s">
        <v>24</v>
      </c>
      <c r="E129" s="6"/>
      <c r="F129" s="9"/>
      <c r="G129" s="10">
        <v>5143.55</v>
      </c>
      <c r="H129" s="11" t="s">
        <v>30</v>
      </c>
      <c r="I129" s="1" t="s">
        <v>31</v>
      </c>
      <c r="J129" s="16" t="s">
        <v>32</v>
      </c>
      <c r="K129" s="17"/>
      <c r="L129" s="17"/>
      <c r="M129" s="18"/>
      <c r="N129" s="18" t="s">
        <v>20</v>
      </c>
    </row>
    <row r="130" s="1" customFormat="1" ht="15.75" spans="1:14">
      <c r="A130" s="6" t="s">
        <v>182</v>
      </c>
      <c r="B130" s="7"/>
      <c r="C130" s="8" t="s">
        <v>28</v>
      </c>
      <c r="D130" s="6" t="s">
        <v>24</v>
      </c>
      <c r="E130" s="6"/>
      <c r="F130" s="9"/>
      <c r="G130" s="10">
        <v>30494.55</v>
      </c>
      <c r="H130" s="11" t="s">
        <v>34</v>
      </c>
      <c r="I130" s="1" t="s">
        <v>31</v>
      </c>
      <c r="J130" s="16" t="s">
        <v>35</v>
      </c>
      <c r="K130" s="17"/>
      <c r="L130" s="17"/>
      <c r="M130" s="18"/>
      <c r="N130" s="18" t="s">
        <v>20</v>
      </c>
    </row>
    <row r="131" s="1" customFormat="1" ht="15.75" spans="1:14">
      <c r="A131" s="6" t="s">
        <v>182</v>
      </c>
      <c r="B131" s="7"/>
      <c r="C131" s="8" t="s">
        <v>28</v>
      </c>
      <c r="D131" s="6" t="s">
        <v>24</v>
      </c>
      <c r="E131" s="6"/>
      <c r="F131" s="9"/>
      <c r="G131" s="10">
        <v>8.28</v>
      </c>
      <c r="H131" s="11" t="s">
        <v>124</v>
      </c>
      <c r="I131" s="15" t="s">
        <v>31</v>
      </c>
      <c r="J131" s="16" t="s">
        <v>125</v>
      </c>
      <c r="K131" s="17"/>
      <c r="L131" s="17"/>
      <c r="M131" s="18"/>
      <c r="N131" s="18" t="s">
        <v>20</v>
      </c>
    </row>
    <row r="132" s="1" customFormat="1" ht="15.75" spans="1:14">
      <c r="A132" s="6" t="s">
        <v>182</v>
      </c>
      <c r="B132" s="7"/>
      <c r="C132" s="8" t="s">
        <v>28</v>
      </c>
      <c r="D132" s="6" t="s">
        <v>24</v>
      </c>
      <c r="E132" s="6"/>
      <c r="F132" s="9"/>
      <c r="G132" s="10">
        <v>29.74</v>
      </c>
      <c r="H132" s="11" t="s">
        <v>124</v>
      </c>
      <c r="I132" s="15" t="s">
        <v>31</v>
      </c>
      <c r="J132" s="16" t="s">
        <v>125</v>
      </c>
      <c r="K132" s="17"/>
      <c r="L132" s="17"/>
      <c r="M132" s="18"/>
      <c r="N132" s="18" t="s">
        <v>20</v>
      </c>
    </row>
    <row r="133" s="1" customFormat="1" ht="15.75" spans="1:14">
      <c r="A133" s="6" t="s">
        <v>182</v>
      </c>
      <c r="B133" s="7"/>
      <c r="C133" s="8" t="s">
        <v>15</v>
      </c>
      <c r="D133" s="6" t="s">
        <v>24</v>
      </c>
      <c r="E133" s="6"/>
      <c r="F133" s="9">
        <v>-900000</v>
      </c>
      <c r="G133" s="10"/>
      <c r="H133" s="11" t="s">
        <v>187</v>
      </c>
      <c r="I133" s="15" t="s">
        <v>65</v>
      </c>
      <c r="J133" s="16" t="s">
        <v>188</v>
      </c>
      <c r="K133" s="17"/>
      <c r="L133" s="17"/>
      <c r="M133" s="18"/>
      <c r="N133" s="18" t="s">
        <v>20</v>
      </c>
    </row>
    <row r="134" s="1" customFormat="1" ht="15.75" spans="1:14">
      <c r="A134" s="6" t="s">
        <v>189</v>
      </c>
      <c r="B134" s="7"/>
      <c r="C134" s="8" t="s">
        <v>15</v>
      </c>
      <c r="D134" s="6" t="s">
        <v>24</v>
      </c>
      <c r="E134" s="6"/>
      <c r="F134" s="9">
        <v>-204671.93</v>
      </c>
      <c r="G134" s="10"/>
      <c r="H134" s="15" t="s">
        <v>96</v>
      </c>
      <c r="I134" s="1" t="s">
        <v>93</v>
      </c>
      <c r="J134" s="16" t="s">
        <v>97</v>
      </c>
      <c r="K134" s="17"/>
      <c r="L134" s="17"/>
      <c r="M134" s="18">
        <v>45891</v>
      </c>
      <c r="N134" s="18" t="s">
        <v>20</v>
      </c>
    </row>
    <row r="135" s="1" customFormat="1" ht="15.75" spans="1:14">
      <c r="A135" s="6" t="s">
        <v>189</v>
      </c>
      <c r="B135" s="7"/>
      <c r="C135" s="8" t="s">
        <v>15</v>
      </c>
      <c r="D135" s="6" t="s">
        <v>24</v>
      </c>
      <c r="E135" s="6"/>
      <c r="F135" s="9">
        <v>-95.2</v>
      </c>
      <c r="G135" s="10"/>
      <c r="H135" s="15" t="s">
        <v>190</v>
      </c>
      <c r="I135" s="1" t="s">
        <v>191</v>
      </c>
      <c r="J135" s="16" t="s">
        <v>192</v>
      </c>
      <c r="K135" s="132" t="s">
        <v>193</v>
      </c>
      <c r="L135" s="17"/>
      <c r="M135" s="18"/>
      <c r="N135" s="18" t="s">
        <v>20</v>
      </c>
    </row>
    <row r="136" s="1" customFormat="1" ht="15.75" spans="1:14">
      <c r="A136" s="6" t="s">
        <v>189</v>
      </c>
      <c r="B136" s="7"/>
      <c r="C136" s="8" t="s">
        <v>15</v>
      </c>
      <c r="D136" s="6" t="s">
        <v>24</v>
      </c>
      <c r="E136" s="6"/>
      <c r="F136" s="9">
        <v>-117590.98</v>
      </c>
      <c r="G136" s="10"/>
      <c r="H136" s="15" t="s">
        <v>100</v>
      </c>
      <c r="I136" s="1" t="s">
        <v>93</v>
      </c>
      <c r="J136" s="16" t="s">
        <v>101</v>
      </c>
      <c r="K136" s="17"/>
      <c r="L136" s="17"/>
      <c r="M136" s="18">
        <v>45891</v>
      </c>
      <c r="N136" s="18" t="s">
        <v>20</v>
      </c>
    </row>
    <row r="137" s="1" customFormat="1" ht="15.75" spans="1:14">
      <c r="A137" s="6" t="s">
        <v>189</v>
      </c>
      <c r="B137" s="7"/>
      <c r="C137" s="8" t="s">
        <v>15</v>
      </c>
      <c r="D137" s="6" t="s">
        <v>24</v>
      </c>
      <c r="E137" s="6"/>
      <c r="F137" s="9">
        <v>-172121.68</v>
      </c>
      <c r="G137" s="10"/>
      <c r="H137" s="15" t="s">
        <v>92</v>
      </c>
      <c r="I137" s="1" t="s">
        <v>93</v>
      </c>
      <c r="J137" s="16" t="s">
        <v>94</v>
      </c>
      <c r="K137" s="17"/>
      <c r="L137" s="17"/>
      <c r="M137" s="18">
        <v>45891</v>
      </c>
      <c r="N137" s="18" t="s">
        <v>20</v>
      </c>
    </row>
    <row r="138" s="1" customFormat="1" ht="15.75" spans="1:14">
      <c r="A138" s="6" t="s">
        <v>189</v>
      </c>
      <c r="B138" s="7"/>
      <c r="C138" s="8" t="s">
        <v>15</v>
      </c>
      <c r="D138" s="6" t="s">
        <v>24</v>
      </c>
      <c r="E138" s="6"/>
      <c r="F138" s="9">
        <v>-204037.42</v>
      </c>
      <c r="G138" s="10"/>
      <c r="H138" s="15" t="s">
        <v>104</v>
      </c>
      <c r="I138" s="1" t="s">
        <v>93</v>
      </c>
      <c r="J138" s="16" t="s">
        <v>105</v>
      </c>
      <c r="K138" s="17"/>
      <c r="L138" s="17"/>
      <c r="M138" s="18">
        <v>45891</v>
      </c>
      <c r="N138" s="18" t="s">
        <v>20</v>
      </c>
    </row>
    <row r="139" s="1" customFormat="1" ht="15.75" spans="1:14">
      <c r="A139" s="6" t="s">
        <v>189</v>
      </c>
      <c r="B139" s="7"/>
      <c r="C139" s="8" t="s">
        <v>28</v>
      </c>
      <c r="D139" s="6" t="s">
        <v>24</v>
      </c>
      <c r="E139" s="6"/>
      <c r="F139" s="9"/>
      <c r="G139" s="10">
        <v>4382.73</v>
      </c>
      <c r="H139" s="15" t="s">
        <v>30</v>
      </c>
      <c r="I139" s="1" t="s">
        <v>31</v>
      </c>
      <c r="J139" s="16" t="s">
        <v>32</v>
      </c>
      <c r="K139" s="17"/>
      <c r="L139" s="17"/>
      <c r="M139" s="18"/>
      <c r="N139" s="18" t="s">
        <v>20</v>
      </c>
    </row>
    <row r="140" s="1" customFormat="1" ht="15.75" spans="1:14">
      <c r="A140" s="6" t="s">
        <v>189</v>
      </c>
      <c r="B140" s="7"/>
      <c r="C140" s="8" t="s">
        <v>28</v>
      </c>
      <c r="D140" s="6" t="s">
        <v>24</v>
      </c>
      <c r="E140" s="6"/>
      <c r="F140" s="9"/>
      <c r="G140" s="10">
        <v>29281.43</v>
      </c>
      <c r="H140" s="15" t="s">
        <v>34</v>
      </c>
      <c r="I140" s="1" t="s">
        <v>31</v>
      </c>
      <c r="J140" s="16" t="s">
        <v>35</v>
      </c>
      <c r="K140" s="17"/>
      <c r="L140" s="17"/>
      <c r="M140" s="18"/>
      <c r="N140" s="18" t="s">
        <v>20</v>
      </c>
    </row>
    <row r="141" s="1" customFormat="1" ht="15.75" spans="1:14">
      <c r="A141" s="6" t="s">
        <v>189</v>
      </c>
      <c r="B141" s="7"/>
      <c r="C141" s="8" t="s">
        <v>50</v>
      </c>
      <c r="D141" s="6" t="s">
        <v>24</v>
      </c>
      <c r="E141" s="6"/>
      <c r="F141" s="9">
        <v>-35577.61</v>
      </c>
      <c r="G141" s="10"/>
      <c r="H141" s="15" t="s">
        <v>51</v>
      </c>
      <c r="I141" s="1" t="s">
        <v>93</v>
      </c>
      <c r="J141" s="16" t="s">
        <v>194</v>
      </c>
      <c r="K141" s="132" t="s">
        <v>195</v>
      </c>
      <c r="L141" s="17"/>
      <c r="M141" s="18">
        <v>45891</v>
      </c>
      <c r="N141" s="18" t="s">
        <v>20</v>
      </c>
    </row>
    <row r="142" s="1" customFormat="1" ht="15.75" spans="1:14">
      <c r="A142" s="6" t="s">
        <v>189</v>
      </c>
      <c r="B142" s="7"/>
      <c r="C142" s="8" t="s">
        <v>58</v>
      </c>
      <c r="D142" s="6" t="s">
        <v>24</v>
      </c>
      <c r="E142" s="6"/>
      <c r="F142" s="9"/>
      <c r="G142" s="10">
        <v>3420</v>
      </c>
      <c r="H142" s="15" t="s">
        <v>59</v>
      </c>
      <c r="I142" s="1" t="s">
        <v>31</v>
      </c>
      <c r="J142" s="16" t="s">
        <v>62</v>
      </c>
      <c r="K142" s="17"/>
      <c r="L142" s="17"/>
      <c r="M142" s="18"/>
      <c r="N142" s="18" t="s">
        <v>20</v>
      </c>
    </row>
    <row r="143" s="1" customFormat="1" ht="15.75" spans="1:14">
      <c r="A143" s="6" t="s">
        <v>196</v>
      </c>
      <c r="B143" s="7"/>
      <c r="C143" s="8" t="s">
        <v>15</v>
      </c>
      <c r="D143" s="6" t="s">
        <v>24</v>
      </c>
      <c r="E143" s="6"/>
      <c r="F143" s="9">
        <v>-162.11</v>
      </c>
      <c r="G143" s="10"/>
      <c r="H143" s="15" t="s">
        <v>92</v>
      </c>
      <c r="I143" s="1" t="s">
        <v>93</v>
      </c>
      <c r="J143" s="16" t="s">
        <v>94</v>
      </c>
      <c r="L143" s="17" t="s">
        <v>197</v>
      </c>
      <c r="M143" s="18">
        <v>45891</v>
      </c>
      <c r="N143" s="18" t="s">
        <v>20</v>
      </c>
    </row>
    <row r="144" s="1" customFormat="1" ht="15.75" spans="1:14">
      <c r="A144" s="6" t="s">
        <v>196</v>
      </c>
      <c r="B144" s="7"/>
      <c r="C144" s="8" t="s">
        <v>15</v>
      </c>
      <c r="D144" s="6" t="s">
        <v>24</v>
      </c>
      <c r="E144" s="6"/>
      <c r="F144" s="9">
        <v>-7707.55</v>
      </c>
      <c r="G144" s="10"/>
      <c r="H144" s="15" t="s">
        <v>104</v>
      </c>
      <c r="I144" s="1" t="s">
        <v>93</v>
      </c>
      <c r="J144" s="16" t="s">
        <v>105</v>
      </c>
      <c r="L144" s="17" t="s">
        <v>198</v>
      </c>
      <c r="M144" s="18">
        <v>45891</v>
      </c>
      <c r="N144" s="18" t="s">
        <v>20</v>
      </c>
    </row>
    <row r="145" s="1" customFormat="1" ht="15.75" spans="1:14">
      <c r="A145" s="6" t="s">
        <v>196</v>
      </c>
      <c r="B145" s="7"/>
      <c r="C145" s="8" t="s">
        <v>28</v>
      </c>
      <c r="D145" s="6" t="s">
        <v>24</v>
      </c>
      <c r="E145" s="6"/>
      <c r="F145" s="9"/>
      <c r="G145" s="10">
        <v>1751.51</v>
      </c>
      <c r="H145" s="15" t="s">
        <v>30</v>
      </c>
      <c r="I145" s="1" t="s">
        <v>31</v>
      </c>
      <c r="J145" s="16" t="s">
        <v>32</v>
      </c>
      <c r="K145" s="17"/>
      <c r="L145" s="17"/>
      <c r="M145" s="18"/>
      <c r="N145" s="18" t="s">
        <v>20</v>
      </c>
    </row>
    <row r="146" s="1" customFormat="1" ht="15.75" spans="1:14">
      <c r="A146" s="6" t="s">
        <v>196</v>
      </c>
      <c r="B146" s="7"/>
      <c r="C146" s="8" t="s">
        <v>28</v>
      </c>
      <c r="D146" s="6" t="s">
        <v>24</v>
      </c>
      <c r="E146" s="6"/>
      <c r="F146" s="9"/>
      <c r="G146" s="10">
        <v>32055.6</v>
      </c>
      <c r="H146" s="15" t="s">
        <v>34</v>
      </c>
      <c r="I146" s="1" t="s">
        <v>31</v>
      </c>
      <c r="J146" s="16" t="s">
        <v>35</v>
      </c>
      <c r="K146" s="17"/>
      <c r="L146" s="17"/>
      <c r="M146" s="18"/>
      <c r="N146" s="18" t="s">
        <v>20</v>
      </c>
    </row>
    <row r="147" s="1" customFormat="1" ht="15.75" spans="1:14">
      <c r="A147" s="6" t="s">
        <v>196</v>
      </c>
      <c r="B147" s="7"/>
      <c r="C147" s="8" t="s">
        <v>58</v>
      </c>
      <c r="D147" s="6" t="s">
        <v>24</v>
      </c>
      <c r="E147" s="6"/>
      <c r="F147" s="9"/>
      <c r="G147" s="10">
        <v>155</v>
      </c>
      <c r="H147" s="15" t="s">
        <v>127</v>
      </c>
      <c r="I147" s="1" t="s">
        <v>31</v>
      </c>
      <c r="J147" s="16" t="s">
        <v>148</v>
      </c>
      <c r="K147" s="17"/>
      <c r="L147" s="17"/>
      <c r="M147" s="18"/>
      <c r="N147" s="18" t="s">
        <v>20</v>
      </c>
    </row>
    <row r="148" s="1" customFormat="1" ht="15.75" spans="1:14">
      <c r="A148" s="6" t="s">
        <v>196</v>
      </c>
      <c r="B148" s="7"/>
      <c r="C148" s="8" t="s">
        <v>58</v>
      </c>
      <c r="D148" s="6" t="s">
        <v>24</v>
      </c>
      <c r="E148" s="6"/>
      <c r="F148" s="9"/>
      <c r="G148" s="10">
        <v>3265</v>
      </c>
      <c r="H148" s="15" t="s">
        <v>127</v>
      </c>
      <c r="I148" s="1" t="s">
        <v>31</v>
      </c>
      <c r="J148" s="16" t="s">
        <v>62</v>
      </c>
      <c r="K148" s="17"/>
      <c r="L148" s="17"/>
      <c r="M148" s="18"/>
      <c r="N148" s="18" t="s">
        <v>20</v>
      </c>
    </row>
    <row r="149" s="1" customFormat="1" ht="15.75" spans="1:14">
      <c r="A149" s="6" t="s">
        <v>196</v>
      </c>
      <c r="B149" s="7"/>
      <c r="C149" s="8" t="s">
        <v>58</v>
      </c>
      <c r="D149" s="6" t="s">
        <v>24</v>
      </c>
      <c r="E149" s="6"/>
      <c r="F149" s="9"/>
      <c r="G149" s="10">
        <v>409.31</v>
      </c>
      <c r="H149" s="15" t="s">
        <v>127</v>
      </c>
      <c r="I149" s="1" t="s">
        <v>31</v>
      </c>
      <c r="J149" s="16" t="s">
        <v>199</v>
      </c>
      <c r="K149" s="17"/>
      <c r="L149" s="17"/>
      <c r="M149" s="18"/>
      <c r="N149" s="18" t="s">
        <v>20</v>
      </c>
    </row>
    <row r="150" s="1" customFormat="1" ht="15.75" spans="1:14">
      <c r="A150" s="6" t="s">
        <v>196</v>
      </c>
      <c r="B150" s="7"/>
      <c r="C150" s="8" t="s">
        <v>58</v>
      </c>
      <c r="D150" s="6" t="s">
        <v>24</v>
      </c>
      <c r="E150" s="6"/>
      <c r="F150" s="9"/>
      <c r="G150" s="10">
        <v>5585</v>
      </c>
      <c r="H150" s="15" t="s">
        <v>59</v>
      </c>
      <c r="I150" s="1" t="s">
        <v>31</v>
      </c>
      <c r="J150" s="16" t="s">
        <v>62</v>
      </c>
      <c r="K150" s="17"/>
      <c r="L150" s="17"/>
      <c r="M150" s="18"/>
      <c r="N150" s="18" t="s">
        <v>20</v>
      </c>
    </row>
    <row r="151" s="1" customFormat="1" ht="15.75" spans="1:14">
      <c r="A151" s="6" t="s">
        <v>200</v>
      </c>
      <c r="B151" s="7"/>
      <c r="C151" s="8" t="s">
        <v>15</v>
      </c>
      <c r="D151" s="6" t="s">
        <v>24</v>
      </c>
      <c r="E151" s="6"/>
      <c r="F151" s="9">
        <v>-265.42</v>
      </c>
      <c r="G151" s="10"/>
      <c r="H151" s="11" t="s">
        <v>201</v>
      </c>
      <c r="I151" s="15" t="s">
        <v>202</v>
      </c>
      <c r="J151" s="16" t="s">
        <v>203</v>
      </c>
      <c r="K151" s="17" t="s">
        <v>175</v>
      </c>
      <c r="L151" s="17" t="s">
        <v>20</v>
      </c>
      <c r="M151" s="18" t="s">
        <v>146</v>
      </c>
      <c r="N151" s="18" t="s">
        <v>20</v>
      </c>
    </row>
    <row r="152" s="1" customFormat="1" ht="15.75" spans="1:14">
      <c r="A152" s="6" t="s">
        <v>200</v>
      </c>
      <c r="B152" s="7"/>
      <c r="C152" s="8" t="s">
        <v>28</v>
      </c>
      <c r="D152" s="6" t="s">
        <v>24</v>
      </c>
      <c r="E152" s="6"/>
      <c r="F152" s="9"/>
      <c r="G152" s="10">
        <v>4421.41</v>
      </c>
      <c r="H152" s="11" t="s">
        <v>30</v>
      </c>
      <c r="I152" s="1" t="s">
        <v>31</v>
      </c>
      <c r="J152" s="16" t="s">
        <v>32</v>
      </c>
      <c r="K152" s="17"/>
      <c r="L152" s="17"/>
      <c r="M152" s="18"/>
      <c r="N152" s="18" t="s">
        <v>20</v>
      </c>
    </row>
    <row r="153" s="1" customFormat="1" ht="15.75" spans="1:14">
      <c r="A153" s="6" t="s">
        <v>200</v>
      </c>
      <c r="B153" s="7"/>
      <c r="C153" s="8" t="s">
        <v>28</v>
      </c>
      <c r="D153" s="6" t="s">
        <v>24</v>
      </c>
      <c r="E153" s="6"/>
      <c r="F153" s="9"/>
      <c r="G153" s="10">
        <v>3645.92</v>
      </c>
      <c r="H153" s="11" t="s">
        <v>30</v>
      </c>
      <c r="I153" s="1" t="s">
        <v>31</v>
      </c>
      <c r="J153" s="16" t="s">
        <v>32</v>
      </c>
      <c r="K153" s="17"/>
      <c r="L153" s="17"/>
      <c r="M153" s="18"/>
      <c r="N153" s="18" t="s">
        <v>20</v>
      </c>
    </row>
    <row r="154" s="1" customFormat="1" ht="15.75" spans="1:14">
      <c r="A154" s="6" t="s">
        <v>200</v>
      </c>
      <c r="B154" s="7"/>
      <c r="C154" s="8" t="s">
        <v>28</v>
      </c>
      <c r="D154" s="6" t="s">
        <v>24</v>
      </c>
      <c r="E154" s="6"/>
      <c r="F154" s="9"/>
      <c r="G154" s="10">
        <v>5338.49</v>
      </c>
      <c r="H154" s="11" t="s">
        <v>30</v>
      </c>
      <c r="I154" s="1" t="s">
        <v>31</v>
      </c>
      <c r="J154" s="16" t="s">
        <v>32</v>
      </c>
      <c r="K154" s="17"/>
      <c r="L154" s="17"/>
      <c r="M154" s="18"/>
      <c r="N154" s="18" t="s">
        <v>20</v>
      </c>
    </row>
    <row r="155" s="1" customFormat="1" ht="15.75" spans="1:14">
      <c r="A155" s="6" t="s">
        <v>200</v>
      </c>
      <c r="B155" s="7"/>
      <c r="C155" s="8" t="s">
        <v>28</v>
      </c>
      <c r="D155" s="6" t="s">
        <v>24</v>
      </c>
      <c r="E155" s="6"/>
      <c r="F155" s="9"/>
      <c r="G155" s="10">
        <v>111533.23</v>
      </c>
      <c r="H155" s="11" t="s">
        <v>34</v>
      </c>
      <c r="I155" s="15" t="s">
        <v>31</v>
      </c>
      <c r="J155" s="16" t="s">
        <v>35</v>
      </c>
      <c r="K155" s="17"/>
      <c r="L155" s="17"/>
      <c r="M155" s="18"/>
      <c r="N155" s="18" t="s">
        <v>20</v>
      </c>
    </row>
    <row r="156" s="1" customFormat="1" ht="15.75" spans="1:14">
      <c r="A156" s="6" t="s">
        <v>200</v>
      </c>
      <c r="B156" s="7"/>
      <c r="C156" s="8" t="s">
        <v>58</v>
      </c>
      <c r="D156" s="6" t="s">
        <v>24</v>
      </c>
      <c r="E156" s="6"/>
      <c r="F156" s="9"/>
      <c r="G156" s="10">
        <v>2840</v>
      </c>
      <c r="H156" s="11" t="s">
        <v>59</v>
      </c>
      <c r="I156" s="1" t="s">
        <v>31</v>
      </c>
      <c r="J156" s="16" t="s">
        <v>62</v>
      </c>
      <c r="K156" s="17"/>
      <c r="L156" s="17"/>
      <c r="M156" s="18"/>
      <c r="N156" s="18"/>
    </row>
    <row r="157" s="1" customFormat="1" ht="15.75" spans="1:14">
      <c r="A157" s="6" t="s">
        <v>200</v>
      </c>
      <c r="B157" s="7"/>
      <c r="C157" s="8" t="s">
        <v>58</v>
      </c>
      <c r="D157" s="6" t="s">
        <v>24</v>
      </c>
      <c r="E157" s="6"/>
      <c r="F157" s="9"/>
      <c r="G157" s="10">
        <v>3445</v>
      </c>
      <c r="H157" s="11" t="s">
        <v>59</v>
      </c>
      <c r="I157" s="1" t="s">
        <v>31</v>
      </c>
      <c r="J157" s="16" t="s">
        <v>62</v>
      </c>
      <c r="K157" s="17"/>
      <c r="L157" s="17"/>
      <c r="M157" s="18"/>
      <c r="N157" s="18" t="s">
        <v>20</v>
      </c>
    </row>
    <row r="158" s="1" customFormat="1" ht="15.75" spans="1:14">
      <c r="A158" s="6" t="s">
        <v>200</v>
      </c>
      <c r="B158" s="7"/>
      <c r="C158" s="8" t="s">
        <v>28</v>
      </c>
      <c r="D158" s="6" t="s">
        <v>24</v>
      </c>
      <c r="E158" s="6"/>
      <c r="F158" s="9"/>
      <c r="G158" s="10">
        <v>5295.67</v>
      </c>
      <c r="H158" s="11" t="s">
        <v>30</v>
      </c>
      <c r="I158" s="15" t="s">
        <v>31</v>
      </c>
      <c r="J158" s="16" t="s">
        <v>32</v>
      </c>
      <c r="K158" s="17"/>
      <c r="L158" s="17"/>
      <c r="M158" s="18"/>
      <c r="N158" s="18" t="s">
        <v>20</v>
      </c>
    </row>
    <row r="159" s="1" customFormat="1" ht="15.75" spans="1:14">
      <c r="A159" s="6" t="s">
        <v>204</v>
      </c>
      <c r="B159" s="7"/>
      <c r="C159" s="8" t="s">
        <v>28</v>
      </c>
      <c r="D159" s="6" t="s">
        <v>24</v>
      </c>
      <c r="E159" s="6"/>
      <c r="F159" s="9"/>
      <c r="G159" s="10">
        <v>1102.76</v>
      </c>
      <c r="H159" s="11" t="s">
        <v>80</v>
      </c>
      <c r="I159" s="15" t="s">
        <v>31</v>
      </c>
      <c r="J159" s="16" t="s">
        <v>81</v>
      </c>
      <c r="K159" s="17"/>
      <c r="L159" s="17"/>
      <c r="M159" s="18"/>
      <c r="N159" s="18" t="s">
        <v>20</v>
      </c>
    </row>
    <row r="160" s="1" customFormat="1" ht="15.75" spans="1:14">
      <c r="A160" s="6" t="s">
        <v>204</v>
      </c>
      <c r="B160" s="7"/>
      <c r="C160" s="8" t="s">
        <v>28</v>
      </c>
      <c r="D160" s="6" t="s">
        <v>24</v>
      </c>
      <c r="E160" s="6"/>
      <c r="F160" s="9"/>
      <c r="G160" s="10">
        <v>2952.03</v>
      </c>
      <c r="H160" s="11" t="s">
        <v>80</v>
      </c>
      <c r="I160" s="15" t="s">
        <v>31</v>
      </c>
      <c r="J160" s="16" t="s">
        <v>81</v>
      </c>
      <c r="K160" s="17"/>
      <c r="L160" s="17"/>
      <c r="M160" s="18"/>
      <c r="N160" s="18" t="s">
        <v>20</v>
      </c>
    </row>
    <row r="161" s="1" customFormat="1" ht="15.75" spans="1:14">
      <c r="A161" s="6" t="s">
        <v>204</v>
      </c>
      <c r="B161" s="7"/>
      <c r="C161" s="8" t="s">
        <v>15</v>
      </c>
      <c r="D161" s="6" t="s">
        <v>24</v>
      </c>
      <c r="E161" s="6"/>
      <c r="F161" s="9">
        <v>-203.86</v>
      </c>
      <c r="G161" s="10"/>
      <c r="H161" s="11" t="s">
        <v>201</v>
      </c>
      <c r="I161" s="15" t="s">
        <v>205</v>
      </c>
      <c r="J161" s="16"/>
      <c r="K161" s="17"/>
      <c r="L161" s="17"/>
      <c r="M161" s="18"/>
      <c r="N161" s="18" t="s">
        <v>20</v>
      </c>
    </row>
    <row r="162" s="1" customFormat="1" ht="15.75" spans="1:14">
      <c r="A162" s="6" t="s">
        <v>204</v>
      </c>
      <c r="B162" s="7"/>
      <c r="C162" s="8" t="s">
        <v>28</v>
      </c>
      <c r="D162" s="6" t="s">
        <v>24</v>
      </c>
      <c r="E162" s="6"/>
      <c r="F162" s="9"/>
      <c r="G162" s="10">
        <v>4007.34</v>
      </c>
      <c r="H162" s="11" t="s">
        <v>30</v>
      </c>
      <c r="I162" s="1" t="s">
        <v>31</v>
      </c>
      <c r="J162" s="16" t="s">
        <v>32</v>
      </c>
      <c r="K162" s="17"/>
      <c r="L162" s="17"/>
      <c r="M162" s="18"/>
      <c r="N162" s="18" t="s">
        <v>20</v>
      </c>
    </row>
    <row r="163" s="1" customFormat="1" ht="15.75" spans="1:14">
      <c r="A163" s="6" t="s">
        <v>204</v>
      </c>
      <c r="B163" s="7"/>
      <c r="C163" s="8" t="s">
        <v>28</v>
      </c>
      <c r="D163" s="6" t="s">
        <v>24</v>
      </c>
      <c r="E163" s="6"/>
      <c r="F163" s="9"/>
      <c r="G163" s="10">
        <v>31073.52</v>
      </c>
      <c r="H163" s="11" t="s">
        <v>206</v>
      </c>
      <c r="I163" s="15" t="s">
        <v>31</v>
      </c>
      <c r="J163" s="16" t="s">
        <v>207</v>
      </c>
      <c r="K163" s="17"/>
      <c r="L163" s="17"/>
      <c r="M163" s="18"/>
      <c r="N163" s="18" t="s">
        <v>20</v>
      </c>
    </row>
    <row r="164" s="1" customFormat="1" ht="15.75" spans="1:14">
      <c r="A164" s="6"/>
      <c r="B164" s="7"/>
      <c r="C164" s="8"/>
      <c r="D164" s="6"/>
      <c r="E164" s="6"/>
      <c r="F164" s="9"/>
      <c r="G164" s="10"/>
      <c r="H164" s="11"/>
      <c r="I164" s="15"/>
      <c r="J164" s="16"/>
      <c r="K164" s="17"/>
      <c r="L164" s="17"/>
      <c r="M164" s="18"/>
      <c r="N164" s="18" t="s">
        <v>20</v>
      </c>
    </row>
    <row r="165" s="1" customFormat="1" ht="15.75" spans="1:14">
      <c r="A165" s="6"/>
      <c r="B165" s="7"/>
      <c r="C165" s="8"/>
      <c r="D165" s="6"/>
      <c r="E165" s="6"/>
      <c r="F165" s="9"/>
      <c r="G165" s="10"/>
      <c r="H165" s="11"/>
      <c r="I165" s="15"/>
      <c r="J165" s="16"/>
      <c r="K165" s="17"/>
      <c r="L165" s="17"/>
      <c r="M165" s="18"/>
      <c r="N165" s="18" t="s">
        <v>20</v>
      </c>
    </row>
    <row r="166" s="1" customFormat="1" ht="15.75" spans="1:14">
      <c r="A166" s="6"/>
      <c r="B166" s="7"/>
      <c r="C166" s="8"/>
      <c r="D166" s="6"/>
      <c r="E166" s="6"/>
      <c r="F166" s="9"/>
      <c r="G166" s="10"/>
      <c r="H166" s="11"/>
      <c r="I166" s="15"/>
      <c r="J166" s="16"/>
      <c r="K166" s="17"/>
      <c r="L166" s="17"/>
      <c r="M166" s="18"/>
      <c r="N166" s="18" t="s">
        <v>20</v>
      </c>
    </row>
    <row r="167" s="1" customFormat="1" ht="15.75" spans="1:14">
      <c r="A167" s="6"/>
      <c r="B167" s="7"/>
      <c r="C167" s="8"/>
      <c r="D167" s="6"/>
      <c r="E167" s="6"/>
      <c r="F167" s="9"/>
      <c r="G167" s="10"/>
      <c r="H167" s="11"/>
      <c r="I167" s="15"/>
      <c r="J167" s="16"/>
      <c r="K167" s="17"/>
      <c r="L167" s="17"/>
      <c r="M167" s="18"/>
      <c r="N167" s="18" t="s">
        <v>20</v>
      </c>
    </row>
    <row r="168" s="1" customFormat="1" ht="15.75" spans="1:14">
      <c r="A168" s="6"/>
      <c r="B168" s="7"/>
      <c r="C168" s="8"/>
      <c r="D168" s="6"/>
      <c r="E168" s="6"/>
      <c r="F168" s="9"/>
      <c r="G168" s="10"/>
      <c r="H168" s="11"/>
      <c r="I168" s="15"/>
      <c r="J168" s="16"/>
      <c r="K168" s="17"/>
      <c r="L168" s="17"/>
      <c r="M168" s="18"/>
      <c r="N168" s="18" t="s">
        <v>20</v>
      </c>
    </row>
    <row r="169" s="1" customFormat="1" ht="15.75" spans="1:14">
      <c r="A169" s="6"/>
      <c r="B169" s="7"/>
      <c r="C169" s="8"/>
      <c r="D169" s="6"/>
      <c r="E169" s="6"/>
      <c r="F169" s="9"/>
      <c r="G169" s="10"/>
      <c r="H169" s="11"/>
      <c r="I169" s="15"/>
      <c r="J169" s="16"/>
      <c r="K169" s="17"/>
      <c r="L169" s="17"/>
      <c r="M169" s="18"/>
      <c r="N169" s="18" t="s">
        <v>20</v>
      </c>
    </row>
    <row r="170" s="1" customFormat="1" ht="15.75" spans="1:14">
      <c r="A170" s="6"/>
      <c r="B170" s="7"/>
      <c r="C170" s="8"/>
      <c r="D170" s="6"/>
      <c r="E170" s="6"/>
      <c r="F170" s="9"/>
      <c r="G170" s="10"/>
      <c r="H170" s="11"/>
      <c r="I170" s="15"/>
      <c r="J170" s="16"/>
      <c r="K170" s="17"/>
      <c r="L170" s="17"/>
      <c r="M170" s="18"/>
      <c r="N170" s="18" t="s">
        <v>20</v>
      </c>
    </row>
    <row r="171" s="1" customFormat="1" ht="15.75" spans="1:14">
      <c r="A171" s="6"/>
      <c r="B171" s="7"/>
      <c r="C171" s="8"/>
      <c r="D171" s="6"/>
      <c r="E171" s="6"/>
      <c r="F171" s="9"/>
      <c r="G171" s="10"/>
      <c r="H171" s="11"/>
      <c r="I171" s="15"/>
      <c r="J171" s="16"/>
      <c r="K171" s="17"/>
      <c r="L171" s="17"/>
      <c r="M171" s="18"/>
      <c r="N171" s="18"/>
    </row>
    <row r="172" s="1" customFormat="1" ht="15.75" spans="1:14">
      <c r="A172" s="6"/>
      <c r="B172" s="7"/>
      <c r="C172" s="8"/>
      <c r="D172" s="6"/>
      <c r="E172" s="6"/>
      <c r="F172" s="9"/>
      <c r="G172" s="10"/>
      <c r="H172" s="11"/>
      <c r="I172" s="15"/>
      <c r="J172" s="16"/>
      <c r="K172" s="17"/>
      <c r="L172" s="17"/>
      <c r="M172" s="18"/>
      <c r="N172" s="18" t="s">
        <v>20</v>
      </c>
    </row>
    <row r="173" s="1" customFormat="1" ht="15.75" spans="1:14">
      <c r="A173" s="6"/>
      <c r="B173" s="7"/>
      <c r="C173" s="8"/>
      <c r="D173" s="6"/>
      <c r="E173" s="6"/>
      <c r="F173" s="9"/>
      <c r="G173" s="10"/>
      <c r="H173" s="11"/>
      <c r="I173" s="15"/>
      <c r="J173" s="16"/>
      <c r="K173" s="17"/>
      <c r="L173" s="17"/>
      <c r="M173" s="18"/>
      <c r="N173" s="18" t="s">
        <v>20</v>
      </c>
    </row>
    <row r="174" s="1" customFormat="1" ht="15.75" spans="1:14">
      <c r="A174" s="6"/>
      <c r="B174" s="7"/>
      <c r="C174" s="8"/>
      <c r="D174" s="6"/>
      <c r="E174" s="6"/>
      <c r="F174" s="9"/>
      <c r="G174" s="10"/>
      <c r="H174" s="11"/>
      <c r="I174" s="15"/>
      <c r="J174" s="16"/>
      <c r="K174" s="17"/>
      <c r="L174" s="17"/>
      <c r="M174" s="18"/>
      <c r="N174" s="18" t="s">
        <v>20</v>
      </c>
    </row>
    <row r="175" s="1" customFormat="1" ht="15.75" spans="1:14">
      <c r="A175" s="6"/>
      <c r="B175" s="7"/>
      <c r="C175" s="8"/>
      <c r="D175" s="6"/>
      <c r="E175" s="6"/>
      <c r="F175" s="9"/>
      <c r="G175" s="10"/>
      <c r="H175" s="11"/>
      <c r="I175" s="15"/>
      <c r="J175" s="16"/>
      <c r="K175" s="17"/>
      <c r="L175" s="17"/>
      <c r="M175" s="18"/>
      <c r="N175" s="18" t="s">
        <v>20</v>
      </c>
    </row>
    <row r="176" s="1" customFormat="1" ht="15.75" spans="1:14">
      <c r="A176" s="6"/>
      <c r="B176" s="7"/>
      <c r="C176" s="8"/>
      <c r="D176" s="6"/>
      <c r="E176" s="6"/>
      <c r="F176" s="9"/>
      <c r="G176" s="10"/>
      <c r="H176" s="11"/>
      <c r="I176" s="15"/>
      <c r="J176" s="16"/>
      <c r="K176" s="17"/>
      <c r="L176" s="17"/>
      <c r="M176" s="18"/>
      <c r="N176" s="18" t="s">
        <v>20</v>
      </c>
    </row>
    <row r="177" s="1" customFormat="1" ht="15.75" spans="1:14">
      <c r="A177" s="6"/>
      <c r="B177" s="7"/>
      <c r="C177" s="8"/>
      <c r="D177" s="6"/>
      <c r="E177" s="6"/>
      <c r="F177" s="9"/>
      <c r="G177" s="10"/>
      <c r="H177" s="11"/>
      <c r="I177" s="15"/>
      <c r="J177" s="16"/>
      <c r="K177" s="17"/>
      <c r="L177" s="17"/>
      <c r="M177" s="18"/>
      <c r="N177" s="18" t="s">
        <v>20</v>
      </c>
    </row>
    <row r="178" s="1" customFormat="1" ht="15.75" spans="1:14">
      <c r="A178" s="6"/>
      <c r="B178" s="7"/>
      <c r="C178" s="8"/>
      <c r="D178" s="6"/>
      <c r="E178" s="6"/>
      <c r="F178" s="9"/>
      <c r="G178" s="10"/>
      <c r="H178" s="11"/>
      <c r="I178" s="15"/>
      <c r="J178" s="16"/>
      <c r="K178" s="17"/>
      <c r="L178" s="17"/>
      <c r="M178" s="18"/>
      <c r="N178" s="18" t="s">
        <v>20</v>
      </c>
    </row>
    <row r="179" s="1" customFormat="1" ht="15.75" spans="1:14">
      <c r="A179" s="6"/>
      <c r="B179" s="7"/>
      <c r="C179" s="8"/>
      <c r="D179" s="6"/>
      <c r="E179" s="6"/>
      <c r="F179" s="9"/>
      <c r="G179" s="10"/>
      <c r="H179" s="11"/>
      <c r="I179" s="15"/>
      <c r="J179" s="16"/>
      <c r="K179" s="17"/>
      <c r="L179" s="17"/>
      <c r="M179" s="18"/>
      <c r="N179" s="18" t="s">
        <v>20</v>
      </c>
    </row>
    <row r="180" s="1" customFormat="1" ht="15.75" spans="1:14">
      <c r="A180" s="6"/>
      <c r="B180" s="7"/>
      <c r="C180" s="8"/>
      <c r="D180" s="6"/>
      <c r="E180" s="6"/>
      <c r="F180" s="9"/>
      <c r="G180" s="10"/>
      <c r="H180" s="11"/>
      <c r="I180" s="15"/>
      <c r="J180" s="16"/>
      <c r="K180" s="17"/>
      <c r="L180" s="17"/>
      <c r="M180" s="18"/>
      <c r="N180" s="18" t="s">
        <v>20</v>
      </c>
    </row>
    <row r="181" s="1" customFormat="1" ht="15.75" spans="1:14">
      <c r="A181" s="6"/>
      <c r="B181" s="7"/>
      <c r="C181" s="8"/>
      <c r="D181" s="6"/>
      <c r="E181" s="6"/>
      <c r="F181" s="9"/>
      <c r="G181" s="10"/>
      <c r="H181" s="11"/>
      <c r="I181" s="15"/>
      <c r="J181" s="16"/>
      <c r="K181" s="17"/>
      <c r="L181" s="17"/>
      <c r="M181" s="18"/>
      <c r="N181" s="18" t="s">
        <v>20</v>
      </c>
    </row>
    <row r="182" s="1" customFormat="1" ht="15.75" spans="1:14">
      <c r="A182" s="6"/>
      <c r="B182" s="7"/>
      <c r="C182" s="8"/>
      <c r="D182" s="6"/>
      <c r="E182" s="6"/>
      <c r="F182" s="9"/>
      <c r="G182" s="10"/>
      <c r="H182" s="11"/>
      <c r="I182" s="15"/>
      <c r="J182" s="16"/>
      <c r="K182" s="17"/>
      <c r="L182" s="17"/>
      <c r="M182" s="18"/>
      <c r="N182" s="18" t="s">
        <v>20</v>
      </c>
    </row>
    <row r="183" s="1" customFormat="1" ht="15.75" spans="1:14">
      <c r="A183" s="6"/>
      <c r="B183" s="7"/>
      <c r="C183" s="8"/>
      <c r="D183" s="6"/>
      <c r="E183" s="6"/>
      <c r="F183" s="9"/>
      <c r="G183" s="10"/>
      <c r="H183" s="11"/>
      <c r="I183" s="15"/>
      <c r="J183" s="16"/>
      <c r="K183" s="17"/>
      <c r="L183" s="17"/>
      <c r="M183" s="18"/>
      <c r="N183" s="18" t="s">
        <v>20</v>
      </c>
    </row>
    <row r="184" s="1" customFormat="1" ht="15.75" spans="1:14">
      <c r="A184" s="6"/>
      <c r="B184" s="7"/>
      <c r="C184" s="8"/>
      <c r="D184" s="6"/>
      <c r="E184" s="6"/>
      <c r="F184" s="9"/>
      <c r="G184" s="10"/>
      <c r="H184" s="11"/>
      <c r="I184" s="15"/>
      <c r="J184" s="16"/>
      <c r="K184" s="17"/>
      <c r="L184" s="17"/>
      <c r="M184" s="18"/>
      <c r="N184" s="18" t="s">
        <v>20</v>
      </c>
    </row>
    <row r="185" s="1" customFormat="1" ht="15.75" spans="1:14">
      <c r="A185" s="6"/>
      <c r="B185" s="7"/>
      <c r="C185" s="8"/>
      <c r="D185" s="6"/>
      <c r="E185" s="6"/>
      <c r="F185" s="9"/>
      <c r="G185" s="10"/>
      <c r="H185" s="11"/>
      <c r="I185" s="15"/>
      <c r="J185" s="16"/>
      <c r="K185" s="17"/>
      <c r="L185" s="17"/>
      <c r="M185" s="18"/>
      <c r="N185" s="18" t="s">
        <v>20</v>
      </c>
    </row>
    <row r="186" s="1" customFormat="1" ht="15.75" spans="1:14">
      <c r="A186" s="6"/>
      <c r="B186" s="7"/>
      <c r="C186" s="8"/>
      <c r="D186" s="6"/>
      <c r="E186" s="6"/>
      <c r="F186" s="9"/>
      <c r="G186" s="10"/>
      <c r="H186" s="11"/>
      <c r="I186" s="15"/>
      <c r="J186" s="16"/>
      <c r="K186" s="17"/>
      <c r="L186" s="17"/>
      <c r="M186" s="18"/>
      <c r="N186" s="18" t="s">
        <v>20</v>
      </c>
    </row>
    <row r="187" spans="14:14">
      <c r="N187" t="s">
        <v>20</v>
      </c>
    </row>
    <row r="188" spans="14:14">
      <c r="N188" t="s">
        <v>20</v>
      </c>
    </row>
    <row r="189" spans="14:14">
      <c r="N189" t="s">
        <v>20</v>
      </c>
    </row>
    <row r="190" spans="14:14">
      <c r="N190" t="s">
        <v>20</v>
      </c>
    </row>
    <row r="191" spans="14:14">
      <c r="N191" t="s">
        <v>20</v>
      </c>
    </row>
    <row r="192" spans="14:14">
      <c r="N192" t="s">
        <v>20</v>
      </c>
    </row>
    <row r="193" spans="9:14">
      <c r="I193" s="125"/>
      <c r="N193" t="s">
        <v>20</v>
      </c>
    </row>
    <row r="194" spans="14:14">
      <c r="N194" t="s">
        <v>20</v>
      </c>
    </row>
    <row r="195" spans="14:14">
      <c r="N195" t="s">
        <v>20</v>
      </c>
    </row>
  </sheetData>
  <autoFilter xmlns:etc="http://www.wps.cn/officeDocument/2017/etCustomData" ref="A2:N195" etc:filterBottomFollowUsedRange="0">
    <sortState ref="A2:N195">
      <sortCondition ref="M2"/>
    </sortState>
    <extLst/>
  </autoFilter>
  <mergeCells count="1">
    <mergeCell ref="A1:H1"/>
  </mergeCells>
  <conditionalFormatting sqref="I3:K3">
    <cfRule type="containsText" dxfId="0" priority="259" operator="between" text="待">
      <formula>NOT(ISERROR(SEARCH("待",I3)))</formula>
    </cfRule>
  </conditionalFormatting>
  <conditionalFormatting sqref="J3">
    <cfRule type="containsText" dxfId="1" priority="275" operator="between" text="/">
      <formula>NOT(ISERROR(SEARCH("/",J3)))</formula>
    </cfRule>
  </conditionalFormatting>
  <conditionalFormatting sqref="L3">
    <cfRule type="containsText" dxfId="0" priority="243" operator="between" text="待提单">
      <formula>NOT(ISERROR(SEARCH("待提单",L3)))</formula>
    </cfRule>
    <cfRule type="containsText" dxfId="0" priority="227" operator="between" text="待附件">
      <formula>NOT(ISERROR(SEARCH("待附件",L3)))</formula>
    </cfRule>
  </conditionalFormatting>
  <conditionalFormatting sqref="I4:K4">
    <cfRule type="containsText" dxfId="0" priority="258" operator="between" text="待">
      <formula>NOT(ISERROR(SEARCH("待",I4)))</formula>
    </cfRule>
  </conditionalFormatting>
  <conditionalFormatting sqref="J4">
    <cfRule type="containsText" dxfId="1" priority="274" operator="between" text="/">
      <formula>NOT(ISERROR(SEARCH("/",J4)))</formula>
    </cfRule>
  </conditionalFormatting>
  <conditionalFormatting sqref="L4">
    <cfRule type="containsText" dxfId="0" priority="242" operator="between" text="待提单">
      <formula>NOT(ISERROR(SEARCH("待提单",L4)))</formula>
    </cfRule>
    <cfRule type="containsText" dxfId="0" priority="226" operator="between" text="待附件">
      <formula>NOT(ISERROR(SEARCH("待附件",L4)))</formula>
    </cfRule>
  </conditionalFormatting>
  <conditionalFormatting sqref="I5:K5">
    <cfRule type="containsText" dxfId="0" priority="257" operator="between" text="待">
      <formula>NOT(ISERROR(SEARCH("待",I5)))</formula>
    </cfRule>
  </conditionalFormatting>
  <conditionalFormatting sqref="J5">
    <cfRule type="containsText" dxfId="1" priority="273" operator="between" text="/">
      <formula>NOT(ISERROR(SEARCH("/",J5)))</formula>
    </cfRule>
  </conditionalFormatting>
  <conditionalFormatting sqref="L5">
    <cfRule type="containsText" dxfId="0" priority="241" operator="between" text="待提单">
      <formula>NOT(ISERROR(SEARCH("待提单",L5)))</formula>
    </cfRule>
    <cfRule type="containsText" dxfId="0" priority="225" operator="between" text="待附件">
      <formula>NOT(ISERROR(SEARCH("待附件",L5)))</formula>
    </cfRule>
  </conditionalFormatting>
  <conditionalFormatting sqref="I6:K6">
    <cfRule type="containsText" dxfId="0" priority="256" operator="between" text="待">
      <formula>NOT(ISERROR(SEARCH("待",I6)))</formula>
    </cfRule>
  </conditionalFormatting>
  <conditionalFormatting sqref="J6">
    <cfRule type="containsText" dxfId="1" priority="272" operator="between" text="/">
      <formula>NOT(ISERROR(SEARCH("/",J6)))</formula>
    </cfRule>
  </conditionalFormatting>
  <conditionalFormatting sqref="L6">
    <cfRule type="containsText" dxfId="0" priority="240" operator="between" text="待提单">
      <formula>NOT(ISERROR(SEARCH("待提单",L6)))</formula>
    </cfRule>
    <cfRule type="containsText" dxfId="0" priority="224" operator="between" text="待附件">
      <formula>NOT(ISERROR(SEARCH("待附件",L6)))</formula>
    </cfRule>
  </conditionalFormatting>
  <conditionalFormatting sqref="I7:K7">
    <cfRule type="containsText" dxfId="0" priority="255" operator="between" text="待">
      <formula>NOT(ISERROR(SEARCH("待",I7)))</formula>
    </cfRule>
  </conditionalFormatting>
  <conditionalFormatting sqref="J7">
    <cfRule type="containsText" dxfId="1" priority="271" operator="between" text="/">
      <formula>NOT(ISERROR(SEARCH("/",J7)))</formula>
    </cfRule>
  </conditionalFormatting>
  <conditionalFormatting sqref="L7">
    <cfRule type="containsText" dxfId="0" priority="27" operator="between" text="待提单">
      <formula>NOT(ISERROR(SEARCH("待提单",L7)))</formula>
    </cfRule>
    <cfRule type="containsText" dxfId="0" priority="26" operator="between" text="待附件">
      <formula>NOT(ISERROR(SEARCH("待附件",L7)))</formula>
    </cfRule>
  </conditionalFormatting>
  <conditionalFormatting sqref="I8:K8">
    <cfRule type="containsText" dxfId="0" priority="254" operator="between" text="待">
      <formula>NOT(ISERROR(SEARCH("待",I8)))</formula>
    </cfRule>
  </conditionalFormatting>
  <conditionalFormatting sqref="J8">
    <cfRule type="containsText" dxfId="1" priority="270" operator="between" text="/">
      <formula>NOT(ISERROR(SEARCH("/",J8)))</formula>
    </cfRule>
  </conditionalFormatting>
  <conditionalFormatting sqref="L8">
    <cfRule type="containsText" dxfId="0" priority="25" operator="between" text="待提单">
      <formula>NOT(ISERROR(SEARCH("待提单",L8)))</formula>
    </cfRule>
    <cfRule type="containsText" dxfId="0" priority="24" operator="between" text="待附件">
      <formula>NOT(ISERROR(SEARCH("待附件",L8)))</formula>
    </cfRule>
  </conditionalFormatting>
  <conditionalFormatting sqref="I9:K9">
    <cfRule type="containsText" dxfId="0" priority="253" operator="between" text="待">
      <formula>NOT(ISERROR(SEARCH("待",I9)))</formula>
    </cfRule>
  </conditionalFormatting>
  <conditionalFormatting sqref="J9">
    <cfRule type="containsText" dxfId="1" priority="269" operator="between" text="/">
      <formula>NOT(ISERROR(SEARCH("/",J9)))</formula>
    </cfRule>
  </conditionalFormatting>
  <conditionalFormatting sqref="L9">
    <cfRule type="containsText" dxfId="0" priority="237" operator="between" text="待提单">
      <formula>NOT(ISERROR(SEARCH("待提单",L9)))</formula>
    </cfRule>
    <cfRule type="containsText" dxfId="0" priority="221" operator="between" text="待附件">
      <formula>NOT(ISERROR(SEARCH("待附件",L9)))</formula>
    </cfRule>
  </conditionalFormatting>
  <conditionalFormatting sqref="I10:K10">
    <cfRule type="containsText" dxfId="0" priority="252" operator="between" text="待">
      <formula>NOT(ISERROR(SEARCH("待",I10)))</formula>
    </cfRule>
  </conditionalFormatting>
  <conditionalFormatting sqref="J10">
    <cfRule type="containsText" dxfId="1" priority="268" operator="between" text="/">
      <formula>NOT(ISERROR(SEARCH("/",J10)))</formula>
    </cfRule>
  </conditionalFormatting>
  <conditionalFormatting sqref="L10">
    <cfRule type="containsText" dxfId="0" priority="23" operator="between" text="待提单">
      <formula>NOT(ISERROR(SEARCH("待提单",L10)))</formula>
    </cfRule>
    <cfRule type="containsText" dxfId="0" priority="22" operator="between" text="待附件">
      <formula>NOT(ISERROR(SEARCH("待附件",L10)))</formula>
    </cfRule>
  </conditionalFormatting>
  <conditionalFormatting sqref="I11:K11">
    <cfRule type="containsText" dxfId="0" priority="251" operator="between" text="待">
      <formula>NOT(ISERROR(SEARCH("待",I11)))</formula>
    </cfRule>
  </conditionalFormatting>
  <conditionalFormatting sqref="J11">
    <cfRule type="containsText" dxfId="1" priority="267" operator="between" text="/">
      <formula>NOT(ISERROR(SEARCH("/",J11)))</formula>
    </cfRule>
  </conditionalFormatting>
  <conditionalFormatting sqref="L11">
    <cfRule type="containsText" dxfId="0" priority="235" operator="between" text="待提单">
      <formula>NOT(ISERROR(SEARCH("待提单",L11)))</formula>
    </cfRule>
    <cfRule type="containsText" dxfId="0" priority="219" operator="between" text="待附件">
      <formula>NOT(ISERROR(SEARCH("待附件",L11)))</formula>
    </cfRule>
  </conditionalFormatting>
  <conditionalFormatting sqref="I12:K12">
    <cfRule type="containsText" dxfId="0" priority="250" operator="between" text="待">
      <formula>NOT(ISERROR(SEARCH("待",I12)))</formula>
    </cfRule>
  </conditionalFormatting>
  <conditionalFormatting sqref="J12">
    <cfRule type="containsText" dxfId="1" priority="266" operator="between" text="/">
      <formula>NOT(ISERROR(SEARCH("/",J12)))</formula>
    </cfRule>
  </conditionalFormatting>
  <conditionalFormatting sqref="L12">
    <cfRule type="containsText" dxfId="0" priority="234" operator="between" text="待提单">
      <formula>NOT(ISERROR(SEARCH("待提单",L12)))</formula>
    </cfRule>
    <cfRule type="containsText" dxfId="0" priority="218" operator="between" text="待附件">
      <formula>NOT(ISERROR(SEARCH("待附件",L12)))</formula>
    </cfRule>
  </conditionalFormatting>
  <conditionalFormatting sqref="I13:K13">
    <cfRule type="containsText" dxfId="0" priority="249" operator="between" text="待">
      <formula>NOT(ISERROR(SEARCH("待",I13)))</formula>
    </cfRule>
  </conditionalFormatting>
  <conditionalFormatting sqref="J13">
    <cfRule type="containsText" dxfId="1" priority="265" operator="between" text="/">
      <formula>NOT(ISERROR(SEARCH("/",J13)))</formula>
    </cfRule>
  </conditionalFormatting>
  <conditionalFormatting sqref="L13">
    <cfRule type="containsText" dxfId="0" priority="233" operator="between" text="待提单">
      <formula>NOT(ISERROR(SEARCH("待提单",L13)))</formula>
    </cfRule>
    <cfRule type="containsText" dxfId="0" priority="217" operator="between" text="待附件">
      <formula>NOT(ISERROR(SEARCH("待附件",L13)))</formula>
    </cfRule>
  </conditionalFormatting>
  <conditionalFormatting sqref="I14:K14">
    <cfRule type="containsText" dxfId="0" priority="248" operator="between" text="待">
      <formula>NOT(ISERROR(SEARCH("待",I14)))</formula>
    </cfRule>
  </conditionalFormatting>
  <conditionalFormatting sqref="J14">
    <cfRule type="containsText" dxfId="1" priority="264" operator="between" text="/">
      <formula>NOT(ISERROR(SEARCH("/",J14)))</formula>
    </cfRule>
  </conditionalFormatting>
  <conditionalFormatting sqref="L14">
    <cfRule type="containsText" dxfId="0" priority="232" operator="between" text="待提单">
      <formula>NOT(ISERROR(SEARCH("待提单",L14)))</formula>
    </cfRule>
    <cfRule type="containsText" dxfId="0" priority="216" operator="between" text="待附件">
      <formula>NOT(ISERROR(SEARCH("待附件",L14)))</formula>
    </cfRule>
  </conditionalFormatting>
  <conditionalFormatting sqref="I15:K15">
    <cfRule type="containsText" dxfId="0" priority="247" operator="between" text="待">
      <formula>NOT(ISERROR(SEARCH("待",I15)))</formula>
    </cfRule>
  </conditionalFormatting>
  <conditionalFormatting sqref="J15">
    <cfRule type="containsText" dxfId="1" priority="263" operator="between" text="/">
      <formula>NOT(ISERROR(SEARCH("/",J15)))</formula>
    </cfRule>
  </conditionalFormatting>
  <conditionalFormatting sqref="L15">
    <cfRule type="containsText" dxfId="0" priority="231" operator="between" text="待提单">
      <formula>NOT(ISERROR(SEARCH("待提单",L15)))</formula>
    </cfRule>
    <cfRule type="containsText" dxfId="0" priority="215" operator="between" text="待附件">
      <formula>NOT(ISERROR(SEARCH("待附件",L15)))</formula>
    </cfRule>
  </conditionalFormatting>
  <conditionalFormatting sqref="I16:K16">
    <cfRule type="containsText" dxfId="0" priority="246" operator="between" text="待">
      <formula>NOT(ISERROR(SEARCH("待",I16)))</formula>
    </cfRule>
  </conditionalFormatting>
  <conditionalFormatting sqref="J16">
    <cfRule type="containsText" dxfId="1" priority="262" operator="between" text="/">
      <formula>NOT(ISERROR(SEARCH("/",J16)))</formula>
    </cfRule>
  </conditionalFormatting>
  <conditionalFormatting sqref="L16">
    <cfRule type="containsText" dxfId="0" priority="230" operator="between" text="待提单">
      <formula>NOT(ISERROR(SEARCH("待提单",L16)))</formula>
    </cfRule>
    <cfRule type="containsText" dxfId="0" priority="214" operator="between" text="待附件">
      <formula>NOT(ISERROR(SEARCH("待附件",L16)))</formula>
    </cfRule>
  </conditionalFormatting>
  <conditionalFormatting sqref="I17:K17">
    <cfRule type="containsText" dxfId="0" priority="245" operator="between" text="待">
      <formula>NOT(ISERROR(SEARCH("待",I17)))</formula>
    </cfRule>
  </conditionalFormatting>
  <conditionalFormatting sqref="J17">
    <cfRule type="containsText" dxfId="1" priority="261" operator="between" text="/">
      <formula>NOT(ISERROR(SEARCH("/",J17)))</formula>
    </cfRule>
  </conditionalFormatting>
  <conditionalFormatting sqref="L17">
    <cfRule type="containsText" dxfId="0" priority="229" operator="between" text="待提单">
      <formula>NOT(ISERROR(SEARCH("待提单",L17)))</formula>
    </cfRule>
    <cfRule type="containsText" dxfId="0" priority="213" operator="between" text="待附件">
      <formula>NOT(ISERROR(SEARCH("待附件",L17)))</formula>
    </cfRule>
  </conditionalFormatting>
  <conditionalFormatting sqref="I18:K18">
    <cfRule type="containsText" dxfId="0" priority="244" operator="between" text="待">
      <formula>NOT(ISERROR(SEARCH("待",I18)))</formula>
    </cfRule>
  </conditionalFormatting>
  <conditionalFormatting sqref="J18">
    <cfRule type="containsText" dxfId="1" priority="260" operator="between" text="/">
      <formula>NOT(ISERROR(SEARCH("/",J18)))</formula>
    </cfRule>
  </conditionalFormatting>
  <conditionalFormatting sqref="L18">
    <cfRule type="containsText" dxfId="0" priority="228" operator="between" text="待提单">
      <formula>NOT(ISERROR(SEARCH("待提单",L18)))</formula>
    </cfRule>
    <cfRule type="containsText" dxfId="0" priority="212" operator="between" text="待附件">
      <formula>NOT(ISERROR(SEARCH("待附件",L18)))</formula>
    </cfRule>
  </conditionalFormatting>
  <conditionalFormatting sqref="I19:K19">
    <cfRule type="containsText" dxfId="0" priority="198" operator="between" text="待">
      <formula>NOT(ISERROR(SEARCH("待",I19)))</formula>
    </cfRule>
  </conditionalFormatting>
  <conditionalFormatting sqref="J19">
    <cfRule type="containsText" dxfId="1" priority="199" operator="between" text="/">
      <formula>NOT(ISERROR(SEARCH("/",J19)))</formula>
    </cfRule>
  </conditionalFormatting>
  <conditionalFormatting sqref="L19">
    <cfRule type="containsText" dxfId="0" priority="197" operator="between" text="待提单">
      <formula>NOT(ISERROR(SEARCH("待提单",L19)))</formula>
    </cfRule>
    <cfRule type="containsText" dxfId="0" priority="196" operator="between" text="待附件">
      <formula>NOT(ISERROR(SEARCH("待附件",L19)))</formula>
    </cfRule>
  </conditionalFormatting>
  <conditionalFormatting sqref="L20">
    <cfRule type="containsText" dxfId="0" priority="29" operator="between" text="待提单">
      <formula>NOT(ISERROR(SEARCH("待提单",L20)))</formula>
    </cfRule>
    <cfRule type="containsText" dxfId="0" priority="28" operator="between" text="待附件">
      <formula>NOT(ISERROR(SEARCH("待附件",L20)))</formula>
    </cfRule>
  </conditionalFormatting>
  <conditionalFormatting sqref="J27">
    <cfRule type="containsText" dxfId="1" priority="202" operator="between" text="/">
      <formula>NOT(ISERROR(SEARCH("/",J27)))</formula>
    </cfRule>
  </conditionalFormatting>
  <conditionalFormatting sqref="I33:J33">
    <cfRule type="containsText" dxfId="0" priority="205" operator="between" text="待">
      <formula>NOT(ISERROR(SEARCH("待",I33)))</formula>
    </cfRule>
  </conditionalFormatting>
  <conditionalFormatting sqref="J33">
    <cfRule type="containsText" dxfId="1" priority="206" operator="between" text="/">
      <formula>NOT(ISERROR(SEARCH("/",J33)))</formula>
    </cfRule>
  </conditionalFormatting>
  <conditionalFormatting sqref="I34:J34">
    <cfRule type="containsText" dxfId="0" priority="203" operator="between" text="待">
      <formula>NOT(ISERROR(SEARCH("待",I34)))</formula>
    </cfRule>
  </conditionalFormatting>
  <conditionalFormatting sqref="J34">
    <cfRule type="containsText" dxfId="1" priority="204" operator="between" text="/">
      <formula>NOT(ISERROR(SEARCH("/",J34)))</formula>
    </cfRule>
  </conditionalFormatting>
  <conditionalFormatting sqref="I36:J36">
    <cfRule type="containsText" dxfId="0" priority="194" operator="between" text="待">
      <formula>NOT(ISERROR(SEARCH("待",I36)))</formula>
    </cfRule>
  </conditionalFormatting>
  <conditionalFormatting sqref="J36">
    <cfRule type="containsText" dxfId="1" priority="195" operator="between" text="/">
      <formula>NOT(ISERROR(SEARCH("/",J36)))</formula>
    </cfRule>
  </conditionalFormatting>
  <conditionalFormatting sqref="L37">
    <cfRule type="containsText" dxfId="0" priority="187" operator="between" text="待提单">
      <formula>NOT(ISERROR(SEARCH("待提单",L37)))</formula>
    </cfRule>
    <cfRule type="containsText" dxfId="0" priority="186" operator="between" text="待附件">
      <formula>NOT(ISERROR(SEARCH("待附件",L37)))</formula>
    </cfRule>
  </conditionalFormatting>
  <conditionalFormatting sqref="L38">
    <cfRule type="containsText" dxfId="0" priority="69" operator="between" text="待提单">
      <formula>NOT(ISERROR(SEARCH("待提单",L38)))</formula>
    </cfRule>
    <cfRule type="containsText" dxfId="0" priority="68" operator="between" text="待附件">
      <formula>NOT(ISERROR(SEARCH("待附件",L38)))</formula>
    </cfRule>
  </conditionalFormatting>
  <conditionalFormatting sqref="L39">
    <cfRule type="containsText" dxfId="0" priority="65" operator="between" text="待提单">
      <formula>NOT(ISERROR(SEARCH("待提单",L39)))</formula>
    </cfRule>
    <cfRule type="containsText" dxfId="0" priority="64" operator="between" text="待附件">
      <formula>NOT(ISERROR(SEARCH("待附件",L39)))</formula>
    </cfRule>
  </conditionalFormatting>
  <conditionalFormatting sqref="L40">
    <cfRule type="containsText" dxfId="0" priority="71" operator="between" text="待提单">
      <formula>NOT(ISERROR(SEARCH("待提单",L40)))</formula>
    </cfRule>
    <cfRule type="containsText" dxfId="0" priority="70" operator="between" text="待附件">
      <formula>NOT(ISERROR(SEARCH("待附件",L40)))</formula>
    </cfRule>
  </conditionalFormatting>
  <conditionalFormatting sqref="K43">
    <cfRule type="containsText" dxfId="0" priority="185" operator="between" text="待">
      <formula>NOT(ISERROR(SEARCH("待",K43)))</formula>
    </cfRule>
  </conditionalFormatting>
  <conditionalFormatting sqref="I44:J44">
    <cfRule type="containsText" dxfId="0" priority="188" operator="between" text="待">
      <formula>NOT(ISERROR(SEARCH("待",I44)))</formula>
    </cfRule>
  </conditionalFormatting>
  <conditionalFormatting sqref="J44">
    <cfRule type="containsText" dxfId="1" priority="189" operator="between" text="/">
      <formula>NOT(ISERROR(SEARCH("/",J44)))</formula>
    </cfRule>
  </conditionalFormatting>
  <conditionalFormatting sqref="J48">
    <cfRule type="containsText" dxfId="0" priority="134" operator="between" text="待">
      <formula>NOT(ISERROR(SEARCH("待",J48)))</formula>
    </cfRule>
    <cfRule type="containsText" dxfId="1" priority="133" operator="between" text="/">
      <formula>NOT(ISERROR(SEARCH("/",J48)))</formula>
    </cfRule>
  </conditionalFormatting>
  <conditionalFormatting sqref="L48">
    <cfRule type="containsText" dxfId="0" priority="67" operator="between" text="待提单">
      <formula>NOT(ISERROR(SEARCH("待提单",L48)))</formula>
    </cfRule>
    <cfRule type="containsText" dxfId="0" priority="66" operator="between" text="待附件">
      <formula>NOT(ISERROR(SEARCH("待附件",L48)))</formula>
    </cfRule>
  </conditionalFormatting>
  <conditionalFormatting sqref="I49">
    <cfRule type="containsText" dxfId="0" priority="172" operator="between" text="待">
      <formula>NOT(ISERROR(SEARCH("待",I49)))</formula>
    </cfRule>
  </conditionalFormatting>
  <conditionalFormatting sqref="I50">
    <cfRule type="containsText" dxfId="0" priority="171" operator="between" text="待">
      <formula>NOT(ISERROR(SEARCH("待",I50)))</formula>
    </cfRule>
  </conditionalFormatting>
  <conditionalFormatting sqref="I51:J51">
    <cfRule type="containsText" dxfId="0" priority="122" operator="between" text="待">
      <formula>NOT(ISERROR(SEARCH("待",I51)))</formula>
    </cfRule>
  </conditionalFormatting>
  <conditionalFormatting sqref="J51">
    <cfRule type="containsText" dxfId="1" priority="121" operator="between" text="/">
      <formula>NOT(ISERROR(SEARCH("/",J51)))</formula>
    </cfRule>
  </conditionalFormatting>
  <conditionalFormatting sqref="K51">
    <cfRule type="containsText" dxfId="0" priority="170" operator="between" text="待">
      <formula>NOT(ISERROR(SEARCH("待",K51)))</formula>
    </cfRule>
  </conditionalFormatting>
  <conditionalFormatting sqref="J54">
    <cfRule type="containsText" dxfId="1" priority="177" operator="between" text="/">
      <formula>NOT(ISERROR(SEARCH("/",J54)))</formula>
    </cfRule>
  </conditionalFormatting>
  <conditionalFormatting sqref="J55">
    <cfRule type="containsText" dxfId="1" priority="176" operator="between" text="/">
      <formula>NOT(ISERROR(SEARCH("/",J55)))</formula>
    </cfRule>
  </conditionalFormatting>
  <conditionalFormatting sqref="I56:K56">
    <cfRule type="containsText" dxfId="0" priority="179" operator="between" text="待">
      <formula>NOT(ISERROR(SEARCH("待",I56)))</formula>
    </cfRule>
  </conditionalFormatting>
  <conditionalFormatting sqref="K59">
    <cfRule type="containsText" dxfId="0" priority="149" operator="between" text="待">
      <formula>NOT(ISERROR(SEARCH("待",K59)))</formula>
    </cfRule>
  </conditionalFormatting>
  <conditionalFormatting sqref="I64:K64">
    <cfRule type="containsText" dxfId="0" priority="159" operator="between" text="待">
      <formula>NOT(ISERROR(SEARCH("待",I64)))</formula>
    </cfRule>
  </conditionalFormatting>
  <conditionalFormatting sqref="J64">
    <cfRule type="containsText" dxfId="1" priority="156" operator="between" text="/">
      <formula>NOT(ISERROR(SEARCH("/",J64)))</formula>
    </cfRule>
  </conditionalFormatting>
  <conditionalFormatting sqref="L64">
    <cfRule type="containsText" dxfId="0" priority="158" operator="between" text="待提单">
      <formula>NOT(ISERROR(SEARCH("待提单",L64)))</formula>
    </cfRule>
    <cfRule type="containsText" dxfId="0" priority="157" operator="between" text="待附件">
      <formula>NOT(ISERROR(SEARCH("待附件",L64)))</formula>
    </cfRule>
  </conditionalFormatting>
  <conditionalFormatting sqref="I65">
    <cfRule type="containsText" dxfId="0" priority="160" operator="between" text="待">
      <formula>NOT(ISERROR(SEARCH("待",I65)))</formula>
    </cfRule>
  </conditionalFormatting>
  <conditionalFormatting sqref="I66:J66">
    <cfRule type="containsText" dxfId="0" priority="154" operator="between" text="待">
      <formula>NOT(ISERROR(SEARCH("待",I66)))</formula>
    </cfRule>
  </conditionalFormatting>
  <conditionalFormatting sqref="J66">
    <cfRule type="containsText" dxfId="1" priority="155" operator="between" text="/">
      <formula>NOT(ISERROR(SEARCH("/",J66)))</formula>
    </cfRule>
  </conditionalFormatting>
  <conditionalFormatting sqref="I67:J67">
    <cfRule type="containsText" dxfId="0" priority="152" operator="between" text="待">
      <formula>NOT(ISERROR(SEARCH("待",I67)))</formula>
    </cfRule>
  </conditionalFormatting>
  <conditionalFormatting sqref="J67">
    <cfRule type="containsText" dxfId="1" priority="153" operator="between" text="/">
      <formula>NOT(ISERROR(SEARCH("/",J67)))</formula>
    </cfRule>
  </conditionalFormatting>
  <conditionalFormatting sqref="I68:J68">
    <cfRule type="containsText" dxfId="0" priority="150" operator="between" text="待">
      <formula>NOT(ISERROR(SEARCH("待",I68)))</formula>
    </cfRule>
  </conditionalFormatting>
  <conditionalFormatting sqref="J68">
    <cfRule type="containsText" dxfId="1" priority="151" operator="between" text="/">
      <formula>NOT(ISERROR(SEARCH("/",J68)))</formula>
    </cfRule>
  </conditionalFormatting>
  <conditionalFormatting sqref="I70">
    <cfRule type="containsText" dxfId="0" priority="128" operator="between" text="待">
      <formula>NOT(ISERROR(SEARCH("待",I70)))</formula>
    </cfRule>
  </conditionalFormatting>
  <conditionalFormatting sqref="J70:K70">
    <cfRule type="containsText" dxfId="0" priority="161" operator="between" text="待">
      <formula>NOT(ISERROR(SEARCH("待",J70)))</formula>
    </cfRule>
  </conditionalFormatting>
  <conditionalFormatting sqref="J71">
    <cfRule type="containsText" dxfId="1" priority="148" operator="between" text="/">
      <formula>NOT(ISERROR(SEARCH("/",J71)))</formula>
    </cfRule>
  </conditionalFormatting>
  <conditionalFormatting sqref="J72">
    <cfRule type="containsText" dxfId="1" priority="147" operator="between" text="/">
      <formula>NOT(ISERROR(SEARCH("/",J72)))</formula>
    </cfRule>
  </conditionalFormatting>
  <conditionalFormatting sqref="I73">
    <cfRule type="containsText" dxfId="0" priority="137" operator="between" text="待">
      <formula>NOT(ISERROR(SEARCH("待",I73)))</formula>
    </cfRule>
  </conditionalFormatting>
  <conditionalFormatting sqref="J73">
    <cfRule type="containsText" dxfId="0" priority="132" operator="between" text="待">
      <formula>NOT(ISERROR(SEARCH("待",J73)))</formula>
    </cfRule>
    <cfRule type="containsText" dxfId="1" priority="131" operator="between" text="/">
      <formula>NOT(ISERROR(SEARCH("/",J73)))</formula>
    </cfRule>
  </conditionalFormatting>
  <conditionalFormatting sqref="L73">
    <cfRule type="containsText" dxfId="0" priority="130" operator="between" text="待提单">
      <formula>NOT(ISERROR(SEARCH("待提单",L73)))</formula>
    </cfRule>
    <cfRule type="containsText" dxfId="0" priority="129" operator="between" text="待附件">
      <formula>NOT(ISERROR(SEARCH("待附件",L73)))</formula>
    </cfRule>
  </conditionalFormatting>
  <conditionalFormatting sqref="I74">
    <cfRule type="containsText" dxfId="0" priority="141" operator="between" text="待">
      <formula>NOT(ISERROR(SEARCH("待",I74)))</formula>
    </cfRule>
  </conditionalFormatting>
  <conditionalFormatting sqref="J74">
    <cfRule type="containsText" dxfId="1" priority="140" operator="between" text="/">
      <formula>NOT(ISERROR(SEARCH("/",J74)))</formula>
    </cfRule>
    <cfRule type="containsText" dxfId="0" priority="139" operator="between" text="待">
      <formula>NOT(ISERROR(SEARCH("待",J74)))</formula>
    </cfRule>
  </conditionalFormatting>
  <conditionalFormatting sqref="I75:J75">
    <cfRule type="containsText" dxfId="0" priority="145" operator="between" text="待">
      <formula>NOT(ISERROR(SEARCH("待",I75)))</formula>
    </cfRule>
  </conditionalFormatting>
  <conditionalFormatting sqref="J75">
    <cfRule type="containsText" dxfId="1" priority="144" operator="between" text="/">
      <formula>NOT(ISERROR(SEARCH("/",J75)))</formula>
    </cfRule>
  </conditionalFormatting>
  <conditionalFormatting sqref="I76:J76">
    <cfRule type="containsText" dxfId="0" priority="143" operator="between" text="待">
      <formula>NOT(ISERROR(SEARCH("待",I76)))</formula>
    </cfRule>
  </conditionalFormatting>
  <conditionalFormatting sqref="J76">
    <cfRule type="containsText" dxfId="1" priority="142" operator="between" text="/">
      <formula>NOT(ISERROR(SEARCH("/",J76)))</formula>
    </cfRule>
  </conditionalFormatting>
  <conditionalFormatting sqref="K76">
    <cfRule type="containsText" dxfId="0" priority="439" operator="between" text="待">
      <formula>NOT(ISERROR(SEARCH("待",K76)))</formula>
    </cfRule>
  </conditionalFormatting>
  <conditionalFormatting sqref="I77:J77">
    <cfRule type="containsText" dxfId="0" priority="135" operator="between" text="待">
      <formula>NOT(ISERROR(SEARCH("待",I77)))</formula>
    </cfRule>
  </conditionalFormatting>
  <conditionalFormatting sqref="J77">
    <cfRule type="containsText" dxfId="1" priority="136" operator="between" text="/">
      <formula>NOT(ISERROR(SEARCH("/",J77)))</formula>
    </cfRule>
  </conditionalFormatting>
  <conditionalFormatting sqref="J78">
    <cfRule type="containsText" dxfId="1" priority="127" operator="between" text="/">
      <formula>NOT(ISERROR(SEARCH("/",J78)))</formula>
    </cfRule>
  </conditionalFormatting>
  <conditionalFormatting sqref="K78">
    <cfRule type="containsText" dxfId="0" priority="438" operator="between" text="待">
      <formula>NOT(ISERROR(SEARCH("待",K78)))</formula>
    </cfRule>
  </conditionalFormatting>
  <conditionalFormatting sqref="J79">
    <cfRule type="containsText" dxfId="1" priority="126" operator="between" text="/">
      <formula>NOT(ISERROR(SEARCH("/",J79)))</formula>
    </cfRule>
  </conditionalFormatting>
  <conditionalFormatting sqref="J80">
    <cfRule type="containsText" dxfId="1" priority="125" operator="between" text="/">
      <formula>NOT(ISERROR(SEARCH("/",J80)))</formula>
    </cfRule>
  </conditionalFormatting>
  <conditionalFormatting sqref="L81">
    <cfRule type="containsText" dxfId="0" priority="9" operator="between" text="待提单">
      <formula>NOT(ISERROR(SEARCH("待提单",L81)))</formula>
    </cfRule>
    <cfRule type="containsText" dxfId="0" priority="8" operator="between" text="待附件">
      <formula>NOT(ISERROR(SEARCH("待附件",L81)))</formula>
    </cfRule>
  </conditionalFormatting>
  <conditionalFormatting sqref="I82:J82">
    <cfRule type="containsText" dxfId="0" priority="117" operator="between" text="待">
      <formula>NOT(ISERROR(SEARCH("待",I82)))</formula>
    </cfRule>
  </conditionalFormatting>
  <conditionalFormatting sqref="J82">
    <cfRule type="containsText" dxfId="1" priority="118" operator="between" text="/">
      <formula>NOT(ISERROR(SEARCH("/",J82)))</formula>
    </cfRule>
  </conditionalFormatting>
  <conditionalFormatting sqref="I83">
    <cfRule type="containsText" dxfId="0" priority="123" operator="between" text="待">
      <formula>NOT(ISERROR(SEARCH("待",I83)))</formula>
    </cfRule>
  </conditionalFormatting>
  <conditionalFormatting sqref="I84:K84">
    <cfRule type="containsText" dxfId="0" priority="437" operator="between" text="待">
      <formula>NOT(ISERROR(SEARCH("待",I84)))</formula>
    </cfRule>
  </conditionalFormatting>
  <conditionalFormatting sqref="J89">
    <cfRule type="containsText" dxfId="1" priority="116" operator="between" text="/">
      <formula>NOT(ISERROR(SEARCH("/",J89)))</formula>
    </cfRule>
  </conditionalFormatting>
  <conditionalFormatting sqref="J90">
    <cfRule type="containsText" dxfId="1" priority="115" operator="between" text="/">
      <formula>NOT(ISERROR(SEARCH("/",J90)))</formula>
    </cfRule>
  </conditionalFormatting>
  <conditionalFormatting sqref="I91:J91">
    <cfRule type="containsText" dxfId="0" priority="113" operator="between" text="待">
      <formula>NOT(ISERROR(SEARCH("待",I91)))</formula>
    </cfRule>
  </conditionalFormatting>
  <conditionalFormatting sqref="J91">
    <cfRule type="containsText" dxfId="1" priority="114" operator="between" text="/">
      <formula>NOT(ISERROR(SEARCH("/",J91)))</formula>
    </cfRule>
  </conditionalFormatting>
  <conditionalFormatting sqref="J92">
    <cfRule type="containsText" dxfId="1" priority="112" operator="between" text="/">
      <formula>NOT(ISERROR(SEARCH("/",J92)))</formula>
    </cfRule>
  </conditionalFormatting>
  <conditionalFormatting sqref="J93">
    <cfRule type="containsText" dxfId="1" priority="111" operator="between" text="/">
      <formula>NOT(ISERROR(SEARCH("/",J93)))</formula>
    </cfRule>
  </conditionalFormatting>
  <conditionalFormatting sqref="J95">
    <cfRule type="containsText" dxfId="1" priority="110" operator="between" text="/">
      <formula>NOT(ISERROR(SEARCH("/",J95)))</formula>
    </cfRule>
  </conditionalFormatting>
  <conditionalFormatting sqref="I98:J98">
    <cfRule type="containsText" dxfId="0" priority="108" operator="between" text="待">
      <formula>NOT(ISERROR(SEARCH("待",I98)))</formula>
    </cfRule>
  </conditionalFormatting>
  <conditionalFormatting sqref="J98">
    <cfRule type="containsText" dxfId="1" priority="109" operator="between" text="/">
      <formula>NOT(ISERROR(SEARCH("/",J98)))</formula>
    </cfRule>
  </conditionalFormatting>
  <conditionalFormatting sqref="I99">
    <cfRule type="containsText" dxfId="0" priority="93" operator="between" text="待">
      <formula>NOT(ISERROR(SEARCH("待",I99)))</formula>
    </cfRule>
  </conditionalFormatting>
  <conditionalFormatting sqref="J99">
    <cfRule type="containsText" dxfId="0" priority="95" operator="between" text="待">
      <formula>NOT(ISERROR(SEARCH("待",J99)))</formula>
    </cfRule>
    <cfRule type="containsText" dxfId="1" priority="94" operator="between" text="/">
      <formula>NOT(ISERROR(SEARCH("/",J99)))</formula>
    </cfRule>
  </conditionalFormatting>
  <conditionalFormatting sqref="I100">
    <cfRule type="containsText" dxfId="0" priority="98" operator="between" text="待">
      <formula>NOT(ISERROR(SEARCH("待",I100)))</formula>
    </cfRule>
  </conditionalFormatting>
  <conditionalFormatting sqref="I101:J101">
    <cfRule type="containsText" dxfId="0" priority="91" operator="between" text="待">
      <formula>NOT(ISERROR(SEARCH("待",I101)))</formula>
    </cfRule>
  </conditionalFormatting>
  <conditionalFormatting sqref="J101">
    <cfRule type="containsText" dxfId="1" priority="92" operator="between" text="/">
      <formula>NOT(ISERROR(SEARCH("/",J101)))</formula>
    </cfRule>
  </conditionalFormatting>
  <conditionalFormatting sqref="I102:K102">
    <cfRule type="containsText" dxfId="0" priority="77" operator="between" text="待">
      <formula>NOT(ISERROR(SEARCH("待",I102)))</formula>
    </cfRule>
  </conditionalFormatting>
  <conditionalFormatting sqref="J102">
    <cfRule type="containsText" dxfId="1" priority="76" operator="between" text="/">
      <formula>NOT(ISERROR(SEARCH("/",J102)))</formula>
    </cfRule>
  </conditionalFormatting>
  <conditionalFormatting sqref="L102">
    <cfRule type="containsText" dxfId="0" priority="75" operator="between" text="待提单">
      <formula>NOT(ISERROR(SEARCH("待提单",L102)))</formula>
    </cfRule>
    <cfRule type="containsText" dxfId="0" priority="74" operator="between" text="待附件">
      <formula>NOT(ISERROR(SEARCH("待附件",L102)))</formula>
    </cfRule>
  </conditionalFormatting>
  <conditionalFormatting sqref="I103">
    <cfRule type="containsText" dxfId="0" priority="82" operator="between" text="待">
      <formula>NOT(ISERROR(SEARCH("待",I103)))</formula>
    </cfRule>
  </conditionalFormatting>
  <conditionalFormatting sqref="J103">
    <cfRule type="containsText" dxfId="0" priority="81" operator="between" text="待">
      <formula>NOT(ISERROR(SEARCH("待",J103)))</formula>
    </cfRule>
    <cfRule type="containsText" dxfId="1" priority="80" operator="between" text="/">
      <formula>NOT(ISERROR(SEARCH("/",J103)))</formula>
    </cfRule>
  </conditionalFormatting>
  <conditionalFormatting sqref="K103">
    <cfRule type="containsText" dxfId="0" priority="83" operator="between" text="待">
      <formula>NOT(ISERROR(SEARCH("待",K103)))</formula>
    </cfRule>
  </conditionalFormatting>
  <conditionalFormatting sqref="L103">
    <cfRule type="containsText" dxfId="0" priority="41" operator="between" text="待提单">
      <formula>NOT(ISERROR(SEARCH("待提单",L103)))</formula>
    </cfRule>
    <cfRule type="containsText" dxfId="0" priority="40" operator="between" text="待附件">
      <formula>NOT(ISERROR(SEARCH("待附件",L103)))</formula>
    </cfRule>
  </conditionalFormatting>
  <conditionalFormatting sqref="I104">
    <cfRule type="containsText" dxfId="0" priority="84" operator="between" text="待">
      <formula>NOT(ISERROR(SEARCH("待",I104)))</formula>
    </cfRule>
  </conditionalFormatting>
  <conditionalFormatting sqref="J105">
    <cfRule type="containsText" dxfId="1" priority="106" operator="between" text="/">
      <formula>NOT(ISERROR(SEARCH("/",J105)))</formula>
    </cfRule>
  </conditionalFormatting>
  <conditionalFormatting sqref="J106">
    <cfRule type="containsText" dxfId="1" priority="105" operator="between" text="/">
      <formula>NOT(ISERROR(SEARCH("/",J106)))</formula>
    </cfRule>
  </conditionalFormatting>
  <conditionalFormatting sqref="J107">
    <cfRule type="containsText" dxfId="1" priority="104" operator="between" text="/">
      <formula>NOT(ISERROR(SEARCH("/",J107)))</formula>
    </cfRule>
  </conditionalFormatting>
  <conditionalFormatting sqref="I108:J108">
    <cfRule type="containsText" dxfId="0" priority="101" operator="between" text="待">
      <formula>NOT(ISERROR(SEARCH("待",I108)))</formula>
    </cfRule>
  </conditionalFormatting>
  <conditionalFormatting sqref="J108">
    <cfRule type="containsText" dxfId="1" priority="100" operator="between" text="/">
      <formula>NOT(ISERROR(SEARCH("/",J108)))</formula>
    </cfRule>
  </conditionalFormatting>
  <conditionalFormatting sqref="I110:J110">
    <cfRule type="containsText" dxfId="0" priority="89" operator="between" text="待">
      <formula>NOT(ISERROR(SEARCH("待",I110)))</formula>
    </cfRule>
  </conditionalFormatting>
  <conditionalFormatting sqref="J110">
    <cfRule type="containsText" dxfId="1" priority="90" operator="between" text="/">
      <formula>NOT(ISERROR(SEARCH("/",J110)))</formula>
    </cfRule>
  </conditionalFormatting>
  <conditionalFormatting sqref="I111:J111">
    <cfRule type="containsText" dxfId="0" priority="87" operator="between" text="待">
      <formula>NOT(ISERROR(SEARCH("待",I111)))</formula>
    </cfRule>
  </conditionalFormatting>
  <conditionalFormatting sqref="J111">
    <cfRule type="containsText" dxfId="1" priority="88" operator="between" text="/">
      <formula>NOT(ISERROR(SEARCH("/",J111)))</formula>
    </cfRule>
  </conditionalFormatting>
  <conditionalFormatting sqref="I112:J112">
    <cfRule type="containsText" dxfId="0" priority="85" operator="between" text="待">
      <formula>NOT(ISERROR(SEARCH("待",I112)))</formula>
    </cfRule>
  </conditionalFormatting>
  <conditionalFormatting sqref="J112">
    <cfRule type="containsText" dxfId="1" priority="86" operator="between" text="/">
      <formula>NOT(ISERROR(SEARCH("/",J112)))</formula>
    </cfRule>
  </conditionalFormatting>
  <conditionalFormatting sqref="I113:J113">
    <cfRule type="containsText" dxfId="0" priority="103" operator="between" text="待">
      <formula>NOT(ISERROR(SEARCH("待",I113)))</formula>
    </cfRule>
  </conditionalFormatting>
  <conditionalFormatting sqref="J113">
    <cfRule type="containsText" dxfId="1" priority="102" operator="between" text="/">
      <formula>NOT(ISERROR(SEARCH("/",J113)))</formula>
    </cfRule>
  </conditionalFormatting>
  <conditionalFormatting sqref="J114">
    <cfRule type="containsText" dxfId="1" priority="63" operator="between" text="/">
      <formula>NOT(ISERROR(SEARCH("/",J114)))</formula>
    </cfRule>
  </conditionalFormatting>
  <conditionalFormatting sqref="J115">
    <cfRule type="containsText" dxfId="1" priority="62" operator="between" text="/">
      <formula>NOT(ISERROR(SEARCH("/",J115)))</formula>
    </cfRule>
  </conditionalFormatting>
  <conditionalFormatting sqref="I116">
    <cfRule type="containsText" dxfId="0" priority="58" operator="between" text="待">
      <formula>NOT(ISERROR(SEARCH("待",I116)))</formula>
    </cfRule>
  </conditionalFormatting>
  <conditionalFormatting sqref="J116">
    <cfRule type="containsText" dxfId="0" priority="57" operator="between" text="待">
      <formula>NOT(ISERROR(SEARCH("待",J116)))</formula>
    </cfRule>
    <cfRule type="containsText" dxfId="1" priority="56" operator="between" text="/">
      <formula>NOT(ISERROR(SEARCH("/",J116)))</formula>
    </cfRule>
  </conditionalFormatting>
  <conditionalFormatting sqref="K117">
    <cfRule type="containsText" dxfId="0" priority="10" operator="between" text="待">
      <formula>NOT(ISERROR(SEARCH("待",K117)))</formula>
    </cfRule>
  </conditionalFormatting>
  <conditionalFormatting sqref="J121">
    <cfRule type="containsText" dxfId="1" priority="53" operator="between" text="/">
      <formula>NOT(ISERROR(SEARCH("/",J121)))</formula>
    </cfRule>
  </conditionalFormatting>
  <conditionalFormatting sqref="J122">
    <cfRule type="containsText" dxfId="1" priority="52" operator="between" text="/">
      <formula>NOT(ISERROR(SEARCH("/",J122)))</formula>
    </cfRule>
  </conditionalFormatting>
  <conditionalFormatting sqref="J123">
    <cfRule type="containsText" dxfId="1" priority="51" operator="between" text="/">
      <formula>NOT(ISERROR(SEARCH("/",J123)))</formula>
    </cfRule>
  </conditionalFormatting>
  <conditionalFormatting sqref="J128">
    <cfRule type="containsText" dxfId="1" priority="44" operator="between" text="/">
      <formula>NOT(ISERROR(SEARCH("/",J128)))</formula>
    </cfRule>
    <cfRule type="containsText" dxfId="0" priority="43" operator="between" text="待">
      <formula>NOT(ISERROR(SEARCH("待",J128)))</formula>
    </cfRule>
  </conditionalFormatting>
  <conditionalFormatting sqref="J131">
    <cfRule type="containsText" dxfId="1" priority="46" operator="between" text="/">
      <formula>NOT(ISERROR(SEARCH("/",J131)))</formula>
    </cfRule>
  </conditionalFormatting>
  <conditionalFormatting sqref="J132">
    <cfRule type="containsText" dxfId="1" priority="45" operator="between" text="/">
      <formula>NOT(ISERROR(SEARCH("/",J132)))</formula>
    </cfRule>
  </conditionalFormatting>
  <conditionalFormatting sqref="J133">
    <cfRule type="containsText" dxfId="1" priority="42" operator="between" text="/">
      <formula>NOT(ISERROR(SEARCH("/",J133)))</formula>
    </cfRule>
  </conditionalFormatting>
  <conditionalFormatting sqref="K135">
    <cfRule type="containsText" dxfId="0" priority="11" operator="between" text="待">
      <formula>NOT(ISERROR(SEARCH("待",K135)))</formula>
    </cfRule>
  </conditionalFormatting>
  <conditionalFormatting sqref="J141">
    <cfRule type="containsText" dxfId="1" priority="37" operator="between" text="/">
      <formula>NOT(ISERROR(SEARCH("/",J141)))</formula>
    </cfRule>
    <cfRule type="containsText" dxfId="0" priority="36" operator="between" text="待">
      <formula>NOT(ISERROR(SEARCH("待",J141)))</formula>
    </cfRule>
  </conditionalFormatting>
  <conditionalFormatting sqref="L143">
    <cfRule type="containsText" dxfId="0" priority="30" operator="between" text="待">
      <formula>NOT(ISERROR(SEARCH("待",L143)))</formula>
    </cfRule>
  </conditionalFormatting>
  <conditionalFormatting sqref="L144">
    <cfRule type="containsText" dxfId="0" priority="31" operator="between" text="待">
      <formula>NOT(ISERROR(SEARCH("待",L144)))</formula>
    </cfRule>
  </conditionalFormatting>
  <conditionalFormatting sqref="J148">
    <cfRule type="containsText" dxfId="1" priority="33" operator="between" text="/">
      <formula>NOT(ISERROR(SEARCH("/",J148)))</formula>
    </cfRule>
    <cfRule type="containsText" dxfId="0" priority="32" operator="between" text="待">
      <formula>NOT(ISERROR(SEARCH("待",J148)))</formula>
    </cfRule>
  </conditionalFormatting>
  <conditionalFormatting sqref="J152">
    <cfRule type="containsText" dxfId="1" priority="21" operator="between" text="/">
      <formula>NOT(ISERROR(SEARCH("/",J152)))</formula>
    </cfRule>
    <cfRule type="containsText" dxfId="0" priority="18" operator="between" text="待">
      <formula>NOT(ISERROR(SEARCH("待",J152)))</formula>
    </cfRule>
  </conditionalFormatting>
  <conditionalFormatting sqref="J153">
    <cfRule type="containsText" dxfId="1" priority="20" operator="between" text="/">
      <formula>NOT(ISERROR(SEARCH("/",J153)))</formula>
    </cfRule>
    <cfRule type="containsText" dxfId="0" priority="17" operator="between" text="待">
      <formula>NOT(ISERROR(SEARCH("待",J153)))</formula>
    </cfRule>
  </conditionalFormatting>
  <conditionalFormatting sqref="J154">
    <cfRule type="containsText" dxfId="1" priority="19" operator="between" text="/">
      <formula>NOT(ISERROR(SEARCH("/",J154)))</formula>
    </cfRule>
    <cfRule type="containsText" dxfId="0" priority="16" operator="between" text="待">
      <formula>NOT(ISERROR(SEARCH("待",J154)))</formula>
    </cfRule>
  </conditionalFormatting>
  <conditionalFormatting sqref="J156">
    <cfRule type="containsText" dxfId="1" priority="15" operator="between" text="/">
      <formula>NOT(ISERROR(SEARCH("/",J156)))</formula>
    </cfRule>
    <cfRule type="containsText" dxfId="0" priority="13" operator="between" text="待">
      <formula>NOT(ISERROR(SEARCH("待",J156)))</formula>
    </cfRule>
  </conditionalFormatting>
  <conditionalFormatting sqref="J157">
    <cfRule type="containsText" dxfId="1" priority="14" operator="between" text="/">
      <formula>NOT(ISERROR(SEARCH("/",J157)))</formula>
    </cfRule>
    <cfRule type="containsText" dxfId="0" priority="12" operator="between" text="待">
      <formula>NOT(ISERROR(SEARCH("待",J157)))</formula>
    </cfRule>
  </conditionalFormatting>
  <conditionalFormatting sqref="J159">
    <cfRule type="containsText" dxfId="1" priority="7" operator="between" text="/">
      <formula>NOT(ISERROR(SEARCH("/",J159)))</formula>
    </cfRule>
  </conditionalFormatting>
  <conditionalFormatting sqref="J160">
    <cfRule type="containsText" dxfId="1" priority="6" operator="between" text="/">
      <formula>NOT(ISERROR(SEARCH("/",J160)))</formula>
    </cfRule>
  </conditionalFormatting>
  <conditionalFormatting sqref="J162">
    <cfRule type="containsText" dxfId="1" priority="4" operator="between" text="/">
      <formula>NOT(ISERROR(SEARCH("/",J162)))</formula>
    </cfRule>
    <cfRule type="containsText" dxfId="0" priority="3" operator="between" text="待">
      <formula>NOT(ISERROR(SEARCH("待",J162)))</formula>
    </cfRule>
  </conditionalFormatting>
  <conditionalFormatting sqref="I163:J163">
    <cfRule type="containsText" dxfId="0" priority="1" operator="between" text="待">
      <formula>NOT(ISERROR(SEARCH("待",I163)))</formula>
    </cfRule>
  </conditionalFormatting>
  <conditionalFormatting sqref="J163">
    <cfRule type="containsText" dxfId="1" priority="2" operator="between" text="/">
      <formula>NOT(ISERROR(SEARCH("/",J163)))</formula>
    </cfRule>
  </conditionalFormatting>
  <conditionalFormatting sqref="J37:J43">
    <cfRule type="containsText" dxfId="1" priority="190" operator="between" text="/">
      <formula>NOT(ISERROR(SEARCH("/",J37)))</formula>
    </cfRule>
  </conditionalFormatting>
  <conditionalFormatting sqref="J57:J58">
    <cfRule type="containsText" dxfId="1" priority="166" operator="between" text="/">
      <formula>NOT(ISERROR(SEARCH("/",J57)))</formula>
    </cfRule>
  </conditionalFormatting>
  <conditionalFormatting sqref="J129:J130">
    <cfRule type="containsText" dxfId="1" priority="49" operator="between" text="/">
      <formula>NOT(ISERROR(SEARCH("/",J129)))</formula>
    </cfRule>
    <cfRule type="containsText" dxfId="0" priority="48" operator="between" text="待">
      <formula>NOT(ISERROR(SEARCH("待",J129)))</formula>
    </cfRule>
  </conditionalFormatting>
  <conditionalFormatting sqref="L21:L35">
    <cfRule type="containsText" dxfId="0" priority="210" operator="between" text="待提单">
      <formula>NOT(ISERROR(SEARCH("待提单",L21)))</formula>
    </cfRule>
    <cfRule type="containsText" dxfId="0" priority="209" operator="between" text="待附件">
      <formula>NOT(ISERROR(SEARCH("待附件",L21)))</formula>
    </cfRule>
  </conditionalFormatting>
  <conditionalFormatting sqref="L41:L44">
    <cfRule type="containsText" dxfId="0" priority="192" operator="between" text="待提单">
      <formula>NOT(ISERROR(SEARCH("待提单",L41)))</formula>
    </cfRule>
    <cfRule type="containsText" dxfId="0" priority="191" operator="between" text="待附件">
      <formula>NOT(ISERROR(SEARCH("待附件",L41)))</formula>
    </cfRule>
  </conditionalFormatting>
  <conditionalFormatting sqref="L57:L58">
    <cfRule type="containsText" dxfId="0" priority="168" operator="between" text="待提单">
      <formula>NOT(ISERROR(SEARCH("待提单",L57)))</formula>
    </cfRule>
    <cfRule type="containsText" dxfId="0" priority="167" operator="between" text="待附件">
      <formula>NOT(ISERROR(SEARCH("待附件",L57)))</formula>
    </cfRule>
  </conditionalFormatting>
  <conditionalFormatting sqref="I1:K2 K36 K71:K75 K77 J83:K83 I85:K90 K91 K79:K80 I81:K81 K82 K191:K192 J195:K195 I196:K1048576 I193:K194 I187:K190">
    <cfRule type="containsText" dxfId="0" priority="580" operator="between" text="待">
      <formula>NOT(ISERROR(SEARCH("待",I1)))</formula>
    </cfRule>
  </conditionalFormatting>
  <conditionalFormatting sqref="J1:J2 J142:J147 J149:J151 J155 J158 J161 J164:J190 J81 J84:J88 J94 J96:J97 J100 J104 J109 J117:J120 J124:J127 J134:J140 J193:J1048576">
    <cfRule type="containsText" dxfId="1" priority="472" operator="between" text="/">
      <formula>NOT(ISERROR(SEARCH("/",J1)))</formula>
    </cfRule>
  </conditionalFormatting>
  <conditionalFormatting sqref="L1:L2 L36 L71:L72 L74:L80 L82:L101 L104:L142 L145:L1048576">
    <cfRule type="containsText" dxfId="0" priority="474" operator="between" text="待附件">
      <formula>NOT(ISERROR(SEARCH("待附件",L1)))</formula>
    </cfRule>
    <cfRule type="containsText" dxfId="0" priority="475" operator="between" text="待提单">
      <formula>NOT(ISERROR(SEARCH("待提单",L1)))</formula>
    </cfRule>
  </conditionalFormatting>
  <conditionalFormatting sqref="I20:K27">
    <cfRule type="containsText" dxfId="0" priority="207" operator="between" text="待">
      <formula>NOT(ISERROR(SEARCH("待",I20)))</formula>
    </cfRule>
  </conditionalFormatting>
  <conditionalFormatting sqref="J20:J26 J35 J28:J32">
    <cfRule type="containsText" dxfId="1" priority="208" operator="between" text="/">
      <formula>NOT(ISERROR(SEARCH("/",J20)))</formula>
    </cfRule>
  </conditionalFormatting>
  <conditionalFormatting sqref="I28:K32 K33:K34 I35:K35">
    <cfRule type="containsText" dxfId="0" priority="211" operator="between" text="待">
      <formula>NOT(ISERROR(SEARCH("待",I28)))</formula>
    </cfRule>
  </conditionalFormatting>
  <conditionalFormatting sqref="K44 I43:J43 I37:K42">
    <cfRule type="containsText" dxfId="0" priority="193" operator="between" text="待">
      <formula>NOT(ISERROR(SEARCH("待",I37)))</formula>
    </cfRule>
  </conditionalFormatting>
  <conditionalFormatting sqref="K54:K55 J49:K50 I52:K53 I45:K47">
    <cfRule type="containsText" dxfId="0" priority="184" operator="between" text="待">
      <formula>NOT(ISERROR(SEARCH("待",I45)))</formula>
    </cfRule>
  </conditionalFormatting>
  <conditionalFormatting sqref="J56 J52:J53 J45:J47 J49:J50">
    <cfRule type="containsText" dxfId="1" priority="181" operator="between" text="/">
      <formula>NOT(ISERROR(SEARCH("/",J45)))</formula>
    </cfRule>
  </conditionalFormatting>
  <conditionalFormatting sqref="L49:L56 L45:L47">
    <cfRule type="containsText" dxfId="0" priority="183" operator="between" text="待提单">
      <formula>NOT(ISERROR(SEARCH("待提单",L45)))</formula>
    </cfRule>
    <cfRule type="containsText" dxfId="0" priority="182" operator="between" text="待附件">
      <formula>NOT(ISERROR(SEARCH("待附件",L45)))</formula>
    </cfRule>
  </conditionalFormatting>
  <conditionalFormatting sqref="I48 K48">
    <cfRule type="containsText" dxfId="0" priority="180" operator="between" text="待">
      <formula>NOT(ISERROR(SEARCH("待",I48)))</formula>
    </cfRule>
  </conditionalFormatting>
  <conditionalFormatting sqref="I54:J55">
    <cfRule type="containsText" dxfId="0" priority="175" operator="between" text="待">
      <formula>NOT(ISERROR(SEARCH("待",I54)))</formula>
    </cfRule>
  </conditionalFormatting>
  <conditionalFormatting sqref="I57:K58">
    <cfRule type="containsText" dxfId="0" priority="169" operator="between" text="待">
      <formula>NOT(ISERROR(SEARCH("待",I57)))</formula>
    </cfRule>
  </conditionalFormatting>
  <conditionalFormatting sqref="I69:K69 K65:K68 I60:K63 I59:J59">
    <cfRule type="containsText" dxfId="0" priority="165" operator="between" text="待">
      <formula>NOT(ISERROR(SEARCH("待",I59)))</formula>
    </cfRule>
  </conditionalFormatting>
  <conditionalFormatting sqref="J69:J70 J59:J63">
    <cfRule type="containsText" dxfId="1" priority="162" operator="between" text="/">
      <formula>NOT(ISERROR(SEARCH("/",J59)))</formula>
    </cfRule>
  </conditionalFormatting>
  <conditionalFormatting sqref="L65:L70 L59:L63">
    <cfRule type="containsText" dxfId="0" priority="163" operator="between" text="待附件">
      <formula>NOT(ISERROR(SEARCH("待附件",L59)))</formula>
    </cfRule>
    <cfRule type="containsText" dxfId="0" priority="164" operator="between" text="待提单">
      <formula>NOT(ISERROR(SEARCH("待提单",L59)))</formula>
    </cfRule>
  </conditionalFormatting>
  <conditionalFormatting sqref="I71:J72">
    <cfRule type="containsText" dxfId="0" priority="146" operator="between" text="待">
      <formula>NOT(ISERROR(SEARCH("待",I71)))</formula>
    </cfRule>
  </conditionalFormatting>
  <conditionalFormatting sqref="I78:J80">
    <cfRule type="containsText" dxfId="0" priority="124" operator="between" text="待">
      <formula>NOT(ISERROR(SEARCH("待",I78)))</formula>
    </cfRule>
  </conditionalFormatting>
  <conditionalFormatting sqref="I92:K97 K98:K99 J100:K100 K101 J104:K104 K105:K108 J109:K109 K110:K116 J117 J118:K120 K121:K123 I124:K127 K128:K132 J133:K134 J135 J136:K140 K141 J142:K142 J143:J144 J145:K147 K148 J149:K151 K152:K154 I155:K155 K156:K157 I158:K158 K159:K160 I161:K161 K162:K163 I164:K186 H99:H120 H134:H150 I133 I151">
    <cfRule type="containsText" dxfId="0" priority="434" operator="between" text="待">
      <formula>NOT(ISERROR(SEARCH("待",H92)))</formula>
    </cfRule>
  </conditionalFormatting>
  <conditionalFormatting sqref="I105:J107">
    <cfRule type="containsText" dxfId="0" priority="107" operator="between" text="待">
      <formula>NOT(ISERROR(SEARCH("待",I105)))</formula>
    </cfRule>
  </conditionalFormatting>
  <conditionalFormatting sqref="I114:J115">
    <cfRule type="containsText" dxfId="0" priority="61" operator="between" text="待">
      <formula>NOT(ISERROR(SEARCH("待",I114)))</formula>
    </cfRule>
  </conditionalFormatting>
  <conditionalFormatting sqref="I121:J123">
    <cfRule type="containsText" dxfId="0" priority="50" operator="between" text="待">
      <formula>NOT(ISERROR(SEARCH("待",I121)))</formula>
    </cfRule>
  </conditionalFormatting>
  <conditionalFormatting sqref="I131:J132">
    <cfRule type="containsText" dxfId="0" priority="47" operator="between" text="待">
      <formula>NOT(ISERROR(SEARCH("待",I131)))</formula>
    </cfRule>
  </conditionalFormatting>
  <conditionalFormatting sqref="I159:J160">
    <cfRule type="containsText" dxfId="0" priority="5" operator="between" text="待">
      <formula>NOT(ISERROR(SEARCH("待",I159)))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zoomScale="78" zoomScaleNormal="78" workbookViewId="0">
      <pane xSplit="2" ySplit="2" topLeftCell="C95" activePane="bottomRight" state="frozen"/>
      <selection/>
      <selection pane="topRight"/>
      <selection pane="bottomLeft"/>
      <selection pane="bottomRight" activeCell="I113" sqref="I113:J113"/>
    </sheetView>
  </sheetViews>
  <sheetFormatPr defaultColWidth="9" defaultRowHeight="15"/>
  <cols>
    <col min="1" max="1" width="12.8571428571429" style="19" customWidth="1"/>
    <col min="2" max="2" width="2.28571428571429" style="19" customWidth="1"/>
    <col min="3" max="3" width="34.2190476190476" style="19" customWidth="1"/>
    <col min="4" max="4" width="19.847619047619" style="19" customWidth="1"/>
    <col min="5" max="5" width="22.3428571428571" style="19" customWidth="1"/>
    <col min="6" max="6" width="11.6857142857143" style="19" customWidth="1"/>
    <col min="7" max="7" width="10.5619047619048" style="19" customWidth="1"/>
    <col min="8" max="8" width="47.6571428571429" style="19" customWidth="1"/>
    <col min="9" max="9" width="12.5714285714286" style="19" customWidth="1"/>
    <col min="10" max="10" width="15.8095238095238" style="19" customWidth="1"/>
    <col min="11" max="11" width="17.4285714285714" style="116" customWidth="1"/>
    <col min="12" max="12" width="6.75238095238095" style="116" customWidth="1"/>
    <col min="13" max="14" width="18" style="124" customWidth="1"/>
    <col min="15" max="16384" width="9" style="19" customWidth="1"/>
  </cols>
  <sheetData>
    <row r="1" spans="1:12">
      <c r="A1" s="47" t="s">
        <v>208</v>
      </c>
      <c r="B1" s="48"/>
      <c r="C1" s="48"/>
      <c r="D1" s="48"/>
      <c r="E1" s="48"/>
      <c r="F1" s="48"/>
      <c r="G1" s="48"/>
      <c r="H1" s="49"/>
      <c r="I1" s="36"/>
      <c r="J1" s="36"/>
      <c r="K1" s="118"/>
      <c r="L1" s="118"/>
    </row>
    <row r="2" s="123" customFormat="1" ht="15.75" customHeight="1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</row>
    <row r="3" s="1" customFormat="1" ht="15.75" customHeight="1" spans="1:14">
      <c r="A3" s="6" t="s">
        <v>14</v>
      </c>
      <c r="B3" s="7"/>
      <c r="C3" s="8" t="s">
        <v>15</v>
      </c>
      <c r="D3" s="6" t="s">
        <v>209</v>
      </c>
      <c r="E3" s="6" t="s">
        <v>20</v>
      </c>
      <c r="F3" s="9">
        <v>286.27</v>
      </c>
      <c r="G3" s="10" t="s">
        <v>20</v>
      </c>
      <c r="H3" s="11" t="s">
        <v>210</v>
      </c>
      <c r="I3" s="15" t="s">
        <v>52</v>
      </c>
      <c r="J3" s="16" t="s">
        <v>211</v>
      </c>
      <c r="K3" s="17" t="s">
        <v>20</v>
      </c>
      <c r="L3" s="17" t="s">
        <v>177</v>
      </c>
      <c r="M3" s="18">
        <v>45875</v>
      </c>
      <c r="N3" s="18" t="s">
        <v>20</v>
      </c>
    </row>
    <row r="4" s="1" customFormat="1" ht="15.75" customHeight="1" spans="1:14">
      <c r="A4" s="6" t="s">
        <v>14</v>
      </c>
      <c r="B4" s="7"/>
      <c r="C4" s="8" t="s">
        <v>15</v>
      </c>
      <c r="D4" s="6" t="s">
        <v>212</v>
      </c>
      <c r="E4" s="6" t="s">
        <v>20</v>
      </c>
      <c r="F4" s="9">
        <v>504</v>
      </c>
      <c r="G4" s="10" t="s">
        <v>20</v>
      </c>
      <c r="H4" s="11" t="s">
        <v>17</v>
      </c>
      <c r="I4" s="15" t="s">
        <v>18</v>
      </c>
      <c r="J4" s="16" t="s">
        <v>19</v>
      </c>
      <c r="K4" s="17" t="s">
        <v>20</v>
      </c>
      <c r="L4" s="17" t="s">
        <v>198</v>
      </c>
      <c r="M4" s="18">
        <v>45875</v>
      </c>
      <c r="N4" s="18" t="s">
        <v>20</v>
      </c>
    </row>
    <row r="5" s="1" customFormat="1" ht="15.75" customHeight="1" spans="1:14">
      <c r="A5" s="6" t="s">
        <v>14</v>
      </c>
      <c r="B5" s="7"/>
      <c r="C5" s="8" t="s">
        <v>23</v>
      </c>
      <c r="D5" s="6" t="s">
        <v>20</v>
      </c>
      <c r="E5" s="6" t="s">
        <v>20</v>
      </c>
      <c r="F5" s="9">
        <v>27.24</v>
      </c>
      <c r="G5" s="10" t="s">
        <v>20</v>
      </c>
      <c r="H5" s="11" t="s">
        <v>213</v>
      </c>
      <c r="I5" s="15" t="s">
        <v>26</v>
      </c>
      <c r="J5" s="16" t="s">
        <v>27</v>
      </c>
      <c r="K5" s="17" t="s">
        <v>20</v>
      </c>
      <c r="L5" s="17" t="s">
        <v>20</v>
      </c>
      <c r="M5" s="18" t="s">
        <v>20</v>
      </c>
      <c r="N5" s="18" t="s">
        <v>20</v>
      </c>
    </row>
    <row r="6" s="1" customFormat="1" ht="15.75" customHeight="1" spans="1:14">
      <c r="A6" s="6" t="s">
        <v>14</v>
      </c>
      <c r="B6" s="7"/>
      <c r="C6" s="8" t="s">
        <v>28</v>
      </c>
      <c r="D6" s="6" t="s">
        <v>214</v>
      </c>
      <c r="E6" s="6" t="s">
        <v>20</v>
      </c>
      <c r="F6" s="9" t="s">
        <v>20</v>
      </c>
      <c r="G6" s="10">
        <v>11347.94</v>
      </c>
      <c r="H6" s="11" t="s">
        <v>215</v>
      </c>
      <c r="I6" s="15" t="s">
        <v>31</v>
      </c>
      <c r="J6" s="16" t="s">
        <v>35</v>
      </c>
      <c r="K6" s="17" t="s">
        <v>20</v>
      </c>
      <c r="L6" s="17" t="s">
        <v>20</v>
      </c>
      <c r="M6" s="18" t="s">
        <v>20</v>
      </c>
      <c r="N6" s="18" t="s">
        <v>20</v>
      </c>
    </row>
    <row r="7" s="1" customFormat="1" ht="15.75" customHeight="1" spans="1:14">
      <c r="A7" s="6" t="s">
        <v>14</v>
      </c>
      <c r="B7" s="7"/>
      <c r="C7" s="8" t="s">
        <v>58</v>
      </c>
      <c r="D7" s="6" t="s">
        <v>20</v>
      </c>
      <c r="E7" s="6" t="s">
        <v>20</v>
      </c>
      <c r="F7" s="9" t="s">
        <v>20</v>
      </c>
      <c r="G7" s="10">
        <v>546.85</v>
      </c>
      <c r="H7" s="11" t="s">
        <v>216</v>
      </c>
      <c r="I7" s="15" t="s">
        <v>31</v>
      </c>
      <c r="J7" s="16" t="s">
        <v>62</v>
      </c>
      <c r="K7" s="17" t="s">
        <v>20</v>
      </c>
      <c r="L7" s="17" t="s">
        <v>20</v>
      </c>
      <c r="M7" s="18" t="s">
        <v>20</v>
      </c>
      <c r="N7" s="18" t="s">
        <v>20</v>
      </c>
    </row>
    <row r="8" s="1" customFormat="1" ht="15.75" customHeight="1" spans="1:14">
      <c r="A8" s="6" t="s">
        <v>14</v>
      </c>
      <c r="B8" s="7"/>
      <c r="C8" s="8" t="s">
        <v>28</v>
      </c>
      <c r="D8" s="6" t="s">
        <v>217</v>
      </c>
      <c r="E8" s="6" t="s">
        <v>20</v>
      </c>
      <c r="F8" s="9" t="s">
        <v>20</v>
      </c>
      <c r="G8" s="10">
        <v>604.53</v>
      </c>
      <c r="H8" s="11" t="s">
        <v>30</v>
      </c>
      <c r="I8" s="15" t="s">
        <v>31</v>
      </c>
      <c r="J8" s="16" t="s">
        <v>32</v>
      </c>
      <c r="K8" s="17" t="s">
        <v>20</v>
      </c>
      <c r="L8" s="17" t="s">
        <v>20</v>
      </c>
      <c r="M8" s="18" t="s">
        <v>20</v>
      </c>
      <c r="N8" s="18" t="s">
        <v>20</v>
      </c>
    </row>
    <row r="9" s="1" customFormat="1" ht="15.75" customHeight="1" spans="1:14">
      <c r="A9" s="6" t="s">
        <v>14</v>
      </c>
      <c r="B9" s="7"/>
      <c r="C9" s="8" t="s">
        <v>15</v>
      </c>
      <c r="D9" s="6" t="s">
        <v>218</v>
      </c>
      <c r="E9" s="6" t="s">
        <v>20</v>
      </c>
      <c r="F9" s="9">
        <v>146.76</v>
      </c>
      <c r="G9" s="10" t="s">
        <v>20</v>
      </c>
      <c r="H9" s="11" t="s">
        <v>201</v>
      </c>
      <c r="I9" s="15" t="s">
        <v>202</v>
      </c>
      <c r="J9" s="16" t="s">
        <v>219</v>
      </c>
      <c r="K9" s="17" t="s">
        <v>175</v>
      </c>
      <c r="L9" s="17" t="s">
        <v>20</v>
      </c>
      <c r="M9" s="18">
        <v>45881</v>
      </c>
      <c r="N9" s="18" t="s">
        <v>20</v>
      </c>
    </row>
    <row r="10" s="1" customFormat="1" ht="15.75" customHeight="1" spans="1:14">
      <c r="A10" s="6" t="s">
        <v>14</v>
      </c>
      <c r="B10" s="7"/>
      <c r="C10" s="8" t="s">
        <v>15</v>
      </c>
      <c r="D10" s="6" t="s">
        <v>220</v>
      </c>
      <c r="E10" s="6" t="s">
        <v>20</v>
      </c>
      <c r="F10" s="9">
        <v>182.44</v>
      </c>
      <c r="G10" s="10" t="s">
        <v>20</v>
      </c>
      <c r="H10" s="11" t="s">
        <v>201</v>
      </c>
      <c r="I10" s="15" t="s">
        <v>202</v>
      </c>
      <c r="J10" s="16" t="s">
        <v>221</v>
      </c>
      <c r="K10" s="17" t="s">
        <v>175</v>
      </c>
      <c r="L10" s="17" t="s">
        <v>20</v>
      </c>
      <c r="M10" s="18">
        <v>45881</v>
      </c>
      <c r="N10" s="18" t="s">
        <v>20</v>
      </c>
    </row>
    <row r="11" s="1" customFormat="1" ht="15.75" customHeight="1" spans="1:14">
      <c r="A11" s="6" t="s">
        <v>14</v>
      </c>
      <c r="B11" s="7"/>
      <c r="C11" s="8" t="s">
        <v>15</v>
      </c>
      <c r="D11" s="6" t="s">
        <v>214</v>
      </c>
      <c r="E11" s="6" t="s">
        <v>20</v>
      </c>
      <c r="F11" s="9">
        <v>7992.09</v>
      </c>
      <c r="G11" s="10" t="s">
        <v>20</v>
      </c>
      <c r="H11" s="11" t="s">
        <v>222</v>
      </c>
      <c r="I11" s="15" t="s">
        <v>38</v>
      </c>
      <c r="J11" s="16" t="s">
        <v>48</v>
      </c>
      <c r="K11" s="17" t="s">
        <v>20</v>
      </c>
      <c r="L11" s="17" t="s">
        <v>171</v>
      </c>
      <c r="M11" s="18">
        <v>45875</v>
      </c>
      <c r="N11" s="18" t="s">
        <v>20</v>
      </c>
    </row>
    <row r="12" s="1" customFormat="1" ht="15.75" customHeight="1" spans="1:14">
      <c r="A12" s="6" t="s">
        <v>14</v>
      </c>
      <c r="B12" s="7"/>
      <c r="C12" s="8" t="s">
        <v>15</v>
      </c>
      <c r="D12" s="6" t="s">
        <v>223</v>
      </c>
      <c r="E12" s="6" t="s">
        <v>20</v>
      </c>
      <c r="F12" s="9">
        <v>53.35</v>
      </c>
      <c r="G12" s="10" t="s">
        <v>20</v>
      </c>
      <c r="H12" s="11" t="s">
        <v>224</v>
      </c>
      <c r="I12" s="15" t="s">
        <v>38</v>
      </c>
      <c r="J12" s="16" t="s">
        <v>39</v>
      </c>
      <c r="K12" s="17" t="s">
        <v>20</v>
      </c>
      <c r="L12" s="17" t="s">
        <v>142</v>
      </c>
      <c r="M12" s="18">
        <v>45875</v>
      </c>
      <c r="N12" s="18" t="s">
        <v>20</v>
      </c>
    </row>
    <row r="13" s="1" customFormat="1" ht="15.75" customHeight="1" spans="1:14">
      <c r="A13" s="6" t="s">
        <v>14</v>
      </c>
      <c r="B13" s="7"/>
      <c r="C13" s="8" t="s">
        <v>225</v>
      </c>
      <c r="D13" s="6" t="s">
        <v>20</v>
      </c>
      <c r="E13" s="6" t="s">
        <v>20</v>
      </c>
      <c r="F13" s="9" t="s">
        <v>20</v>
      </c>
      <c r="G13" s="10">
        <v>120</v>
      </c>
      <c r="H13" s="11" t="s">
        <v>226</v>
      </c>
      <c r="I13" s="15" t="s">
        <v>227</v>
      </c>
      <c r="J13" s="16" t="s">
        <v>228</v>
      </c>
      <c r="K13" s="17" t="s">
        <v>20</v>
      </c>
      <c r="L13" s="17" t="s">
        <v>20</v>
      </c>
      <c r="M13" s="18" t="s">
        <v>20</v>
      </c>
      <c r="N13" s="18" t="s">
        <v>20</v>
      </c>
    </row>
    <row r="14" s="1" customFormat="1" ht="15.75" customHeight="1" spans="1:14">
      <c r="A14" s="6" t="s">
        <v>14</v>
      </c>
      <c r="B14" s="7"/>
      <c r="C14" s="8" t="s">
        <v>23</v>
      </c>
      <c r="D14" s="6" t="s">
        <v>20</v>
      </c>
      <c r="E14" s="6" t="s">
        <v>20</v>
      </c>
      <c r="F14" s="9">
        <v>120</v>
      </c>
      <c r="G14" s="10" t="s">
        <v>20</v>
      </c>
      <c r="H14" s="11" t="s">
        <v>56</v>
      </c>
      <c r="I14" s="15" t="s">
        <v>26</v>
      </c>
      <c r="J14" s="16" t="s">
        <v>57</v>
      </c>
      <c r="K14" s="17" t="s">
        <v>20</v>
      </c>
      <c r="L14" s="17" t="s">
        <v>20</v>
      </c>
      <c r="M14" s="18" t="s">
        <v>20</v>
      </c>
      <c r="N14" s="18" t="s">
        <v>20</v>
      </c>
    </row>
    <row r="15" s="1" customFormat="1" ht="29.25" customHeight="1" spans="1:14">
      <c r="A15" s="6" t="s">
        <v>14</v>
      </c>
      <c r="B15" s="7"/>
      <c r="C15" s="8" t="s">
        <v>63</v>
      </c>
      <c r="D15" s="6" t="s">
        <v>20</v>
      </c>
      <c r="E15" s="6" t="s">
        <v>20</v>
      </c>
      <c r="F15" s="9">
        <v>200000</v>
      </c>
      <c r="G15" s="10" t="s">
        <v>20</v>
      </c>
      <c r="H15" s="11" t="s">
        <v>229</v>
      </c>
      <c r="I15" s="15" t="s">
        <v>65</v>
      </c>
      <c r="J15" s="16" t="s">
        <v>66</v>
      </c>
      <c r="K15" s="17" t="s">
        <v>20</v>
      </c>
      <c r="L15" s="17" t="s">
        <v>20</v>
      </c>
      <c r="M15" s="18" t="s">
        <v>20</v>
      </c>
      <c r="N15" s="18" t="s">
        <v>20</v>
      </c>
    </row>
    <row r="16" s="1" customFormat="1" ht="15.75" customHeight="1" spans="1:14">
      <c r="A16" s="6" t="s">
        <v>69</v>
      </c>
      <c r="B16" s="7"/>
      <c r="C16" s="8" t="s">
        <v>50</v>
      </c>
      <c r="D16" s="6" t="s">
        <v>20</v>
      </c>
      <c r="E16" s="6" t="s">
        <v>20</v>
      </c>
      <c r="F16" s="9">
        <v>1650.05</v>
      </c>
      <c r="G16" s="10" t="s">
        <v>20</v>
      </c>
      <c r="H16" s="11" t="s">
        <v>230</v>
      </c>
      <c r="I16" s="16" t="s">
        <v>31</v>
      </c>
      <c r="J16" s="16" t="s">
        <v>62</v>
      </c>
      <c r="K16" s="17" t="s">
        <v>20</v>
      </c>
      <c r="L16" s="17" t="s">
        <v>20</v>
      </c>
      <c r="M16" s="18" t="s">
        <v>20</v>
      </c>
      <c r="N16" s="18" t="s">
        <v>20</v>
      </c>
    </row>
    <row r="17" s="1" customFormat="1" ht="15.75" customHeight="1" spans="1:14">
      <c r="A17" s="6" t="s">
        <v>69</v>
      </c>
      <c r="B17" s="7"/>
      <c r="C17" s="8" t="s">
        <v>58</v>
      </c>
      <c r="D17" s="6" t="s">
        <v>20</v>
      </c>
      <c r="E17" s="6" t="s">
        <v>20</v>
      </c>
      <c r="F17" s="9" t="s">
        <v>20</v>
      </c>
      <c r="G17" s="10">
        <v>1650.05</v>
      </c>
      <c r="H17" s="11" t="s">
        <v>216</v>
      </c>
      <c r="I17" s="15" t="s">
        <v>227</v>
      </c>
      <c r="J17" s="16" t="s">
        <v>231</v>
      </c>
      <c r="K17" s="17" t="s">
        <v>20</v>
      </c>
      <c r="L17" s="17" t="s">
        <v>20</v>
      </c>
      <c r="M17" s="18" t="s">
        <v>20</v>
      </c>
      <c r="N17" s="18" t="s">
        <v>20</v>
      </c>
    </row>
    <row r="18" s="1" customFormat="1" ht="15.75" customHeight="1" spans="1:14">
      <c r="A18" s="6" t="s">
        <v>69</v>
      </c>
      <c r="B18" s="7"/>
      <c r="C18" s="8" t="s">
        <v>58</v>
      </c>
      <c r="D18" s="6" t="s">
        <v>20</v>
      </c>
      <c r="E18" s="6" t="s">
        <v>20</v>
      </c>
      <c r="F18" s="9" t="s">
        <v>20</v>
      </c>
      <c r="G18" s="10">
        <v>1650.15</v>
      </c>
      <c r="H18" s="11" t="s">
        <v>216</v>
      </c>
      <c r="I18" s="16" t="s">
        <v>31</v>
      </c>
      <c r="J18" s="16" t="s">
        <v>62</v>
      </c>
      <c r="K18" s="17" t="s">
        <v>20</v>
      </c>
      <c r="L18" s="17" t="s">
        <v>20</v>
      </c>
      <c r="M18" s="18" t="s">
        <v>20</v>
      </c>
      <c r="N18" s="18" t="s">
        <v>20</v>
      </c>
    </row>
    <row r="19" s="1" customFormat="1" ht="15.75" customHeight="1" spans="1:14">
      <c r="A19" s="6" t="s">
        <v>69</v>
      </c>
      <c r="B19" s="7"/>
      <c r="C19" s="8" t="s">
        <v>15</v>
      </c>
      <c r="D19" s="6" t="s">
        <v>223</v>
      </c>
      <c r="E19" s="6" t="s">
        <v>20</v>
      </c>
      <c r="F19" s="9">
        <v>10.5</v>
      </c>
      <c r="G19" s="10" t="s">
        <v>20</v>
      </c>
      <c r="H19" s="11" t="s">
        <v>224</v>
      </c>
      <c r="I19" s="15" t="s">
        <v>38</v>
      </c>
      <c r="J19" s="16" t="s">
        <v>39</v>
      </c>
      <c r="K19" s="17" t="s">
        <v>20</v>
      </c>
      <c r="L19" s="17" t="s">
        <v>142</v>
      </c>
      <c r="M19" s="18">
        <v>45875</v>
      </c>
      <c r="N19" s="18" t="s">
        <v>20</v>
      </c>
    </row>
    <row r="20" s="1" customFormat="1" ht="15.75" customHeight="1" spans="1:14">
      <c r="A20" s="6" t="s">
        <v>69</v>
      </c>
      <c r="B20" s="7"/>
      <c r="C20" s="8" t="s">
        <v>28</v>
      </c>
      <c r="D20" s="6" t="s">
        <v>20</v>
      </c>
      <c r="E20" s="6" t="s">
        <v>20</v>
      </c>
      <c r="F20" s="9" t="s">
        <v>20</v>
      </c>
      <c r="G20" s="10">
        <v>589.76</v>
      </c>
      <c r="H20" s="11" t="s">
        <v>80</v>
      </c>
      <c r="I20" s="15" t="s">
        <v>31</v>
      </c>
      <c r="J20" s="16" t="s">
        <v>81</v>
      </c>
      <c r="K20" s="17" t="s">
        <v>20</v>
      </c>
      <c r="L20" s="17" t="s">
        <v>20</v>
      </c>
      <c r="M20" s="18" t="s">
        <v>20</v>
      </c>
      <c r="N20" s="18" t="s">
        <v>20</v>
      </c>
    </row>
    <row r="21" s="1" customFormat="1" ht="15.75" customHeight="1" spans="1:14">
      <c r="A21" s="6" t="s">
        <v>69</v>
      </c>
      <c r="B21" s="7"/>
      <c r="C21" s="8" t="s">
        <v>28</v>
      </c>
      <c r="D21" s="6" t="s">
        <v>20</v>
      </c>
      <c r="E21" s="6" t="s">
        <v>20</v>
      </c>
      <c r="F21" s="9" t="s">
        <v>20</v>
      </c>
      <c r="G21" s="10">
        <v>4320.27</v>
      </c>
      <c r="H21" s="11" t="s">
        <v>80</v>
      </c>
      <c r="I21" s="15" t="s">
        <v>31</v>
      </c>
      <c r="J21" s="16" t="s">
        <v>81</v>
      </c>
      <c r="K21" s="17" t="s">
        <v>20</v>
      </c>
      <c r="L21" s="17" t="s">
        <v>20</v>
      </c>
      <c r="M21" s="18" t="s">
        <v>20</v>
      </c>
      <c r="N21" s="18" t="s">
        <v>20</v>
      </c>
    </row>
    <row r="22" s="1" customFormat="1" ht="15.75" customHeight="1" spans="1:14">
      <c r="A22" s="6" t="s">
        <v>69</v>
      </c>
      <c r="B22" s="7"/>
      <c r="C22" s="8" t="s">
        <v>28</v>
      </c>
      <c r="D22" s="6" t="s">
        <v>20</v>
      </c>
      <c r="E22" s="6" t="s">
        <v>20</v>
      </c>
      <c r="F22" s="9" t="s">
        <v>20</v>
      </c>
      <c r="G22" s="10">
        <v>221.16</v>
      </c>
      <c r="H22" s="11" t="s">
        <v>222</v>
      </c>
      <c r="I22" s="15" t="s">
        <v>31</v>
      </c>
      <c r="J22" s="16" t="s">
        <v>35</v>
      </c>
      <c r="K22" s="17" t="s">
        <v>20</v>
      </c>
      <c r="L22" s="17" t="s">
        <v>20</v>
      </c>
      <c r="M22" s="18" t="s">
        <v>20</v>
      </c>
      <c r="N22" s="18" t="s">
        <v>20</v>
      </c>
    </row>
    <row r="23" s="1" customFormat="1" ht="15.75" customHeight="1" spans="1:14">
      <c r="A23" s="6" t="s">
        <v>69</v>
      </c>
      <c r="B23" s="7"/>
      <c r="C23" s="8" t="s">
        <v>28</v>
      </c>
      <c r="D23" s="6" t="s">
        <v>20</v>
      </c>
      <c r="E23" s="6" t="s">
        <v>20</v>
      </c>
      <c r="F23" s="9" t="s">
        <v>20</v>
      </c>
      <c r="G23" s="10">
        <v>65201.58</v>
      </c>
      <c r="H23" s="11" t="s">
        <v>215</v>
      </c>
      <c r="I23" s="15" t="s">
        <v>31</v>
      </c>
      <c r="J23" s="16" t="s">
        <v>35</v>
      </c>
      <c r="K23" s="17" t="s">
        <v>20</v>
      </c>
      <c r="L23" s="17" t="s">
        <v>20</v>
      </c>
      <c r="M23" s="18" t="s">
        <v>20</v>
      </c>
      <c r="N23" s="18" t="s">
        <v>20</v>
      </c>
    </row>
    <row r="24" s="1" customFormat="1" ht="15.75" customHeight="1" spans="1:14">
      <c r="A24" s="6" t="s">
        <v>69</v>
      </c>
      <c r="B24" s="7"/>
      <c r="C24" s="8" t="s">
        <v>28</v>
      </c>
      <c r="D24" s="6" t="s">
        <v>20</v>
      </c>
      <c r="E24" s="6" t="s">
        <v>20</v>
      </c>
      <c r="F24" s="9" t="s">
        <v>20</v>
      </c>
      <c r="G24" s="10">
        <v>1870.32</v>
      </c>
      <c r="H24" s="11" t="s">
        <v>30</v>
      </c>
      <c r="I24" s="15" t="s">
        <v>31</v>
      </c>
      <c r="J24" s="16" t="s">
        <v>32</v>
      </c>
      <c r="K24" s="17" t="s">
        <v>20</v>
      </c>
      <c r="L24" s="17" t="s">
        <v>20</v>
      </c>
      <c r="M24" s="18" t="s">
        <v>20</v>
      </c>
      <c r="N24" s="18" t="s">
        <v>20</v>
      </c>
    </row>
    <row r="25" s="1" customFormat="1" ht="15.75" customHeight="1" spans="1:14">
      <c r="A25" s="6" t="s">
        <v>69</v>
      </c>
      <c r="B25" s="7"/>
      <c r="C25" s="8" t="s">
        <v>28</v>
      </c>
      <c r="D25" s="6" t="s">
        <v>20</v>
      </c>
      <c r="E25" s="6" t="s">
        <v>20</v>
      </c>
      <c r="F25" s="9" t="s">
        <v>20</v>
      </c>
      <c r="G25" s="10">
        <v>1726.04</v>
      </c>
      <c r="H25" s="11" t="s">
        <v>30</v>
      </c>
      <c r="I25" s="15" t="s">
        <v>31</v>
      </c>
      <c r="J25" s="16" t="s">
        <v>32</v>
      </c>
      <c r="K25" s="17" t="s">
        <v>20</v>
      </c>
      <c r="L25" s="17" t="s">
        <v>20</v>
      </c>
      <c r="M25" s="18" t="s">
        <v>20</v>
      </c>
      <c r="N25" s="18" t="s">
        <v>20</v>
      </c>
    </row>
    <row r="26" s="1" customFormat="1" ht="15.75" customHeight="1" spans="1:14">
      <c r="A26" s="6" t="s">
        <v>69</v>
      </c>
      <c r="B26" s="7"/>
      <c r="C26" s="8" t="s">
        <v>28</v>
      </c>
      <c r="D26" s="6" t="s">
        <v>20</v>
      </c>
      <c r="E26" s="6" t="s">
        <v>20</v>
      </c>
      <c r="F26" s="9" t="s">
        <v>20</v>
      </c>
      <c r="G26" s="10">
        <v>2255.93</v>
      </c>
      <c r="H26" s="11" t="s">
        <v>30</v>
      </c>
      <c r="I26" s="15" t="s">
        <v>31</v>
      </c>
      <c r="J26" s="16" t="s">
        <v>32</v>
      </c>
      <c r="K26" s="17" t="s">
        <v>20</v>
      </c>
      <c r="L26" s="17" t="s">
        <v>20</v>
      </c>
      <c r="M26" s="18" t="s">
        <v>20</v>
      </c>
      <c r="N26" s="18" t="s">
        <v>20</v>
      </c>
    </row>
    <row r="27" s="1" customFormat="1" ht="15.75" customHeight="1" spans="1:14">
      <c r="A27" s="6" t="s">
        <v>69</v>
      </c>
      <c r="B27" s="7"/>
      <c r="C27" s="8" t="s">
        <v>28</v>
      </c>
      <c r="D27" s="6" t="s">
        <v>20</v>
      </c>
      <c r="E27" s="6" t="s">
        <v>20</v>
      </c>
      <c r="F27" s="9" t="s">
        <v>20</v>
      </c>
      <c r="G27" s="10">
        <v>3145.41</v>
      </c>
      <c r="H27" s="11" t="s">
        <v>30</v>
      </c>
      <c r="I27" s="15" t="s">
        <v>31</v>
      </c>
      <c r="J27" s="16" t="s">
        <v>32</v>
      </c>
      <c r="K27" s="17" t="s">
        <v>20</v>
      </c>
      <c r="L27" s="17" t="s">
        <v>20</v>
      </c>
      <c r="M27" s="18" t="s">
        <v>20</v>
      </c>
      <c r="N27" s="18" t="s">
        <v>20</v>
      </c>
    </row>
    <row r="28" s="1" customFormat="1" ht="15.75" customHeight="1" spans="1:14">
      <c r="A28" s="6" t="s">
        <v>69</v>
      </c>
      <c r="B28" s="7"/>
      <c r="C28" s="8" t="s">
        <v>58</v>
      </c>
      <c r="D28" s="6" t="s">
        <v>20</v>
      </c>
      <c r="E28" s="6" t="s">
        <v>20</v>
      </c>
      <c r="F28" s="9" t="s">
        <v>20</v>
      </c>
      <c r="G28" s="10">
        <v>906.6</v>
      </c>
      <c r="H28" s="11" t="s">
        <v>216</v>
      </c>
      <c r="I28" s="16" t="s">
        <v>31</v>
      </c>
      <c r="J28" s="16" t="s">
        <v>62</v>
      </c>
      <c r="K28" s="17" t="s">
        <v>20</v>
      </c>
      <c r="L28" s="17" t="s">
        <v>20</v>
      </c>
      <c r="M28" s="18" t="s">
        <v>20</v>
      </c>
      <c r="N28" s="18" t="s">
        <v>20</v>
      </c>
    </row>
    <row r="29" s="1" customFormat="1" ht="15.75" customHeight="1" spans="1:14">
      <c r="A29" s="6" t="s">
        <v>69</v>
      </c>
      <c r="B29" s="7"/>
      <c r="C29" s="8" t="s">
        <v>28</v>
      </c>
      <c r="D29" s="6" t="s">
        <v>20</v>
      </c>
      <c r="E29" s="6" t="s">
        <v>20</v>
      </c>
      <c r="F29" s="9" t="s">
        <v>20</v>
      </c>
      <c r="G29" s="10">
        <v>277.02</v>
      </c>
      <c r="H29" s="11" t="s">
        <v>30</v>
      </c>
      <c r="I29" s="15" t="s">
        <v>31</v>
      </c>
      <c r="J29" s="16" t="s">
        <v>32</v>
      </c>
      <c r="K29" s="17" t="s">
        <v>20</v>
      </c>
      <c r="L29" s="17" t="s">
        <v>20</v>
      </c>
      <c r="M29" s="18" t="s">
        <v>20</v>
      </c>
      <c r="N29" s="18" t="s">
        <v>20</v>
      </c>
    </row>
    <row r="30" s="1" customFormat="1" ht="15.75" customHeight="1" spans="1:14">
      <c r="A30" s="6" t="s">
        <v>90</v>
      </c>
      <c r="B30" s="7"/>
      <c r="C30" s="8" t="s">
        <v>15</v>
      </c>
      <c r="D30" s="6" t="s">
        <v>20</v>
      </c>
      <c r="E30" s="6" t="s">
        <v>20</v>
      </c>
      <c r="F30" s="9">
        <v>92743.11</v>
      </c>
      <c r="G30" s="10" t="s">
        <v>20</v>
      </c>
      <c r="H30" s="11" t="s">
        <v>210</v>
      </c>
      <c r="I30" s="15" t="s">
        <v>52</v>
      </c>
      <c r="J30" s="16" t="s">
        <v>211</v>
      </c>
      <c r="K30" s="17" t="s">
        <v>20</v>
      </c>
      <c r="L30" s="17" t="s">
        <v>98</v>
      </c>
      <c r="M30" s="18">
        <v>45875</v>
      </c>
      <c r="N30" s="18" t="s">
        <v>20</v>
      </c>
    </row>
    <row r="31" s="1" customFormat="1" ht="15.75" customHeight="1" spans="1:14">
      <c r="A31" s="6" t="s">
        <v>90</v>
      </c>
      <c r="B31" s="7"/>
      <c r="C31" s="8" t="s">
        <v>232</v>
      </c>
      <c r="D31" s="6" t="s">
        <v>20</v>
      </c>
      <c r="E31" s="6" t="s">
        <v>233</v>
      </c>
      <c r="F31" s="9" t="s">
        <v>20</v>
      </c>
      <c r="G31" s="10">
        <v>890.05</v>
      </c>
      <c r="H31" s="11" t="s">
        <v>234</v>
      </c>
      <c r="I31" s="15" t="s">
        <v>31</v>
      </c>
      <c r="J31" s="16" t="s">
        <v>62</v>
      </c>
      <c r="K31" s="17" t="s">
        <v>20</v>
      </c>
      <c r="L31" s="17" t="s">
        <v>20</v>
      </c>
      <c r="M31" s="18" t="s">
        <v>20</v>
      </c>
      <c r="N31" s="18" t="s">
        <v>20</v>
      </c>
    </row>
    <row r="32" s="1" customFormat="1" ht="15.75" customHeight="1" spans="1:14">
      <c r="A32" s="6" t="s">
        <v>90</v>
      </c>
      <c r="B32" s="7"/>
      <c r="C32" s="8" t="s">
        <v>232</v>
      </c>
      <c r="D32" s="6" t="s">
        <v>20</v>
      </c>
      <c r="E32" s="6" t="s">
        <v>235</v>
      </c>
      <c r="F32" s="9" t="s">
        <v>20</v>
      </c>
      <c r="G32" s="10">
        <v>1235.35</v>
      </c>
      <c r="H32" s="11" t="s">
        <v>236</v>
      </c>
      <c r="I32" s="15" t="s">
        <v>31</v>
      </c>
      <c r="J32" s="16" t="s">
        <v>62</v>
      </c>
      <c r="K32" s="17" t="s">
        <v>20</v>
      </c>
      <c r="L32" s="17" t="s">
        <v>20</v>
      </c>
      <c r="M32" s="18" t="s">
        <v>20</v>
      </c>
      <c r="N32" s="18" t="s">
        <v>20</v>
      </c>
    </row>
    <row r="33" s="1" customFormat="1" ht="15.75" customHeight="1" spans="1:14">
      <c r="A33" s="6" t="s">
        <v>90</v>
      </c>
      <c r="B33" s="7"/>
      <c r="C33" s="8" t="s">
        <v>28</v>
      </c>
      <c r="D33" s="6" t="s">
        <v>20</v>
      </c>
      <c r="E33" s="6" t="s">
        <v>20</v>
      </c>
      <c r="F33" s="9" t="s">
        <v>20</v>
      </c>
      <c r="G33" s="10">
        <v>13299.25</v>
      </c>
      <c r="H33" s="11" t="s">
        <v>215</v>
      </c>
      <c r="I33" s="15" t="s">
        <v>31</v>
      </c>
      <c r="J33" s="16" t="s">
        <v>35</v>
      </c>
      <c r="K33" s="17" t="s">
        <v>20</v>
      </c>
      <c r="L33" s="17" t="s">
        <v>20</v>
      </c>
      <c r="M33" s="18" t="s">
        <v>20</v>
      </c>
      <c r="N33" s="18" t="s">
        <v>20</v>
      </c>
    </row>
    <row r="34" s="1" customFormat="1" ht="15.75" customHeight="1" spans="1:14">
      <c r="A34" s="6" t="s">
        <v>90</v>
      </c>
      <c r="B34" s="7"/>
      <c r="C34" s="8" t="s">
        <v>58</v>
      </c>
      <c r="D34" s="6" t="s">
        <v>20</v>
      </c>
      <c r="E34" s="6" t="s">
        <v>20</v>
      </c>
      <c r="F34" s="9" t="s">
        <v>20</v>
      </c>
      <c r="G34" s="10">
        <v>1169</v>
      </c>
      <c r="H34" s="11" t="s">
        <v>216</v>
      </c>
      <c r="I34" s="16" t="s">
        <v>31</v>
      </c>
      <c r="J34" s="16" t="s">
        <v>62</v>
      </c>
      <c r="K34" s="17" t="s">
        <v>20</v>
      </c>
      <c r="L34" s="17" t="s">
        <v>20</v>
      </c>
      <c r="M34" s="18" t="s">
        <v>20</v>
      </c>
      <c r="N34" s="18" t="s">
        <v>20</v>
      </c>
    </row>
    <row r="35" s="1" customFormat="1" ht="15.75" customHeight="1" spans="1:14">
      <c r="A35" s="6" t="s">
        <v>90</v>
      </c>
      <c r="B35" s="7"/>
      <c r="C35" s="8" t="s">
        <v>28</v>
      </c>
      <c r="D35" s="6" t="s">
        <v>20</v>
      </c>
      <c r="E35" s="6" t="s">
        <v>20</v>
      </c>
      <c r="F35" s="9" t="s">
        <v>20</v>
      </c>
      <c r="G35" s="10">
        <v>2934.25</v>
      </c>
      <c r="H35" s="11" t="s">
        <v>30</v>
      </c>
      <c r="I35" s="15" t="s">
        <v>31</v>
      </c>
      <c r="J35" s="16" t="s">
        <v>32</v>
      </c>
      <c r="K35" s="17" t="s">
        <v>20</v>
      </c>
      <c r="L35" s="17" t="s">
        <v>20</v>
      </c>
      <c r="M35" s="18" t="s">
        <v>20</v>
      </c>
      <c r="N35" s="18" t="s">
        <v>20</v>
      </c>
    </row>
    <row r="36" s="1" customFormat="1" ht="15.75" customHeight="1" spans="1:14">
      <c r="A36" s="6" t="s">
        <v>90</v>
      </c>
      <c r="B36" s="7"/>
      <c r="C36" s="8" t="s">
        <v>15</v>
      </c>
      <c r="D36" s="6" t="s">
        <v>20</v>
      </c>
      <c r="E36" s="6" t="s">
        <v>20</v>
      </c>
      <c r="F36" s="9">
        <v>402.08</v>
      </c>
      <c r="G36" s="10" t="s">
        <v>20</v>
      </c>
      <c r="H36" s="11" t="s">
        <v>109</v>
      </c>
      <c r="I36" s="15" t="s">
        <v>110</v>
      </c>
      <c r="J36" s="16" t="s">
        <v>111</v>
      </c>
      <c r="K36" s="132" t="s">
        <v>237</v>
      </c>
      <c r="L36" s="17" t="s">
        <v>20</v>
      </c>
      <c r="M36" s="18">
        <v>45875</v>
      </c>
      <c r="N36" s="18" t="s">
        <v>20</v>
      </c>
    </row>
    <row r="37" s="1" customFormat="1" ht="15.75" customHeight="1" spans="1:14">
      <c r="A37" s="6" t="s">
        <v>90</v>
      </c>
      <c r="B37" s="7"/>
      <c r="C37" s="8" t="s">
        <v>238</v>
      </c>
      <c r="D37" s="6" t="s">
        <v>20</v>
      </c>
      <c r="E37" s="6" t="s">
        <v>239</v>
      </c>
      <c r="F37" s="9">
        <v>3466</v>
      </c>
      <c r="G37" s="10" t="s">
        <v>20</v>
      </c>
      <c r="H37" s="11" t="s">
        <v>20</v>
      </c>
      <c r="I37" s="15" t="s">
        <v>18</v>
      </c>
      <c r="J37" s="16" t="s">
        <v>240</v>
      </c>
      <c r="K37" s="132" t="s">
        <v>241</v>
      </c>
      <c r="L37" s="17" t="s">
        <v>20</v>
      </c>
      <c r="M37" s="18" t="s">
        <v>20</v>
      </c>
      <c r="N37" s="18">
        <v>45876</v>
      </c>
    </row>
    <row r="38" s="1" customFormat="1" ht="15.75" customHeight="1" spans="1:14">
      <c r="A38" s="6" t="s">
        <v>113</v>
      </c>
      <c r="B38" s="7"/>
      <c r="C38" s="8" t="s">
        <v>28</v>
      </c>
      <c r="D38" s="6" t="s">
        <v>20</v>
      </c>
      <c r="E38" s="6" t="s">
        <v>20</v>
      </c>
      <c r="F38" s="9" t="s">
        <v>20</v>
      </c>
      <c r="G38" s="10">
        <v>95.91</v>
      </c>
      <c r="H38" s="11" t="s">
        <v>114</v>
      </c>
      <c r="I38" s="15" t="s">
        <v>31</v>
      </c>
      <c r="J38" s="16" t="s">
        <v>115</v>
      </c>
      <c r="K38" s="17" t="s">
        <v>20</v>
      </c>
      <c r="L38" s="17" t="s">
        <v>20</v>
      </c>
      <c r="M38" s="18" t="s">
        <v>20</v>
      </c>
      <c r="N38" s="18" t="s">
        <v>20</v>
      </c>
    </row>
    <row r="39" s="1" customFormat="1" ht="15.75" customHeight="1" spans="1:14">
      <c r="A39" s="6" t="s">
        <v>113</v>
      </c>
      <c r="B39" s="7"/>
      <c r="C39" s="8" t="s">
        <v>28</v>
      </c>
      <c r="D39" s="6" t="s">
        <v>20</v>
      </c>
      <c r="E39" s="6" t="s">
        <v>20</v>
      </c>
      <c r="F39" s="9" t="s">
        <v>20</v>
      </c>
      <c r="G39" s="10">
        <v>374.96</v>
      </c>
      <c r="H39" s="11" t="s">
        <v>114</v>
      </c>
      <c r="I39" s="15" t="s">
        <v>31</v>
      </c>
      <c r="J39" s="16" t="s">
        <v>115</v>
      </c>
      <c r="K39" s="17" t="s">
        <v>20</v>
      </c>
      <c r="L39" s="17" t="s">
        <v>20</v>
      </c>
      <c r="M39" s="18" t="s">
        <v>20</v>
      </c>
      <c r="N39" s="18" t="s">
        <v>20</v>
      </c>
    </row>
    <row r="40" s="1" customFormat="1" ht="15.75" customHeight="1" spans="1:14">
      <c r="A40" s="6" t="s">
        <v>113</v>
      </c>
      <c r="B40" s="7"/>
      <c r="C40" s="8" t="s">
        <v>28</v>
      </c>
      <c r="D40" s="6" t="s">
        <v>20</v>
      </c>
      <c r="E40" s="6" t="s">
        <v>20</v>
      </c>
      <c r="F40" s="9" t="s">
        <v>20</v>
      </c>
      <c r="G40" s="10">
        <v>12126.27</v>
      </c>
      <c r="H40" s="11" t="s">
        <v>215</v>
      </c>
      <c r="I40" s="15" t="s">
        <v>31</v>
      </c>
      <c r="J40" s="16" t="s">
        <v>35</v>
      </c>
      <c r="K40" s="17" t="s">
        <v>20</v>
      </c>
      <c r="L40" s="17" t="s">
        <v>20</v>
      </c>
      <c r="M40" s="18" t="s">
        <v>20</v>
      </c>
      <c r="N40" s="18" t="s">
        <v>20</v>
      </c>
    </row>
    <row r="41" s="1" customFormat="1" ht="15.75" customHeight="1" spans="1:14">
      <c r="A41" s="6" t="s">
        <v>113</v>
      </c>
      <c r="B41" s="7"/>
      <c r="C41" s="8" t="s">
        <v>58</v>
      </c>
      <c r="D41" s="6" t="s">
        <v>20</v>
      </c>
      <c r="E41" s="6" t="s">
        <v>20</v>
      </c>
      <c r="F41" s="9" t="s">
        <v>20</v>
      </c>
      <c r="G41" s="10">
        <v>587.7</v>
      </c>
      <c r="H41" s="11" t="s">
        <v>216</v>
      </c>
      <c r="I41" s="15" t="s">
        <v>31</v>
      </c>
      <c r="J41" s="16" t="s">
        <v>62</v>
      </c>
      <c r="K41" s="17" t="s">
        <v>20</v>
      </c>
      <c r="L41" s="17" t="s">
        <v>20</v>
      </c>
      <c r="M41" s="18" t="s">
        <v>20</v>
      </c>
      <c r="N41" s="18" t="s">
        <v>20</v>
      </c>
    </row>
    <row r="42" s="1" customFormat="1" ht="15.75" customHeight="1" spans="1:14">
      <c r="A42" s="6" t="s">
        <v>113</v>
      </c>
      <c r="B42" s="7"/>
      <c r="C42" s="8" t="s">
        <v>28</v>
      </c>
      <c r="D42" s="6" t="s">
        <v>20</v>
      </c>
      <c r="E42" s="6" t="s">
        <v>20</v>
      </c>
      <c r="F42" s="9" t="s">
        <v>20</v>
      </c>
      <c r="G42" s="10">
        <v>835.44</v>
      </c>
      <c r="H42" s="11" t="s">
        <v>30</v>
      </c>
      <c r="I42" s="15" t="s">
        <v>31</v>
      </c>
      <c r="J42" s="16" t="s">
        <v>32</v>
      </c>
      <c r="K42" s="17" t="s">
        <v>20</v>
      </c>
      <c r="L42" s="17" t="s">
        <v>20</v>
      </c>
      <c r="M42" s="18" t="s">
        <v>20</v>
      </c>
      <c r="N42" s="18" t="s">
        <v>20</v>
      </c>
    </row>
    <row r="43" s="1" customFormat="1" ht="15.75" customHeight="1" spans="1:14">
      <c r="A43" s="6" t="s">
        <v>128</v>
      </c>
      <c r="B43" s="7"/>
      <c r="C43" s="8" t="s">
        <v>28</v>
      </c>
      <c r="D43" s="6" t="s">
        <v>20</v>
      </c>
      <c r="E43" s="6" t="s">
        <v>20</v>
      </c>
      <c r="F43" s="9" t="s">
        <v>20</v>
      </c>
      <c r="G43" s="10">
        <v>15534.49</v>
      </c>
      <c r="H43" s="11" t="s">
        <v>215</v>
      </c>
      <c r="I43" s="15" t="s">
        <v>31</v>
      </c>
      <c r="J43" s="16" t="s">
        <v>35</v>
      </c>
      <c r="K43" s="17" t="s">
        <v>20</v>
      </c>
      <c r="L43" s="17" t="s">
        <v>20</v>
      </c>
      <c r="M43" s="18" t="s">
        <v>20</v>
      </c>
      <c r="N43" s="18" t="s">
        <v>20</v>
      </c>
    </row>
    <row r="44" s="1" customFormat="1" ht="15.75" customHeight="1" spans="1:14">
      <c r="A44" s="6" t="s">
        <v>128</v>
      </c>
      <c r="B44" s="7"/>
      <c r="C44" s="8" t="s">
        <v>58</v>
      </c>
      <c r="D44" s="6" t="s">
        <v>20</v>
      </c>
      <c r="E44" s="6" t="s">
        <v>20</v>
      </c>
      <c r="F44" s="9" t="s">
        <v>20</v>
      </c>
      <c r="G44" s="10">
        <v>824.4</v>
      </c>
      <c r="H44" s="11" t="s">
        <v>216</v>
      </c>
      <c r="I44" s="15" t="s">
        <v>31</v>
      </c>
      <c r="J44" s="16" t="s">
        <v>62</v>
      </c>
      <c r="K44" s="17" t="s">
        <v>20</v>
      </c>
      <c r="L44" s="17" t="s">
        <v>20</v>
      </c>
      <c r="M44" s="18" t="s">
        <v>20</v>
      </c>
      <c r="N44" s="18" t="s">
        <v>20</v>
      </c>
    </row>
    <row r="45" s="1" customFormat="1" ht="30.75" customHeight="1" spans="1:14">
      <c r="A45" s="6" t="s">
        <v>128</v>
      </c>
      <c r="B45" s="7"/>
      <c r="C45" s="8" t="s">
        <v>28</v>
      </c>
      <c r="D45" s="6" t="s">
        <v>20</v>
      </c>
      <c r="E45" s="6" t="s">
        <v>20</v>
      </c>
      <c r="F45" s="9" t="s">
        <v>20</v>
      </c>
      <c r="G45" s="10">
        <v>1065.09</v>
      </c>
      <c r="H45" s="11" t="s">
        <v>30</v>
      </c>
      <c r="I45" s="15" t="s">
        <v>31</v>
      </c>
      <c r="J45" s="16" t="s">
        <v>32</v>
      </c>
      <c r="K45" s="17" t="s">
        <v>20</v>
      </c>
      <c r="L45" s="17" t="s">
        <v>20</v>
      </c>
      <c r="M45" s="18" t="s">
        <v>20</v>
      </c>
      <c r="N45" s="18" t="s">
        <v>20</v>
      </c>
    </row>
    <row r="46" s="1" customFormat="1" ht="29.25" customHeight="1" spans="1:14">
      <c r="A46" s="6" t="s">
        <v>130</v>
      </c>
      <c r="B46" s="7"/>
      <c r="C46" s="8" t="s">
        <v>58</v>
      </c>
      <c r="D46" s="6" t="s">
        <v>20</v>
      </c>
      <c r="E46" s="6" t="s">
        <v>20</v>
      </c>
      <c r="F46" s="9" t="s">
        <v>20</v>
      </c>
      <c r="G46" s="10">
        <v>764.65</v>
      </c>
      <c r="H46" s="11" t="s">
        <v>216</v>
      </c>
      <c r="I46" s="15" t="s">
        <v>31</v>
      </c>
      <c r="J46" s="16" t="s">
        <v>62</v>
      </c>
      <c r="K46" s="17" t="s">
        <v>20</v>
      </c>
      <c r="L46" s="17" t="s">
        <v>20</v>
      </c>
      <c r="M46" s="18" t="s">
        <v>20</v>
      </c>
      <c r="N46" s="18" t="s">
        <v>20</v>
      </c>
    </row>
    <row r="47" s="1" customFormat="1" ht="15.75" customHeight="1" spans="1:14">
      <c r="A47" s="6" t="s">
        <v>130</v>
      </c>
      <c r="B47" s="7"/>
      <c r="C47" s="8" t="s">
        <v>232</v>
      </c>
      <c r="D47" s="6" t="s">
        <v>20</v>
      </c>
      <c r="E47" s="6" t="s">
        <v>242</v>
      </c>
      <c r="F47" s="9" t="s">
        <v>20</v>
      </c>
      <c r="G47" s="10">
        <v>955.5</v>
      </c>
      <c r="H47" s="11" t="s">
        <v>236</v>
      </c>
      <c r="I47" s="15" t="s">
        <v>31</v>
      </c>
      <c r="J47" s="16" t="s">
        <v>243</v>
      </c>
      <c r="K47" s="17" t="s">
        <v>20</v>
      </c>
      <c r="L47" s="17" t="s">
        <v>20</v>
      </c>
      <c r="M47" s="18" t="s">
        <v>20</v>
      </c>
      <c r="N47" s="18" t="s">
        <v>20</v>
      </c>
    </row>
    <row r="48" s="1" customFormat="1" ht="15.75" customHeight="1" spans="1:14">
      <c r="A48" s="6" t="s">
        <v>130</v>
      </c>
      <c r="B48" s="7"/>
      <c r="C48" s="8" t="s">
        <v>28</v>
      </c>
      <c r="D48" s="6" t="s">
        <v>20</v>
      </c>
      <c r="E48" s="6" t="s">
        <v>20</v>
      </c>
      <c r="F48" s="9" t="s">
        <v>20</v>
      </c>
      <c r="G48" s="10">
        <v>44710.41</v>
      </c>
      <c r="H48" s="11" t="s">
        <v>215</v>
      </c>
      <c r="I48" s="15" t="s">
        <v>31</v>
      </c>
      <c r="J48" s="16" t="s">
        <v>35</v>
      </c>
      <c r="K48" s="17" t="s">
        <v>20</v>
      </c>
      <c r="L48" s="17" t="s">
        <v>20</v>
      </c>
      <c r="M48" s="18" t="s">
        <v>20</v>
      </c>
      <c r="N48" s="18" t="s">
        <v>20</v>
      </c>
    </row>
    <row r="49" s="1" customFormat="1" ht="15.75" customHeight="1" spans="1:14">
      <c r="A49" s="6" t="s">
        <v>130</v>
      </c>
      <c r="B49" s="7"/>
      <c r="C49" s="8" t="s">
        <v>58</v>
      </c>
      <c r="D49" s="6" t="s">
        <v>20</v>
      </c>
      <c r="E49" s="6" t="s">
        <v>20</v>
      </c>
      <c r="F49" s="9" t="s">
        <v>20</v>
      </c>
      <c r="G49" s="10">
        <v>1212</v>
      </c>
      <c r="H49" s="11" t="s">
        <v>216</v>
      </c>
      <c r="I49" s="15" t="s">
        <v>31</v>
      </c>
      <c r="J49" s="16" t="s">
        <v>62</v>
      </c>
      <c r="K49" s="17" t="s">
        <v>20</v>
      </c>
      <c r="L49" s="17" t="s">
        <v>20</v>
      </c>
      <c r="M49" s="18" t="s">
        <v>20</v>
      </c>
      <c r="N49" s="18" t="s">
        <v>20</v>
      </c>
    </row>
    <row r="50" s="1" customFormat="1" ht="15.75" customHeight="1" spans="1:14">
      <c r="A50" s="6" t="s">
        <v>130</v>
      </c>
      <c r="B50" s="7"/>
      <c r="C50" s="8" t="s">
        <v>28</v>
      </c>
      <c r="D50" s="6" t="s">
        <v>20</v>
      </c>
      <c r="E50" s="6" t="s">
        <v>20</v>
      </c>
      <c r="F50" s="9" t="s">
        <v>20</v>
      </c>
      <c r="G50" s="10">
        <v>2031.46</v>
      </c>
      <c r="H50" s="11" t="s">
        <v>30</v>
      </c>
      <c r="I50" s="15" t="s">
        <v>31</v>
      </c>
      <c r="J50" s="16" t="s">
        <v>32</v>
      </c>
      <c r="K50" s="17" t="s">
        <v>20</v>
      </c>
      <c r="L50" s="17" t="s">
        <v>20</v>
      </c>
      <c r="M50" s="18" t="s">
        <v>20</v>
      </c>
      <c r="N50" s="18" t="s">
        <v>20</v>
      </c>
    </row>
    <row r="51" s="1" customFormat="1" ht="15.75" customHeight="1" spans="1:14">
      <c r="A51" s="6" t="s">
        <v>130</v>
      </c>
      <c r="B51" s="7"/>
      <c r="C51" s="8" t="s">
        <v>28</v>
      </c>
      <c r="D51" s="6" t="s">
        <v>20</v>
      </c>
      <c r="E51" s="6" t="s">
        <v>20</v>
      </c>
      <c r="F51" s="9" t="s">
        <v>20</v>
      </c>
      <c r="G51" s="10">
        <v>2387.26</v>
      </c>
      <c r="H51" s="11" t="s">
        <v>30</v>
      </c>
      <c r="I51" s="15" t="s">
        <v>31</v>
      </c>
      <c r="J51" s="16" t="s">
        <v>32</v>
      </c>
      <c r="K51" s="17" t="s">
        <v>20</v>
      </c>
      <c r="L51" s="17" t="s">
        <v>20</v>
      </c>
      <c r="M51" s="18" t="s">
        <v>20</v>
      </c>
      <c r="N51" s="18" t="s">
        <v>20</v>
      </c>
    </row>
    <row r="52" s="1" customFormat="1" ht="15.75" customHeight="1" spans="1:14">
      <c r="A52" s="6" t="s">
        <v>130</v>
      </c>
      <c r="B52" s="7"/>
      <c r="C52" s="8" t="s">
        <v>28</v>
      </c>
      <c r="D52" s="6" t="s">
        <v>20</v>
      </c>
      <c r="E52" s="6" t="s">
        <v>20</v>
      </c>
      <c r="F52" s="9" t="s">
        <v>20</v>
      </c>
      <c r="G52" s="10">
        <v>3301.15</v>
      </c>
      <c r="H52" s="11" t="s">
        <v>30</v>
      </c>
      <c r="I52" s="15" t="s">
        <v>31</v>
      </c>
      <c r="J52" s="16" t="s">
        <v>32</v>
      </c>
      <c r="K52" s="17" t="s">
        <v>20</v>
      </c>
      <c r="L52" s="17" t="s">
        <v>20</v>
      </c>
      <c r="M52" s="18" t="s">
        <v>20</v>
      </c>
      <c r="N52" s="18" t="s">
        <v>20</v>
      </c>
    </row>
    <row r="53" s="1" customFormat="1" ht="15.75" customHeight="1" spans="1:14">
      <c r="A53" s="6" t="s">
        <v>130</v>
      </c>
      <c r="B53" s="7"/>
      <c r="C53" s="8" t="s">
        <v>28</v>
      </c>
      <c r="D53" s="6" t="s">
        <v>20</v>
      </c>
      <c r="E53" s="6" t="s">
        <v>20</v>
      </c>
      <c r="F53" s="9" t="s">
        <v>20</v>
      </c>
      <c r="G53" s="10">
        <v>1442.59</v>
      </c>
      <c r="H53" s="11" t="s">
        <v>30</v>
      </c>
      <c r="I53" s="15" t="s">
        <v>31</v>
      </c>
      <c r="J53" s="16" t="s">
        <v>32</v>
      </c>
      <c r="K53" s="17" t="s">
        <v>20</v>
      </c>
      <c r="L53" s="17" t="s">
        <v>20</v>
      </c>
      <c r="M53" s="18" t="s">
        <v>20</v>
      </c>
      <c r="N53" s="18" t="s">
        <v>20</v>
      </c>
    </row>
    <row r="54" s="1" customFormat="1" ht="15.75" customHeight="1" spans="1:14">
      <c r="A54" s="6" t="s">
        <v>141</v>
      </c>
      <c r="B54" s="7"/>
      <c r="C54" s="8" t="s">
        <v>28</v>
      </c>
      <c r="D54" s="6" t="s">
        <v>24</v>
      </c>
      <c r="E54" s="6"/>
      <c r="F54" s="9"/>
      <c r="G54" s="10">
        <v>769.14</v>
      </c>
      <c r="H54" s="11" t="s">
        <v>80</v>
      </c>
      <c r="I54" s="15" t="s">
        <v>31</v>
      </c>
      <c r="J54" s="16" t="s">
        <v>81</v>
      </c>
      <c r="K54" s="17"/>
      <c r="L54" s="17"/>
      <c r="M54" s="18"/>
      <c r="N54" s="18"/>
    </row>
    <row r="55" s="1" customFormat="1" ht="15.75" customHeight="1" spans="1:14">
      <c r="A55" s="6" t="s">
        <v>141</v>
      </c>
      <c r="B55" s="7"/>
      <c r="C55" s="8" t="s">
        <v>28</v>
      </c>
      <c r="D55" s="6" t="s">
        <v>24</v>
      </c>
      <c r="E55" s="6"/>
      <c r="F55" s="9"/>
      <c r="G55" s="10">
        <v>4830.46</v>
      </c>
      <c r="H55" s="11" t="s">
        <v>80</v>
      </c>
      <c r="I55" s="15" t="s">
        <v>31</v>
      </c>
      <c r="J55" s="16" t="s">
        <v>81</v>
      </c>
      <c r="K55" s="17"/>
      <c r="L55" s="17"/>
      <c r="M55" s="18"/>
      <c r="N55" s="18"/>
    </row>
    <row r="56" s="1" customFormat="1" ht="15.75" customHeight="1" spans="1:14">
      <c r="A56" s="6" t="s">
        <v>141</v>
      </c>
      <c r="B56" s="7"/>
      <c r="C56" s="8" t="s">
        <v>15</v>
      </c>
      <c r="D56" s="6" t="s">
        <v>24</v>
      </c>
      <c r="E56" s="6"/>
      <c r="F56" s="9">
        <v>-119.56</v>
      </c>
      <c r="G56" s="10"/>
      <c r="H56" s="11" t="s">
        <v>244</v>
      </c>
      <c r="I56" s="15" t="s">
        <v>179</v>
      </c>
      <c r="J56" s="16" t="s">
        <v>245</v>
      </c>
      <c r="K56" s="132" t="s">
        <v>246</v>
      </c>
      <c r="L56" s="17"/>
      <c r="M56" s="18"/>
      <c r="N56" s="18"/>
    </row>
    <row r="57" s="1" customFormat="1" ht="15.75" customHeight="1" spans="1:14">
      <c r="A57" s="6" t="s">
        <v>141</v>
      </c>
      <c r="B57" s="7"/>
      <c r="C57" s="8" t="s">
        <v>15</v>
      </c>
      <c r="D57" s="6" t="s">
        <v>24</v>
      </c>
      <c r="E57" s="6"/>
      <c r="F57" s="9">
        <v>-5113.76</v>
      </c>
      <c r="G57" s="10"/>
      <c r="H57" s="11" t="s">
        <v>178</v>
      </c>
      <c r="I57" s="15" t="s">
        <v>179</v>
      </c>
      <c r="J57" s="16" t="s">
        <v>247</v>
      </c>
      <c r="K57" s="132" t="s">
        <v>248</v>
      </c>
      <c r="L57" s="17"/>
      <c r="M57" s="18"/>
      <c r="N57" s="18"/>
    </row>
    <row r="58" s="1" customFormat="1" ht="15.75" customHeight="1" spans="1:14">
      <c r="A58" s="6" t="s">
        <v>141</v>
      </c>
      <c r="B58" s="7"/>
      <c r="C58" s="8" t="s">
        <v>28</v>
      </c>
      <c r="D58" s="6" t="s">
        <v>24</v>
      </c>
      <c r="E58" s="6"/>
      <c r="F58" s="9"/>
      <c r="G58" s="10">
        <v>16609.58</v>
      </c>
      <c r="H58" s="11" t="s">
        <v>215</v>
      </c>
      <c r="I58" s="15" t="s">
        <v>31</v>
      </c>
      <c r="J58" s="16" t="s">
        <v>35</v>
      </c>
      <c r="K58" s="17"/>
      <c r="L58" s="17"/>
      <c r="M58" s="18"/>
      <c r="N58" s="18"/>
    </row>
    <row r="59" s="1" customFormat="1" ht="15.75" customHeight="1" spans="1:14">
      <c r="A59" s="6" t="s">
        <v>141</v>
      </c>
      <c r="B59" s="7"/>
      <c r="C59" s="8" t="s">
        <v>58</v>
      </c>
      <c r="D59" s="6" t="s">
        <v>24</v>
      </c>
      <c r="E59" s="6"/>
      <c r="F59" s="9"/>
      <c r="G59" s="10">
        <v>866</v>
      </c>
      <c r="H59" s="11" t="s">
        <v>216</v>
      </c>
      <c r="I59" s="15" t="s">
        <v>31</v>
      </c>
      <c r="J59" s="16" t="s">
        <v>62</v>
      </c>
      <c r="K59" s="17"/>
      <c r="L59" s="17"/>
      <c r="M59" s="18"/>
      <c r="N59" s="18"/>
    </row>
    <row r="60" s="1" customFormat="1" ht="15.75" customHeight="1" spans="1:14">
      <c r="A60" s="6" t="s">
        <v>141</v>
      </c>
      <c r="B60" s="7"/>
      <c r="C60" s="8" t="s">
        <v>28</v>
      </c>
      <c r="D60" s="6" t="s">
        <v>24</v>
      </c>
      <c r="E60" s="6"/>
      <c r="F60" s="9"/>
      <c r="G60" s="10">
        <v>3870.68</v>
      </c>
      <c r="H60" s="11" t="s">
        <v>30</v>
      </c>
      <c r="I60" s="15" t="s">
        <v>31</v>
      </c>
      <c r="J60" s="16" t="s">
        <v>32</v>
      </c>
      <c r="K60" s="17"/>
      <c r="L60" s="17"/>
      <c r="M60" s="18"/>
      <c r="N60" s="18"/>
    </row>
    <row r="61" s="1" customFormat="1" ht="15.75" customHeight="1" spans="1:14">
      <c r="A61" s="6" t="s">
        <v>144</v>
      </c>
      <c r="B61" s="7"/>
      <c r="C61" s="8" t="s">
        <v>28</v>
      </c>
      <c r="D61" s="6" t="s">
        <v>24</v>
      </c>
      <c r="E61" s="6"/>
      <c r="F61" s="9"/>
      <c r="G61" s="10">
        <v>423.53</v>
      </c>
      <c r="H61" s="11" t="s">
        <v>114</v>
      </c>
      <c r="I61" s="15" t="s">
        <v>31</v>
      </c>
      <c r="J61" s="16" t="s">
        <v>115</v>
      </c>
      <c r="K61" s="17"/>
      <c r="L61" s="17"/>
      <c r="M61" s="18"/>
      <c r="N61" s="18"/>
    </row>
    <row r="62" s="1" customFormat="1" ht="15.75" customHeight="1" spans="1:14">
      <c r="A62" s="6" t="s">
        <v>144</v>
      </c>
      <c r="B62" s="7"/>
      <c r="C62" s="8" t="s">
        <v>28</v>
      </c>
      <c r="D62" s="6" t="s">
        <v>24</v>
      </c>
      <c r="E62" s="6"/>
      <c r="F62" s="9"/>
      <c r="G62" s="10">
        <v>656.15</v>
      </c>
      <c r="H62" s="11" t="s">
        <v>114</v>
      </c>
      <c r="I62" s="15" t="s">
        <v>31</v>
      </c>
      <c r="J62" s="16" t="s">
        <v>115</v>
      </c>
      <c r="K62" s="17"/>
      <c r="L62" s="17"/>
      <c r="M62" s="18"/>
      <c r="N62" s="18"/>
    </row>
    <row r="63" s="1" customFormat="1" ht="15.75" customHeight="1" spans="1:14">
      <c r="A63" s="6" t="s">
        <v>144</v>
      </c>
      <c r="B63" s="7"/>
      <c r="C63" s="8" t="s">
        <v>28</v>
      </c>
      <c r="D63" s="6" t="s">
        <v>24</v>
      </c>
      <c r="E63" s="6"/>
      <c r="F63" s="9"/>
      <c r="G63" s="10">
        <v>11445.63</v>
      </c>
      <c r="H63" s="11" t="s">
        <v>215</v>
      </c>
      <c r="I63" s="15" t="s">
        <v>31</v>
      </c>
      <c r="J63" s="16" t="s">
        <v>35</v>
      </c>
      <c r="K63" s="17"/>
      <c r="L63" s="17"/>
      <c r="M63" s="18"/>
      <c r="N63" s="18"/>
    </row>
    <row r="64" s="1" customFormat="1" ht="15.75" customHeight="1" spans="1:14">
      <c r="A64" s="6" t="s">
        <v>144</v>
      </c>
      <c r="B64" s="7"/>
      <c r="C64" s="8" t="s">
        <v>58</v>
      </c>
      <c r="D64" s="6" t="s">
        <v>24</v>
      </c>
      <c r="E64" s="6"/>
      <c r="F64" s="9"/>
      <c r="G64" s="10">
        <v>46</v>
      </c>
      <c r="H64" s="11" t="s">
        <v>216</v>
      </c>
      <c r="I64" s="15" t="s">
        <v>31</v>
      </c>
      <c r="J64" s="16" t="s">
        <v>62</v>
      </c>
      <c r="K64" s="17"/>
      <c r="L64" s="17"/>
      <c r="M64" s="18"/>
      <c r="N64" s="18"/>
    </row>
    <row r="65" s="1" customFormat="1" ht="15.75" customHeight="1" spans="1:14">
      <c r="A65" s="6" t="s">
        <v>144</v>
      </c>
      <c r="B65" s="7"/>
      <c r="C65" s="8" t="s">
        <v>58</v>
      </c>
      <c r="D65" s="6" t="s">
        <v>24</v>
      </c>
      <c r="E65" s="6"/>
      <c r="F65" s="9"/>
      <c r="G65" s="10">
        <v>1000</v>
      </c>
      <c r="H65" s="11" t="s">
        <v>216</v>
      </c>
      <c r="I65" s="15" t="s">
        <v>31</v>
      </c>
      <c r="J65" s="16" t="s">
        <v>249</v>
      </c>
      <c r="K65" s="17"/>
      <c r="L65" s="17"/>
      <c r="M65" s="18"/>
      <c r="N65" s="18"/>
    </row>
    <row r="66" s="1" customFormat="1" ht="15.75" customHeight="1" spans="1:14">
      <c r="A66" s="6" t="s">
        <v>144</v>
      </c>
      <c r="B66" s="7"/>
      <c r="C66" s="8" t="s">
        <v>28</v>
      </c>
      <c r="D66" s="6" t="s">
        <v>24</v>
      </c>
      <c r="E66" s="6"/>
      <c r="F66" s="9"/>
      <c r="G66" s="10">
        <v>1539.23</v>
      </c>
      <c r="H66" s="11" t="s">
        <v>30</v>
      </c>
      <c r="I66" s="15" t="s">
        <v>31</v>
      </c>
      <c r="J66" s="16" t="s">
        <v>32</v>
      </c>
      <c r="K66" s="17"/>
      <c r="L66" s="17"/>
      <c r="M66" s="18"/>
      <c r="N66" s="18"/>
    </row>
    <row r="67" s="1" customFormat="1" ht="15.75" customHeight="1" spans="1:14">
      <c r="A67" s="6" t="s">
        <v>149</v>
      </c>
      <c r="B67" s="7"/>
      <c r="C67" s="8" t="s">
        <v>28</v>
      </c>
      <c r="D67" s="6" t="s">
        <v>214</v>
      </c>
      <c r="E67" s="6"/>
      <c r="F67" s="9"/>
      <c r="G67" s="10">
        <v>12027.86</v>
      </c>
      <c r="H67" s="15" t="s">
        <v>215</v>
      </c>
      <c r="I67" s="1" t="s">
        <v>31</v>
      </c>
      <c r="J67" s="16" t="s">
        <v>35</v>
      </c>
      <c r="K67" s="17"/>
      <c r="L67" s="17"/>
      <c r="M67" s="18"/>
      <c r="N67" s="18"/>
    </row>
    <row r="68" s="1" customFormat="1" ht="15.75" customHeight="1" spans="1:14">
      <c r="A68" s="6" t="s">
        <v>149</v>
      </c>
      <c r="B68" s="7"/>
      <c r="C68" s="8" t="s">
        <v>58</v>
      </c>
      <c r="D68" s="6" t="s">
        <v>24</v>
      </c>
      <c r="E68" s="6"/>
      <c r="F68" s="9"/>
      <c r="G68" s="10">
        <v>961.75</v>
      </c>
      <c r="H68" s="15" t="s">
        <v>216</v>
      </c>
      <c r="I68" s="1" t="s">
        <v>31</v>
      </c>
      <c r="J68" s="16" t="s">
        <v>62</v>
      </c>
      <c r="K68" s="17"/>
      <c r="L68" s="17"/>
      <c r="M68" s="18"/>
      <c r="N68" s="18"/>
    </row>
    <row r="69" s="1" customFormat="1" ht="15.75" customHeight="1" spans="1:14">
      <c r="A69" s="6" t="s">
        <v>149</v>
      </c>
      <c r="B69" s="7"/>
      <c r="C69" s="8" t="s">
        <v>28</v>
      </c>
      <c r="D69" s="6" t="s">
        <v>250</v>
      </c>
      <c r="E69" s="6"/>
      <c r="F69" s="9"/>
      <c r="G69" s="10">
        <v>1692.14</v>
      </c>
      <c r="H69" s="15" t="s">
        <v>30</v>
      </c>
      <c r="I69" s="1" t="s">
        <v>31</v>
      </c>
      <c r="J69" s="16" t="s">
        <v>32</v>
      </c>
      <c r="K69" s="17"/>
      <c r="L69" s="17"/>
      <c r="M69" s="18"/>
      <c r="N69" s="18"/>
    </row>
    <row r="70" s="1" customFormat="1" ht="15.75" customHeight="1" spans="1:14">
      <c r="A70" s="6" t="s">
        <v>158</v>
      </c>
      <c r="B70" s="7"/>
      <c r="C70" s="8" t="s">
        <v>15</v>
      </c>
      <c r="D70" s="6" t="s">
        <v>251</v>
      </c>
      <c r="E70" s="6"/>
      <c r="F70" s="9">
        <v>-262.42</v>
      </c>
      <c r="G70" s="10"/>
      <c r="H70" s="11" t="s">
        <v>210</v>
      </c>
      <c r="I70" s="15" t="s">
        <v>52</v>
      </c>
      <c r="J70" s="16" t="s">
        <v>211</v>
      </c>
      <c r="K70" s="17" t="s">
        <v>20</v>
      </c>
      <c r="L70" s="17" t="s">
        <v>102</v>
      </c>
      <c r="M70" s="18">
        <v>45888</v>
      </c>
      <c r="N70" s="18"/>
    </row>
    <row r="71" s="1" customFormat="1" ht="15.75" customHeight="1" spans="1:14">
      <c r="A71" s="6" t="s">
        <v>158</v>
      </c>
      <c r="B71" s="7"/>
      <c r="C71" s="8" t="s">
        <v>15</v>
      </c>
      <c r="D71" s="6" t="s">
        <v>252</v>
      </c>
      <c r="E71" s="6"/>
      <c r="F71" s="9">
        <v>-492.24</v>
      </c>
      <c r="G71" s="10"/>
      <c r="H71" s="11" t="s">
        <v>160</v>
      </c>
      <c r="I71" s="15" t="s">
        <v>161</v>
      </c>
      <c r="J71" s="16" t="s">
        <v>162</v>
      </c>
      <c r="K71" s="17" t="s">
        <v>20</v>
      </c>
      <c r="L71" s="17" t="s">
        <v>20</v>
      </c>
      <c r="M71" s="18">
        <v>45888</v>
      </c>
      <c r="N71" s="18"/>
    </row>
    <row r="72" s="1" customFormat="1" ht="15.75" customHeight="1" spans="1:14">
      <c r="A72" s="6" t="s">
        <v>158</v>
      </c>
      <c r="B72" s="7"/>
      <c r="C72" s="8" t="s">
        <v>28</v>
      </c>
      <c r="D72" s="6" t="s">
        <v>214</v>
      </c>
      <c r="E72" s="6"/>
      <c r="F72" s="9"/>
      <c r="G72" s="10">
        <v>9728.89</v>
      </c>
      <c r="H72" s="11" t="s">
        <v>215</v>
      </c>
      <c r="I72" s="15" t="s">
        <v>31</v>
      </c>
      <c r="J72" s="16" t="s">
        <v>35</v>
      </c>
      <c r="K72" s="17"/>
      <c r="L72" s="17"/>
      <c r="M72" s="18"/>
      <c r="N72" s="18"/>
    </row>
    <row r="73" s="1" customFormat="1" ht="15.75" customHeight="1" spans="1:14">
      <c r="A73" s="6" t="s">
        <v>158</v>
      </c>
      <c r="B73" s="7"/>
      <c r="C73" s="8" t="s">
        <v>28</v>
      </c>
      <c r="D73" s="6" t="s">
        <v>253</v>
      </c>
      <c r="E73" s="6"/>
      <c r="F73" s="9"/>
      <c r="G73" s="10">
        <v>2567.74</v>
      </c>
      <c r="H73" s="11" t="s">
        <v>30</v>
      </c>
      <c r="I73" s="15" t="s">
        <v>31</v>
      </c>
      <c r="J73" s="16" t="s">
        <v>32</v>
      </c>
      <c r="K73" s="17"/>
      <c r="L73" s="17"/>
      <c r="M73" s="18"/>
      <c r="N73" s="18"/>
    </row>
    <row r="74" s="1" customFormat="1" ht="15.75" customHeight="1" spans="1:14">
      <c r="A74" s="6" t="s">
        <v>158</v>
      </c>
      <c r="B74" s="7"/>
      <c r="C74" s="8" t="s">
        <v>58</v>
      </c>
      <c r="D74" s="6" t="s">
        <v>24</v>
      </c>
      <c r="E74" s="6"/>
      <c r="F74" s="9"/>
      <c r="G74" s="10">
        <v>1600.15</v>
      </c>
      <c r="H74" s="11" t="s">
        <v>216</v>
      </c>
      <c r="I74" s="1" t="s">
        <v>31</v>
      </c>
      <c r="J74" s="16" t="s">
        <v>62</v>
      </c>
      <c r="K74" s="17"/>
      <c r="L74" s="17"/>
      <c r="M74" s="18"/>
      <c r="N74" s="18"/>
    </row>
    <row r="75" s="1" customFormat="1" ht="15.75" customHeight="1" spans="1:14">
      <c r="A75" s="6" t="s">
        <v>166</v>
      </c>
      <c r="B75" s="7"/>
      <c r="C75" s="8" t="s">
        <v>58</v>
      </c>
      <c r="D75" s="6" t="s">
        <v>24</v>
      </c>
      <c r="E75" s="6"/>
      <c r="F75" s="9"/>
      <c r="G75" s="10">
        <v>1182</v>
      </c>
      <c r="H75" s="11" t="s">
        <v>216</v>
      </c>
      <c r="I75" s="1" t="s">
        <v>31</v>
      </c>
      <c r="J75" s="16" t="s">
        <v>62</v>
      </c>
      <c r="K75" s="17"/>
      <c r="L75" s="17"/>
      <c r="M75" s="18"/>
      <c r="N75" s="18"/>
    </row>
    <row r="76" s="1" customFormat="1" ht="29.25" customHeight="1" spans="1:14">
      <c r="A76" s="6" t="s">
        <v>166</v>
      </c>
      <c r="B76" s="7"/>
      <c r="C76" s="8" t="s">
        <v>15</v>
      </c>
      <c r="D76" s="6" t="s">
        <v>24</v>
      </c>
      <c r="E76" s="6"/>
      <c r="F76" s="9">
        <v>-10267.11</v>
      </c>
      <c r="G76" s="10"/>
      <c r="H76" s="11" t="s">
        <v>210</v>
      </c>
      <c r="I76" s="15" t="s">
        <v>52</v>
      </c>
      <c r="J76" s="16" t="s">
        <v>211</v>
      </c>
      <c r="K76" s="17" t="s">
        <v>20</v>
      </c>
      <c r="L76" s="17" t="s">
        <v>106</v>
      </c>
      <c r="M76" s="18">
        <v>45888</v>
      </c>
      <c r="N76" s="18"/>
    </row>
    <row r="77" s="1" customFormat="1" ht="15.75" customHeight="1" spans="1:14">
      <c r="A77" s="6" t="s">
        <v>166</v>
      </c>
      <c r="B77" s="7"/>
      <c r="C77" s="8" t="s">
        <v>28</v>
      </c>
      <c r="D77" s="6" t="s">
        <v>24</v>
      </c>
      <c r="E77" s="6"/>
      <c r="F77" s="9"/>
      <c r="G77" s="10">
        <v>66069.57</v>
      </c>
      <c r="H77" s="11" t="s">
        <v>215</v>
      </c>
      <c r="I77" s="1" t="s">
        <v>31</v>
      </c>
      <c r="J77" s="16" t="s">
        <v>35</v>
      </c>
      <c r="K77" s="17"/>
      <c r="L77" s="17"/>
      <c r="M77" s="18"/>
      <c r="N77" s="18"/>
    </row>
    <row r="78" s="1" customFormat="1" ht="15.75" customHeight="1" spans="1:14">
      <c r="A78" s="6" t="s">
        <v>166</v>
      </c>
      <c r="B78" s="7"/>
      <c r="C78" s="8" t="s">
        <v>58</v>
      </c>
      <c r="D78" s="6" t="s">
        <v>24</v>
      </c>
      <c r="E78" s="6"/>
      <c r="F78" s="9"/>
      <c r="G78" s="10">
        <v>665.35</v>
      </c>
      <c r="H78" s="11" t="s">
        <v>216</v>
      </c>
      <c r="I78" s="1" t="s">
        <v>31</v>
      </c>
      <c r="J78" s="16" t="s">
        <v>62</v>
      </c>
      <c r="K78" s="17"/>
      <c r="L78" s="17"/>
      <c r="M78" s="18"/>
      <c r="N78" s="18"/>
    </row>
    <row r="79" s="1" customFormat="1" ht="15.75" customHeight="1" spans="1:14">
      <c r="A79" s="6" t="s">
        <v>166</v>
      </c>
      <c r="B79" s="7"/>
      <c r="C79" s="8" t="s">
        <v>58</v>
      </c>
      <c r="D79" s="6" t="s">
        <v>24</v>
      </c>
      <c r="E79" s="6"/>
      <c r="F79" s="9"/>
      <c r="G79" s="10">
        <v>440</v>
      </c>
      <c r="H79" s="11" t="s">
        <v>216</v>
      </c>
      <c r="I79" s="1" t="s">
        <v>31</v>
      </c>
      <c r="J79" s="16" t="s">
        <v>62</v>
      </c>
      <c r="K79" s="17"/>
      <c r="L79" s="17"/>
      <c r="M79" s="18"/>
      <c r="N79" s="18"/>
    </row>
    <row r="80" s="1" customFormat="1" ht="15.75" customHeight="1" spans="1:14">
      <c r="A80" s="6" t="s">
        <v>166</v>
      </c>
      <c r="B80" s="7"/>
      <c r="C80" s="8" t="s">
        <v>28</v>
      </c>
      <c r="D80" s="6" t="s">
        <v>24</v>
      </c>
      <c r="E80" s="6"/>
      <c r="F80" s="9"/>
      <c r="G80" s="10">
        <v>1620.33</v>
      </c>
      <c r="H80" s="11" t="s">
        <v>30</v>
      </c>
      <c r="I80" s="15" t="s">
        <v>31</v>
      </c>
      <c r="J80" s="16" t="s">
        <v>32</v>
      </c>
      <c r="K80" s="17"/>
      <c r="L80" s="17"/>
      <c r="M80" s="18"/>
      <c r="N80" s="18"/>
    </row>
    <row r="81" s="1" customFormat="1" ht="29.25" customHeight="1" spans="1:14">
      <c r="A81" s="6" t="s">
        <v>166</v>
      </c>
      <c r="B81" s="7"/>
      <c r="C81" s="8" t="s">
        <v>28</v>
      </c>
      <c r="D81" s="6" t="s">
        <v>24</v>
      </c>
      <c r="E81" s="6"/>
      <c r="F81" s="9"/>
      <c r="G81" s="10">
        <v>3117.3</v>
      </c>
      <c r="H81" s="11" t="s">
        <v>30</v>
      </c>
      <c r="I81" s="15" t="s">
        <v>31</v>
      </c>
      <c r="J81" s="16" t="s">
        <v>32</v>
      </c>
      <c r="K81" s="17"/>
      <c r="L81" s="17"/>
      <c r="M81" s="18"/>
      <c r="N81" s="18"/>
    </row>
    <row r="82" s="1" customFormat="1" ht="15.75" customHeight="1" spans="1:14">
      <c r="A82" s="6" t="s">
        <v>166</v>
      </c>
      <c r="B82" s="7"/>
      <c r="C82" s="8" t="s">
        <v>28</v>
      </c>
      <c r="D82" s="6" t="s">
        <v>24</v>
      </c>
      <c r="E82" s="6"/>
      <c r="F82" s="9"/>
      <c r="G82" s="10">
        <v>3805.73</v>
      </c>
      <c r="H82" s="11" t="s">
        <v>30</v>
      </c>
      <c r="I82" s="15" t="s">
        <v>31</v>
      </c>
      <c r="J82" s="16" t="s">
        <v>32</v>
      </c>
      <c r="K82" s="17"/>
      <c r="L82" s="17"/>
      <c r="M82" s="18"/>
      <c r="N82" s="18"/>
    </row>
    <row r="83" s="1" customFormat="1" ht="15.75" customHeight="1" spans="1:14">
      <c r="A83" s="6" t="s">
        <v>166</v>
      </c>
      <c r="B83" s="7"/>
      <c r="C83" s="8" t="s">
        <v>28</v>
      </c>
      <c r="D83" s="6" t="s">
        <v>24</v>
      </c>
      <c r="E83" s="6"/>
      <c r="F83" s="9"/>
      <c r="G83" s="10">
        <v>2206.58</v>
      </c>
      <c r="H83" s="11" t="s">
        <v>30</v>
      </c>
      <c r="I83" s="15" t="s">
        <v>31</v>
      </c>
      <c r="J83" s="16" t="s">
        <v>32</v>
      </c>
      <c r="K83" s="17"/>
      <c r="L83" s="17"/>
      <c r="M83" s="18"/>
      <c r="N83" s="18"/>
    </row>
    <row r="84" s="1" customFormat="1" ht="15.75" customHeight="1" spans="1:14">
      <c r="A84" s="6" t="s">
        <v>176</v>
      </c>
      <c r="B84" s="7"/>
      <c r="C84" s="8" t="s">
        <v>28</v>
      </c>
      <c r="D84" s="6" t="s">
        <v>24</v>
      </c>
      <c r="E84" s="6"/>
      <c r="F84" s="9"/>
      <c r="G84" s="10">
        <v>538.16</v>
      </c>
      <c r="H84" s="11" t="s">
        <v>80</v>
      </c>
      <c r="I84" s="15" t="s">
        <v>31</v>
      </c>
      <c r="J84" s="16" t="s">
        <v>81</v>
      </c>
      <c r="K84" s="17"/>
      <c r="L84" s="17"/>
      <c r="M84" s="18"/>
      <c r="N84" s="18"/>
    </row>
    <row r="85" s="1" customFormat="1" ht="15.75" customHeight="1" spans="1:14">
      <c r="A85" s="6" t="s">
        <v>176</v>
      </c>
      <c r="B85" s="7"/>
      <c r="C85" s="8" t="s">
        <v>28</v>
      </c>
      <c r="D85" s="6" t="s">
        <v>24</v>
      </c>
      <c r="E85" s="6"/>
      <c r="F85" s="9"/>
      <c r="G85" s="10">
        <v>4330.38</v>
      </c>
      <c r="H85" s="11" t="s">
        <v>80</v>
      </c>
      <c r="I85" s="15" t="s">
        <v>31</v>
      </c>
      <c r="J85" s="16" t="s">
        <v>81</v>
      </c>
      <c r="K85" s="17"/>
      <c r="L85" s="17"/>
      <c r="M85" s="18"/>
      <c r="N85" s="18"/>
    </row>
    <row r="86" s="1" customFormat="1" ht="15.75" customHeight="1" spans="1:14">
      <c r="A86" s="6" t="s">
        <v>176</v>
      </c>
      <c r="B86" s="7"/>
      <c r="C86" s="8" t="s">
        <v>28</v>
      </c>
      <c r="D86" s="6" t="s">
        <v>24</v>
      </c>
      <c r="E86" s="6"/>
      <c r="F86" s="9"/>
      <c r="G86" s="10">
        <v>19596.92</v>
      </c>
      <c r="H86" s="11" t="s">
        <v>215</v>
      </c>
      <c r="I86" s="19" t="s">
        <v>31</v>
      </c>
      <c r="J86" s="19" t="s">
        <v>35</v>
      </c>
      <c r="K86" s="17"/>
      <c r="L86" s="17"/>
      <c r="M86" s="18"/>
      <c r="N86" s="18"/>
    </row>
    <row r="87" s="1" customFormat="1" ht="15.75" customHeight="1" spans="1:14">
      <c r="A87" s="6" t="s">
        <v>176</v>
      </c>
      <c r="B87" s="7"/>
      <c r="C87" s="8" t="s">
        <v>58</v>
      </c>
      <c r="D87" s="6" t="s">
        <v>24</v>
      </c>
      <c r="E87" s="6"/>
      <c r="F87" s="9"/>
      <c r="G87" s="10">
        <v>856.8</v>
      </c>
      <c r="H87" s="11" t="s">
        <v>216</v>
      </c>
      <c r="I87" s="19" t="s">
        <v>31</v>
      </c>
      <c r="J87" s="19" t="s">
        <v>62</v>
      </c>
      <c r="K87" s="17"/>
      <c r="L87" s="17"/>
      <c r="M87" s="18"/>
      <c r="N87" s="18"/>
    </row>
    <row r="88" s="1" customFormat="1" ht="15.75" customHeight="1" spans="1:14">
      <c r="A88" s="6" t="s">
        <v>176</v>
      </c>
      <c r="B88" s="7"/>
      <c r="C88" s="8" t="s">
        <v>28</v>
      </c>
      <c r="D88" s="6" t="s">
        <v>24</v>
      </c>
      <c r="E88" s="6"/>
      <c r="F88" s="9"/>
      <c r="G88" s="10">
        <v>2502.46</v>
      </c>
      <c r="H88" s="11" t="s">
        <v>30</v>
      </c>
      <c r="I88" s="19" t="s">
        <v>31</v>
      </c>
      <c r="J88" s="19" t="s">
        <v>32</v>
      </c>
      <c r="K88" s="17"/>
      <c r="L88" s="17"/>
      <c r="M88" s="18"/>
      <c r="N88" s="18"/>
    </row>
    <row r="89" s="1" customFormat="1" ht="15.75" customHeight="1" spans="1:14">
      <c r="A89" s="6" t="s">
        <v>176</v>
      </c>
      <c r="B89" s="7"/>
      <c r="C89" s="8" t="s">
        <v>15</v>
      </c>
      <c r="D89" s="6" t="s">
        <v>24</v>
      </c>
      <c r="E89" s="6"/>
      <c r="F89" s="9">
        <v>-268.8</v>
      </c>
      <c r="G89" s="10"/>
      <c r="H89" s="11" t="s">
        <v>222</v>
      </c>
      <c r="I89" s="19" t="s">
        <v>38</v>
      </c>
      <c r="J89" s="19" t="s">
        <v>48</v>
      </c>
      <c r="K89" s="17"/>
      <c r="L89" s="17" t="s">
        <v>21</v>
      </c>
      <c r="M89" s="18">
        <v>45888</v>
      </c>
      <c r="N89" s="18"/>
    </row>
    <row r="90" s="1" customFormat="1" ht="15.75" customHeight="1" spans="1:14">
      <c r="A90" s="6" t="s">
        <v>182</v>
      </c>
      <c r="B90" s="7"/>
      <c r="C90" s="8" t="s">
        <v>28</v>
      </c>
      <c r="D90" s="6" t="s">
        <v>24</v>
      </c>
      <c r="E90" s="6"/>
      <c r="F90" s="9"/>
      <c r="G90" s="10">
        <v>286.27</v>
      </c>
      <c r="H90" s="11" t="s">
        <v>114</v>
      </c>
      <c r="I90" s="19" t="s">
        <v>31</v>
      </c>
      <c r="J90" s="19" t="s">
        <v>115</v>
      </c>
      <c r="K90" s="17"/>
      <c r="L90" s="17"/>
      <c r="M90" s="18"/>
      <c r="N90" s="18"/>
    </row>
    <row r="91" s="1" customFormat="1" ht="15.75" customHeight="1" spans="1:14">
      <c r="A91" s="6" t="s">
        <v>182</v>
      </c>
      <c r="B91" s="7"/>
      <c r="C91" s="8" t="s">
        <v>28</v>
      </c>
      <c r="D91" s="6" t="s">
        <v>24</v>
      </c>
      <c r="E91" s="6"/>
      <c r="F91" s="9"/>
      <c r="G91" s="10">
        <v>822.34</v>
      </c>
      <c r="H91" s="11" t="s">
        <v>114</v>
      </c>
      <c r="I91" s="19" t="s">
        <v>31</v>
      </c>
      <c r="J91" s="19" t="s">
        <v>115</v>
      </c>
      <c r="K91" s="17"/>
      <c r="L91" s="17"/>
      <c r="M91" s="18"/>
      <c r="N91" s="18"/>
    </row>
    <row r="92" s="1" customFormat="1" ht="15.75" customHeight="1" spans="1:14">
      <c r="A92" s="6" t="s">
        <v>182</v>
      </c>
      <c r="B92" s="7"/>
      <c r="C92" s="8" t="s">
        <v>63</v>
      </c>
      <c r="D92" s="6" t="s">
        <v>24</v>
      </c>
      <c r="E92" s="6"/>
      <c r="F92" s="9">
        <v>-150000</v>
      </c>
      <c r="G92" s="10"/>
      <c r="H92" s="11" t="s">
        <v>229</v>
      </c>
      <c r="I92" s="15" t="s">
        <v>65</v>
      </c>
      <c r="J92" s="16" t="s">
        <v>254</v>
      </c>
      <c r="K92" s="17"/>
      <c r="L92" s="17"/>
      <c r="M92" s="18"/>
      <c r="N92" s="18"/>
    </row>
    <row r="93" s="1" customFormat="1" ht="15.75" customHeight="1" spans="1:14">
      <c r="A93" s="6" t="s">
        <v>182</v>
      </c>
      <c r="B93" s="7"/>
      <c r="C93" s="8" t="s">
        <v>28</v>
      </c>
      <c r="D93" s="6" t="s">
        <v>24</v>
      </c>
      <c r="E93" s="6"/>
      <c r="F93" s="9"/>
      <c r="G93" s="10">
        <v>12741.69</v>
      </c>
      <c r="H93" s="11" t="s">
        <v>215</v>
      </c>
      <c r="I93" s="19" t="s">
        <v>31</v>
      </c>
      <c r="J93" s="19" t="s">
        <v>35</v>
      </c>
      <c r="K93" s="17"/>
      <c r="L93" s="17"/>
      <c r="M93" s="18"/>
      <c r="N93" s="18"/>
    </row>
    <row r="94" s="1" customFormat="1" ht="15.75" customHeight="1" spans="1:14">
      <c r="A94" s="6" t="s">
        <v>182</v>
      </c>
      <c r="B94" s="7"/>
      <c r="C94" s="8" t="s">
        <v>28</v>
      </c>
      <c r="D94" s="6" t="s">
        <v>24</v>
      </c>
      <c r="E94" s="6"/>
      <c r="F94" s="9"/>
      <c r="G94" s="10">
        <v>2171.04</v>
      </c>
      <c r="H94" s="11" t="s">
        <v>30</v>
      </c>
      <c r="I94" s="19" t="s">
        <v>31</v>
      </c>
      <c r="J94" s="19" t="s">
        <v>32</v>
      </c>
      <c r="K94" s="17"/>
      <c r="L94" s="17"/>
      <c r="M94" s="18"/>
      <c r="N94" s="18"/>
    </row>
    <row r="95" s="1" customFormat="1" ht="15.75" customHeight="1" spans="1:14">
      <c r="A95" s="6" t="s">
        <v>182</v>
      </c>
      <c r="B95" s="7"/>
      <c r="C95" s="8" t="s">
        <v>58</v>
      </c>
      <c r="D95" s="6" t="s">
        <v>24</v>
      </c>
      <c r="E95" s="6"/>
      <c r="F95" s="9"/>
      <c r="G95" s="10">
        <v>395</v>
      </c>
      <c r="H95" s="11" t="s">
        <v>216</v>
      </c>
      <c r="I95" s="19" t="s">
        <v>31</v>
      </c>
      <c r="J95" s="19" t="s">
        <v>62</v>
      </c>
      <c r="K95" s="17"/>
      <c r="L95" s="17"/>
      <c r="M95" s="18"/>
      <c r="N95" s="18"/>
    </row>
    <row r="96" s="1" customFormat="1" ht="15.75" customHeight="1" spans="1:14">
      <c r="A96" s="6" t="s">
        <v>189</v>
      </c>
      <c r="B96" s="7"/>
      <c r="C96" s="8" t="s">
        <v>15</v>
      </c>
      <c r="D96" s="6" t="s">
        <v>24</v>
      </c>
      <c r="E96" s="6"/>
      <c r="F96" s="9">
        <v>-93976.3</v>
      </c>
      <c r="G96" s="10"/>
      <c r="H96" s="11" t="s">
        <v>210</v>
      </c>
      <c r="I96" s="19" t="s">
        <v>52</v>
      </c>
      <c r="J96" s="19" t="s">
        <v>255</v>
      </c>
      <c r="K96" s="17"/>
      <c r="L96" s="17"/>
      <c r="M96" s="18">
        <v>45891</v>
      </c>
      <c r="N96" s="18"/>
    </row>
    <row r="97" s="1" customFormat="1" ht="15.75" customHeight="1" spans="1:14">
      <c r="A97" s="6" t="s">
        <v>189</v>
      </c>
      <c r="B97" s="7"/>
      <c r="C97" s="8" t="s">
        <v>28</v>
      </c>
      <c r="D97" s="6" t="s">
        <v>24</v>
      </c>
      <c r="E97" s="6"/>
      <c r="F97" s="9"/>
      <c r="G97" s="10">
        <v>13737.43</v>
      </c>
      <c r="H97" s="11" t="s">
        <v>215</v>
      </c>
      <c r="I97" s="19" t="s">
        <v>31</v>
      </c>
      <c r="J97" s="19" t="s">
        <v>35</v>
      </c>
      <c r="K97" s="17"/>
      <c r="L97" s="17"/>
      <c r="M97" s="18"/>
      <c r="N97" s="18"/>
    </row>
    <row r="98" s="1" customFormat="1" ht="15.75" customHeight="1" spans="1:14">
      <c r="A98" s="6" t="s">
        <v>189</v>
      </c>
      <c r="B98" s="7"/>
      <c r="C98" s="8" t="s">
        <v>232</v>
      </c>
      <c r="D98" s="6"/>
      <c r="E98" s="6" t="s">
        <v>256</v>
      </c>
      <c r="F98" s="9"/>
      <c r="G98" s="10">
        <v>1018</v>
      </c>
      <c r="H98" s="11" t="s">
        <v>236</v>
      </c>
      <c r="I98" s="19" t="s">
        <v>31</v>
      </c>
      <c r="J98" s="19" t="s">
        <v>62</v>
      </c>
      <c r="K98" s="17"/>
      <c r="L98" s="17"/>
      <c r="M98" s="18"/>
      <c r="N98" s="18"/>
    </row>
    <row r="99" s="1" customFormat="1" ht="15.75" customHeight="1" spans="1:14">
      <c r="A99" s="6" t="s">
        <v>189</v>
      </c>
      <c r="B99" s="7"/>
      <c r="C99" s="8" t="s">
        <v>58</v>
      </c>
      <c r="D99" s="6" t="s">
        <v>24</v>
      </c>
      <c r="E99" s="6"/>
      <c r="F99" s="9"/>
      <c r="G99" s="10">
        <v>821</v>
      </c>
      <c r="H99" s="11" t="s">
        <v>216</v>
      </c>
      <c r="I99" s="19" t="s">
        <v>31</v>
      </c>
      <c r="J99" s="19" t="s">
        <v>62</v>
      </c>
      <c r="K99" s="17"/>
      <c r="L99" s="17"/>
      <c r="M99" s="18"/>
      <c r="N99" s="18"/>
    </row>
    <row r="100" s="1" customFormat="1" ht="15.75" customHeight="1" spans="1:14">
      <c r="A100" s="6" t="s">
        <v>189</v>
      </c>
      <c r="B100" s="7"/>
      <c r="C100" s="8" t="s">
        <v>28</v>
      </c>
      <c r="D100" s="6" t="s">
        <v>24</v>
      </c>
      <c r="E100" s="6"/>
      <c r="F100" s="9"/>
      <c r="G100" s="10">
        <v>2375.75</v>
      </c>
      <c r="H100" s="11" t="s">
        <v>30</v>
      </c>
      <c r="I100" s="19" t="s">
        <v>31</v>
      </c>
      <c r="J100" s="19" t="s">
        <v>32</v>
      </c>
      <c r="K100" s="17"/>
      <c r="L100" s="17"/>
      <c r="M100" s="18"/>
      <c r="N100" s="18"/>
    </row>
    <row r="101" s="1" customFormat="1" ht="15.75" customHeight="1" spans="1:14">
      <c r="A101" s="6" t="s">
        <v>196</v>
      </c>
      <c r="B101" s="7"/>
      <c r="C101" s="8" t="s">
        <v>15</v>
      </c>
      <c r="D101" s="6" t="s">
        <v>24</v>
      </c>
      <c r="E101" s="6"/>
      <c r="F101" s="9">
        <v>-206.7</v>
      </c>
      <c r="G101" s="10"/>
      <c r="H101" s="11" t="s">
        <v>210</v>
      </c>
      <c r="I101" s="15" t="s">
        <v>52</v>
      </c>
      <c r="J101" s="19" t="s">
        <v>255</v>
      </c>
      <c r="K101" s="17"/>
      <c r="L101" s="17" t="s">
        <v>142</v>
      </c>
      <c r="M101" s="18">
        <v>45891</v>
      </c>
      <c r="N101" s="18"/>
    </row>
    <row r="102" s="1" customFormat="1" ht="15.75" customHeight="1" spans="1:14">
      <c r="A102" s="6" t="s">
        <v>196</v>
      </c>
      <c r="B102" s="7"/>
      <c r="C102" s="8" t="s">
        <v>28</v>
      </c>
      <c r="D102" s="6" t="s">
        <v>24</v>
      </c>
      <c r="E102" s="6"/>
      <c r="F102" s="9"/>
      <c r="G102" s="10">
        <v>13560.23</v>
      </c>
      <c r="H102" s="11" t="s">
        <v>215</v>
      </c>
      <c r="I102" s="19" t="s">
        <v>38</v>
      </c>
      <c r="J102" s="19" t="s">
        <v>48</v>
      </c>
      <c r="K102" s="17"/>
      <c r="L102" s="17"/>
      <c r="M102" s="18"/>
      <c r="N102" s="18"/>
    </row>
    <row r="103" s="1" customFormat="1" ht="15.75" customHeight="1" spans="1:14">
      <c r="A103" s="6" t="s">
        <v>196</v>
      </c>
      <c r="B103" s="7"/>
      <c r="C103" s="8" t="s">
        <v>58</v>
      </c>
      <c r="D103" s="6" t="s">
        <v>24</v>
      </c>
      <c r="E103" s="6"/>
      <c r="F103" s="9"/>
      <c r="G103" s="10">
        <v>1941</v>
      </c>
      <c r="H103" s="11" t="s">
        <v>216</v>
      </c>
      <c r="I103" s="19" t="s">
        <v>31</v>
      </c>
      <c r="J103" s="19" t="s">
        <v>62</v>
      </c>
      <c r="K103" s="17"/>
      <c r="L103" s="17"/>
      <c r="M103" s="18"/>
      <c r="N103" s="18"/>
    </row>
    <row r="104" s="1" customFormat="1" ht="15.75" customHeight="1" spans="1:14">
      <c r="A104" s="6" t="s">
        <v>196</v>
      </c>
      <c r="B104" s="7"/>
      <c r="C104" s="8" t="s">
        <v>28</v>
      </c>
      <c r="D104" s="6" t="s">
        <v>24</v>
      </c>
      <c r="E104" s="6"/>
      <c r="F104" s="9"/>
      <c r="G104" s="10">
        <v>2471.02</v>
      </c>
      <c r="H104" s="11" t="s">
        <v>30</v>
      </c>
      <c r="I104" s="19" t="s">
        <v>31</v>
      </c>
      <c r="J104" s="19" t="s">
        <v>32</v>
      </c>
      <c r="K104" s="17"/>
      <c r="L104" s="17"/>
      <c r="M104" s="18"/>
      <c r="N104" s="18"/>
    </row>
    <row r="105" s="1" customFormat="1" ht="15.75" customHeight="1" spans="1:14">
      <c r="A105" s="6" t="s">
        <v>200</v>
      </c>
      <c r="B105" s="7"/>
      <c r="C105" s="8" t="s">
        <v>58</v>
      </c>
      <c r="D105" s="6" t="s">
        <v>24</v>
      </c>
      <c r="E105" s="6"/>
      <c r="F105" s="9"/>
      <c r="G105" s="10">
        <v>481</v>
      </c>
      <c r="H105" s="11" t="s">
        <v>216</v>
      </c>
      <c r="I105" s="19" t="s">
        <v>31</v>
      </c>
      <c r="J105" s="19" t="s">
        <v>62</v>
      </c>
      <c r="K105" s="17"/>
      <c r="L105" s="17"/>
      <c r="M105" s="18"/>
      <c r="N105" s="18"/>
    </row>
    <row r="106" s="1" customFormat="1" ht="15.75" customHeight="1" spans="1:14">
      <c r="A106" s="6" t="s">
        <v>200</v>
      </c>
      <c r="B106" s="7"/>
      <c r="C106" s="8" t="s">
        <v>28</v>
      </c>
      <c r="D106" s="6" t="s">
        <v>24</v>
      </c>
      <c r="E106" s="6"/>
      <c r="F106" s="9"/>
      <c r="G106" s="10">
        <v>56960.92</v>
      </c>
      <c r="H106" s="11" t="s">
        <v>215</v>
      </c>
      <c r="I106" s="19" t="s">
        <v>38</v>
      </c>
      <c r="J106" s="19" t="s">
        <v>48</v>
      </c>
      <c r="K106" s="17"/>
      <c r="L106" s="17"/>
      <c r="M106" s="18"/>
      <c r="N106" s="18"/>
    </row>
    <row r="107" s="1" customFormat="1" ht="15.75" customHeight="1" spans="1:14">
      <c r="A107" s="6" t="s">
        <v>200</v>
      </c>
      <c r="B107" s="7"/>
      <c r="C107" s="8" t="s">
        <v>58</v>
      </c>
      <c r="D107" s="6" t="s">
        <v>24</v>
      </c>
      <c r="E107" s="6"/>
      <c r="F107" s="9"/>
      <c r="G107" s="10">
        <v>1498.35</v>
      </c>
      <c r="H107" s="11" t="s">
        <v>216</v>
      </c>
      <c r="I107" s="19" t="s">
        <v>31</v>
      </c>
      <c r="J107" s="19" t="s">
        <v>62</v>
      </c>
      <c r="K107" s="17"/>
      <c r="L107" s="17"/>
      <c r="M107" s="18"/>
      <c r="N107" s="18"/>
    </row>
    <row r="108" s="1" customFormat="1" ht="15.75" customHeight="1" spans="1:14">
      <c r="A108" s="6" t="s">
        <v>200</v>
      </c>
      <c r="B108" s="7"/>
      <c r="C108" s="8" t="s">
        <v>232</v>
      </c>
      <c r="D108" s="6"/>
      <c r="E108" s="6" t="s">
        <v>257</v>
      </c>
      <c r="F108" s="9"/>
      <c r="G108" s="10">
        <v>1470.2</v>
      </c>
      <c r="H108" s="11" t="s">
        <v>236</v>
      </c>
      <c r="I108" s="19" t="s">
        <v>31</v>
      </c>
      <c r="J108" s="19" t="s">
        <v>62</v>
      </c>
      <c r="K108" s="17"/>
      <c r="L108" s="17"/>
      <c r="M108" s="18"/>
      <c r="N108" s="18"/>
    </row>
    <row r="109" s="1" customFormat="1" ht="15.75" customHeight="1" spans="1:14">
      <c r="A109" s="6" t="s">
        <v>200</v>
      </c>
      <c r="B109" s="7"/>
      <c r="C109" s="8" t="s">
        <v>28</v>
      </c>
      <c r="D109" s="6" t="s">
        <v>24</v>
      </c>
      <c r="E109" s="6"/>
      <c r="F109" s="9"/>
      <c r="G109" s="10">
        <v>1576.24</v>
      </c>
      <c r="H109" s="11" t="s">
        <v>30</v>
      </c>
      <c r="I109" s="19" t="s">
        <v>31</v>
      </c>
      <c r="J109" s="19" t="s">
        <v>32</v>
      </c>
      <c r="K109" s="17"/>
      <c r="L109" s="17"/>
      <c r="M109" s="18"/>
      <c r="N109" s="18"/>
    </row>
    <row r="110" s="1" customFormat="1" ht="15.75" customHeight="1" spans="1:14">
      <c r="A110" s="6" t="s">
        <v>200</v>
      </c>
      <c r="B110" s="7"/>
      <c r="C110" s="8" t="s">
        <v>28</v>
      </c>
      <c r="D110" s="6" t="s">
        <v>24</v>
      </c>
      <c r="E110" s="6"/>
      <c r="F110" s="9"/>
      <c r="G110" s="10">
        <v>2847.01</v>
      </c>
      <c r="H110" s="11" t="s">
        <v>30</v>
      </c>
      <c r="I110" s="19" t="s">
        <v>31</v>
      </c>
      <c r="J110" s="19" t="s">
        <v>32</v>
      </c>
      <c r="K110" s="17"/>
      <c r="L110" s="17"/>
      <c r="M110" s="18"/>
      <c r="N110" s="18"/>
    </row>
    <row r="111" s="1" customFormat="1" ht="15.75" customHeight="1" spans="1:14">
      <c r="A111" s="6" t="s">
        <v>200</v>
      </c>
      <c r="B111" s="7"/>
      <c r="C111" s="8" t="s">
        <v>28</v>
      </c>
      <c r="D111" s="6" t="s">
        <v>24</v>
      </c>
      <c r="E111" s="6"/>
      <c r="F111" s="9"/>
      <c r="G111" s="10">
        <v>4066.33</v>
      </c>
      <c r="H111" s="11" t="s">
        <v>30</v>
      </c>
      <c r="I111" s="19" t="s">
        <v>31</v>
      </c>
      <c r="J111" s="19" t="s">
        <v>32</v>
      </c>
      <c r="K111" s="17"/>
      <c r="L111" s="17"/>
      <c r="M111" s="18"/>
      <c r="N111" s="18"/>
    </row>
    <row r="112" s="1" customFormat="1" ht="15.75" customHeight="1" spans="1:14">
      <c r="A112" s="6" t="s">
        <v>200</v>
      </c>
      <c r="B112" s="7"/>
      <c r="C112" s="8" t="s">
        <v>28</v>
      </c>
      <c r="D112" s="6" t="s">
        <v>24</v>
      </c>
      <c r="E112" s="6"/>
      <c r="F112" s="9"/>
      <c r="G112" s="10">
        <v>797.54</v>
      </c>
      <c r="H112" s="11" t="s">
        <v>30</v>
      </c>
      <c r="I112" s="19" t="s">
        <v>31</v>
      </c>
      <c r="J112" s="19" t="s">
        <v>32</v>
      </c>
      <c r="K112" s="17"/>
      <c r="L112" s="17"/>
      <c r="M112" s="18"/>
      <c r="N112" s="18"/>
    </row>
    <row r="113" s="1" customFormat="1" ht="15.75" customHeight="1" spans="1:14">
      <c r="A113" s="6" t="s">
        <v>200</v>
      </c>
      <c r="B113" s="7"/>
      <c r="C113" s="8" t="s">
        <v>58</v>
      </c>
      <c r="D113" s="6" t="s">
        <v>24</v>
      </c>
      <c r="E113" s="6"/>
      <c r="F113" s="9"/>
      <c r="G113" s="10">
        <v>481</v>
      </c>
      <c r="H113" s="11" t="s">
        <v>216</v>
      </c>
      <c r="I113" s="19" t="s">
        <v>31</v>
      </c>
      <c r="J113" s="19" t="s">
        <v>62</v>
      </c>
      <c r="K113" s="17"/>
      <c r="L113" s="17"/>
      <c r="M113" s="18"/>
      <c r="N113" s="18"/>
    </row>
    <row r="114" s="1" customFormat="1" ht="15.75" customHeight="1" spans="1:14">
      <c r="A114" s="6" t="s">
        <v>204</v>
      </c>
      <c r="B114" s="7"/>
      <c r="C114" s="8" t="s">
        <v>28</v>
      </c>
      <c r="D114" s="6" t="s">
        <v>24</v>
      </c>
      <c r="E114" s="6"/>
      <c r="F114" s="9"/>
      <c r="G114" s="10">
        <v>770.59</v>
      </c>
      <c r="H114" s="11" t="s">
        <v>80</v>
      </c>
      <c r="I114" s="15" t="s">
        <v>31</v>
      </c>
      <c r="J114" s="16" t="s">
        <v>81</v>
      </c>
      <c r="K114" s="17"/>
      <c r="L114" s="17"/>
      <c r="M114" s="18"/>
      <c r="N114" s="18"/>
    </row>
    <row r="115" s="1" customFormat="1" ht="15.75" customHeight="1" spans="1:14">
      <c r="A115" s="6" t="s">
        <v>204</v>
      </c>
      <c r="B115" s="7"/>
      <c r="C115" s="8" t="s">
        <v>28</v>
      </c>
      <c r="D115" s="6" t="s">
        <v>24</v>
      </c>
      <c r="E115" s="6"/>
      <c r="F115" s="9"/>
      <c r="G115" s="10">
        <v>4345.55</v>
      </c>
      <c r="H115" s="11" t="s">
        <v>80</v>
      </c>
      <c r="I115" s="15" t="s">
        <v>31</v>
      </c>
      <c r="J115" s="16" t="s">
        <v>81</v>
      </c>
      <c r="K115" s="17"/>
      <c r="L115" s="17"/>
      <c r="M115" s="18"/>
      <c r="N115" s="18"/>
    </row>
    <row r="116" s="1" customFormat="1" ht="15.75" customHeight="1" spans="1:14">
      <c r="A116" s="6" t="s">
        <v>204</v>
      </c>
      <c r="B116" s="7"/>
      <c r="C116" s="8" t="s">
        <v>28</v>
      </c>
      <c r="D116" s="6" t="s">
        <v>24</v>
      </c>
      <c r="E116" s="6"/>
      <c r="F116" s="9"/>
      <c r="G116" s="10">
        <v>16057.58</v>
      </c>
      <c r="H116" s="11" t="s">
        <v>206</v>
      </c>
      <c r="I116" s="15" t="s">
        <v>31</v>
      </c>
      <c r="J116" s="16" t="s">
        <v>207</v>
      </c>
      <c r="K116" s="17"/>
      <c r="L116" s="17"/>
      <c r="M116" s="18"/>
      <c r="N116" s="18"/>
    </row>
    <row r="117" s="1" customFormat="1" ht="15.75" customHeight="1" spans="1:14">
      <c r="A117" s="6" t="s">
        <v>204</v>
      </c>
      <c r="B117" s="7"/>
      <c r="C117" s="8" t="s">
        <v>28</v>
      </c>
      <c r="D117" s="6" t="s">
        <v>24</v>
      </c>
      <c r="E117" s="6"/>
      <c r="F117" s="9"/>
      <c r="G117" s="10">
        <v>3103.02</v>
      </c>
      <c r="H117" s="11" t="s">
        <v>30</v>
      </c>
      <c r="I117" s="19" t="s">
        <v>31</v>
      </c>
      <c r="J117" s="19" t="s">
        <v>32</v>
      </c>
      <c r="K117" s="17"/>
      <c r="L117" s="17"/>
      <c r="M117" s="18"/>
      <c r="N117" s="18"/>
    </row>
    <row r="118" s="1" customFormat="1" ht="15.75" customHeight="1" spans="1:14">
      <c r="A118" s="6"/>
      <c r="B118" s="7"/>
      <c r="C118" s="8"/>
      <c r="D118" s="6"/>
      <c r="E118" s="6"/>
      <c r="F118" s="9"/>
      <c r="G118" s="10"/>
      <c r="H118" s="11"/>
      <c r="I118" s="19"/>
      <c r="J118" s="19"/>
      <c r="K118" s="17"/>
      <c r="L118" s="17"/>
      <c r="M118" s="18"/>
      <c r="N118" s="18"/>
    </row>
    <row r="119" s="1" customFormat="1" ht="15.75" customHeight="1" spans="1:14">
      <c r="A119" s="6"/>
      <c r="B119" s="7"/>
      <c r="C119" s="8"/>
      <c r="D119" s="6"/>
      <c r="E119" s="6"/>
      <c r="F119" s="9"/>
      <c r="G119" s="10"/>
      <c r="H119" s="11"/>
      <c r="I119" s="19"/>
      <c r="J119" s="19"/>
      <c r="K119" s="17"/>
      <c r="L119" s="17"/>
      <c r="M119" s="18"/>
      <c r="N119" s="18"/>
    </row>
    <row r="120" s="1" customFormat="1" ht="15.75" customHeight="1" spans="1:14">
      <c r="A120" s="6"/>
      <c r="B120" s="7"/>
      <c r="C120" s="8"/>
      <c r="D120" s="6"/>
      <c r="E120" s="6"/>
      <c r="F120" s="9"/>
      <c r="G120" s="10"/>
      <c r="H120" s="11"/>
      <c r="I120" s="19"/>
      <c r="J120" s="19"/>
      <c r="K120" s="17"/>
      <c r="L120" s="17"/>
      <c r="M120" s="18"/>
      <c r="N120" s="18"/>
    </row>
    <row r="121" s="1" customFormat="1" ht="15.75" customHeight="1" spans="1:14">
      <c r="A121" s="6"/>
      <c r="B121" s="7"/>
      <c r="C121" s="8"/>
      <c r="D121" s="6"/>
      <c r="E121" s="6"/>
      <c r="F121" s="9"/>
      <c r="G121" s="10"/>
      <c r="H121" s="11"/>
      <c r="I121" s="19"/>
      <c r="J121" s="19"/>
      <c r="K121" s="17"/>
      <c r="L121" s="17"/>
      <c r="M121" s="18"/>
      <c r="N121" s="18"/>
    </row>
    <row r="122" s="1" customFormat="1" ht="15.75" customHeight="1" spans="1:14">
      <c r="A122" s="6"/>
      <c r="B122" s="7"/>
      <c r="C122" s="8"/>
      <c r="D122" s="6"/>
      <c r="E122" s="6"/>
      <c r="F122" s="9"/>
      <c r="G122" s="10"/>
      <c r="H122" s="11"/>
      <c r="I122" s="19"/>
      <c r="J122" s="19"/>
      <c r="K122" s="17"/>
      <c r="L122" s="17"/>
      <c r="M122" s="18"/>
      <c r="N122" s="18"/>
    </row>
    <row r="123" s="1" customFormat="1" ht="15.75" customHeight="1" spans="1:14">
      <c r="A123" s="6"/>
      <c r="B123" s="7"/>
      <c r="C123" s="8"/>
      <c r="D123" s="6"/>
      <c r="E123" s="6"/>
      <c r="F123" s="9"/>
      <c r="G123" s="10"/>
      <c r="H123" s="11"/>
      <c r="I123" s="19"/>
      <c r="J123" s="19"/>
      <c r="K123" s="17"/>
      <c r="L123" s="17"/>
      <c r="M123" s="18"/>
      <c r="N123" s="18"/>
    </row>
    <row r="124" s="1" customFormat="1" ht="15.75" customHeight="1" spans="1:14">
      <c r="A124" s="6"/>
      <c r="B124" s="7"/>
      <c r="C124" s="8"/>
      <c r="D124" s="6"/>
      <c r="E124" s="6"/>
      <c r="F124" s="9"/>
      <c r="G124" s="10"/>
      <c r="H124" s="11"/>
      <c r="I124" s="19"/>
      <c r="J124" s="19"/>
      <c r="K124" s="17"/>
      <c r="L124" s="17"/>
      <c r="M124" s="18"/>
      <c r="N124" s="18"/>
    </row>
    <row r="125" s="1" customFormat="1" ht="15.75" customHeight="1" spans="1:14">
      <c r="A125" s="6"/>
      <c r="B125" s="7"/>
      <c r="C125" s="8"/>
      <c r="D125" s="6"/>
      <c r="E125" s="6"/>
      <c r="F125" s="9"/>
      <c r="G125" s="10"/>
      <c r="H125" s="11"/>
      <c r="I125" s="19"/>
      <c r="J125" s="19"/>
      <c r="K125" s="17"/>
      <c r="L125" s="17"/>
      <c r="M125" s="18"/>
      <c r="N125" s="18"/>
    </row>
    <row r="126" s="1" customFormat="1" ht="15.75" customHeight="1" spans="1:14">
      <c r="A126" s="6"/>
      <c r="B126" s="7"/>
      <c r="C126" s="8"/>
      <c r="D126" s="6"/>
      <c r="E126" s="6"/>
      <c r="F126" s="9"/>
      <c r="G126" s="10"/>
      <c r="H126" s="11"/>
      <c r="I126" s="19"/>
      <c r="J126" s="19"/>
      <c r="K126" s="17"/>
      <c r="L126" s="17"/>
      <c r="M126" s="18"/>
      <c r="N126" s="18"/>
    </row>
  </sheetData>
  <autoFilter xmlns:etc="http://www.wps.cn/officeDocument/2017/etCustomData" ref="A2:N117" etc:filterBottomFollowUsedRange="0">
    <extLst/>
  </autoFilter>
  <mergeCells count="1">
    <mergeCell ref="A1:H1"/>
  </mergeCells>
  <conditionalFormatting sqref="I1:L1">
    <cfRule type="containsText" dxfId="0" priority="370" operator="between" text="待">
      <formula>NOT(ISERROR(SEARCH("待",I1)))</formula>
    </cfRule>
  </conditionalFormatting>
  <conditionalFormatting sqref="I2:J2">
    <cfRule type="containsText" dxfId="0" priority="369" operator="between" text="待">
      <formula>NOT(ISERROR(SEARCH("待",I2)))</formula>
    </cfRule>
  </conditionalFormatting>
  <conditionalFormatting sqref="L2">
    <cfRule type="containsText" dxfId="0" priority="368" operator="between" text="待提单">
      <formula>NOT(ISERROR(SEARCH("待提单",L2)))</formula>
    </cfRule>
    <cfRule type="containsText" dxfId="0" priority="367" operator="between" text="待附件">
      <formula>NOT(ISERROR(SEARCH("待附件",L2)))</formula>
    </cfRule>
  </conditionalFormatting>
  <conditionalFormatting sqref="I3:K3">
    <cfRule type="containsText" dxfId="0" priority="300" operator="between" text="待">
      <formula>NOT(ISERROR(SEARCH("待",I3)))</formula>
    </cfRule>
  </conditionalFormatting>
  <conditionalFormatting sqref="J3">
    <cfRule type="containsText" dxfId="1" priority="309" operator="between" text="/">
      <formula>NOT(ISERROR(SEARCH("/",J3)))</formula>
    </cfRule>
  </conditionalFormatting>
  <conditionalFormatting sqref="L3">
    <cfRule type="containsText" dxfId="0" priority="318" operator="between" text="待附件">
      <formula>NOT(ISERROR(SEARCH("待附件",L3)))</formula>
    </cfRule>
    <cfRule type="containsText" dxfId="0" priority="327" operator="between" text="待提单">
      <formula>NOT(ISERROR(SEARCH("待提单",L3)))</formula>
    </cfRule>
  </conditionalFormatting>
  <conditionalFormatting sqref="I4:K4">
    <cfRule type="containsText" dxfId="0" priority="299" operator="between" text="待">
      <formula>NOT(ISERROR(SEARCH("待",I4)))</formula>
    </cfRule>
  </conditionalFormatting>
  <conditionalFormatting sqref="J4">
    <cfRule type="containsText" dxfId="1" priority="308" operator="between" text="/">
      <formula>NOT(ISERROR(SEARCH("/",J4)))</formula>
    </cfRule>
  </conditionalFormatting>
  <conditionalFormatting sqref="L4">
    <cfRule type="containsText" dxfId="0" priority="9" operator="between" text="待提单">
      <formula>NOT(ISERROR(SEARCH("待提单",L4)))</formula>
    </cfRule>
    <cfRule type="containsText" dxfId="0" priority="8" operator="between" text="待附件">
      <formula>NOT(ISERROR(SEARCH("待附件",L4)))</formula>
    </cfRule>
  </conditionalFormatting>
  <conditionalFormatting sqref="I5:K5">
    <cfRule type="containsText" dxfId="0" priority="298" operator="between" text="待">
      <formula>NOT(ISERROR(SEARCH("待",I5)))</formula>
    </cfRule>
  </conditionalFormatting>
  <conditionalFormatting sqref="J5">
    <cfRule type="containsText" dxfId="1" priority="307" operator="between" text="/">
      <formula>NOT(ISERROR(SEARCH("/",J5)))</formula>
    </cfRule>
  </conditionalFormatting>
  <conditionalFormatting sqref="L5">
    <cfRule type="containsText" dxfId="0" priority="316" operator="between" text="待附件">
      <formula>NOT(ISERROR(SEARCH("待附件",L5)))</formula>
    </cfRule>
    <cfRule type="containsText" dxfId="0" priority="325" operator="between" text="待提单">
      <formula>NOT(ISERROR(SEARCH("待提单",L5)))</formula>
    </cfRule>
  </conditionalFormatting>
  <conditionalFormatting sqref="I6:K6">
    <cfRule type="containsText" dxfId="0" priority="297" operator="between" text="待">
      <formula>NOT(ISERROR(SEARCH("待",I6)))</formula>
    </cfRule>
  </conditionalFormatting>
  <conditionalFormatting sqref="J6">
    <cfRule type="containsText" dxfId="1" priority="306" operator="between" text="/">
      <formula>NOT(ISERROR(SEARCH("/",J6)))</formula>
    </cfRule>
  </conditionalFormatting>
  <conditionalFormatting sqref="L6">
    <cfRule type="containsText" dxfId="0" priority="315" operator="between" text="待附件">
      <formula>NOT(ISERROR(SEARCH("待附件",L6)))</formula>
    </cfRule>
    <cfRule type="containsText" dxfId="0" priority="324" operator="between" text="待提单">
      <formula>NOT(ISERROR(SEARCH("待提单",L6)))</formula>
    </cfRule>
  </conditionalFormatting>
  <conditionalFormatting sqref="I7:K7">
    <cfRule type="containsText" dxfId="0" priority="296" operator="between" text="待">
      <formula>NOT(ISERROR(SEARCH("待",I7)))</formula>
    </cfRule>
  </conditionalFormatting>
  <conditionalFormatting sqref="J7">
    <cfRule type="containsText" dxfId="1" priority="305" operator="between" text="/">
      <formula>NOT(ISERROR(SEARCH("/",J7)))</formula>
    </cfRule>
  </conditionalFormatting>
  <conditionalFormatting sqref="L7">
    <cfRule type="containsText" dxfId="0" priority="314" operator="between" text="待附件">
      <formula>NOT(ISERROR(SEARCH("待附件",L7)))</formula>
    </cfRule>
    <cfRule type="containsText" dxfId="0" priority="323" operator="between" text="待提单">
      <formula>NOT(ISERROR(SEARCH("待提单",L7)))</formula>
    </cfRule>
  </conditionalFormatting>
  <conditionalFormatting sqref="I8:K8">
    <cfRule type="containsText" dxfId="0" priority="295" operator="between" text="待">
      <formula>NOT(ISERROR(SEARCH("待",I8)))</formula>
    </cfRule>
  </conditionalFormatting>
  <conditionalFormatting sqref="J8">
    <cfRule type="containsText" dxfId="1" priority="304" operator="between" text="/">
      <formula>NOT(ISERROR(SEARCH("/",J8)))</formula>
    </cfRule>
  </conditionalFormatting>
  <conditionalFormatting sqref="L8">
    <cfRule type="containsText" dxfId="0" priority="313" operator="between" text="待附件">
      <formula>NOT(ISERROR(SEARCH("待附件",L8)))</formula>
    </cfRule>
    <cfRule type="containsText" dxfId="0" priority="322" operator="between" text="待提单">
      <formula>NOT(ISERROR(SEARCH("待提单",L8)))</formula>
    </cfRule>
  </conditionalFormatting>
  <conditionalFormatting sqref="I9:J9">
    <cfRule type="containsText" dxfId="0" priority="294" operator="between" text="待">
      <formula>NOT(ISERROR(SEARCH("待",I9)))</formula>
    </cfRule>
  </conditionalFormatting>
  <conditionalFormatting sqref="J9">
    <cfRule type="containsText" dxfId="1" priority="303" operator="between" text="/">
      <formula>NOT(ISERROR(SEARCH("/",J9)))</formula>
    </cfRule>
  </conditionalFormatting>
  <conditionalFormatting sqref="L9">
    <cfRule type="containsText" dxfId="0" priority="312" operator="between" text="待附件">
      <formula>NOT(ISERROR(SEARCH("待附件",L9)))</formula>
    </cfRule>
    <cfRule type="containsText" dxfId="0" priority="321" operator="between" text="待提单">
      <formula>NOT(ISERROR(SEARCH("待提单",L9)))</formula>
    </cfRule>
  </conditionalFormatting>
  <conditionalFormatting sqref="I10:J10">
    <cfRule type="containsText" dxfId="0" priority="293" operator="between" text="待">
      <formula>NOT(ISERROR(SEARCH("待",I10)))</formula>
    </cfRule>
  </conditionalFormatting>
  <conditionalFormatting sqref="J10">
    <cfRule type="containsText" dxfId="1" priority="302" operator="between" text="/">
      <formula>NOT(ISERROR(SEARCH("/",J10)))</formula>
    </cfRule>
  </conditionalFormatting>
  <conditionalFormatting sqref="L10">
    <cfRule type="containsText" dxfId="0" priority="311" operator="between" text="待附件">
      <formula>NOT(ISERROR(SEARCH("待附件",L10)))</formula>
    </cfRule>
    <cfRule type="containsText" dxfId="0" priority="320" operator="between" text="待提单">
      <formula>NOT(ISERROR(SEARCH("待提单",L10)))</formula>
    </cfRule>
  </conditionalFormatting>
  <conditionalFormatting sqref="I11:K11">
    <cfRule type="containsText" dxfId="0" priority="292" operator="between" text="待">
      <formula>NOT(ISERROR(SEARCH("待",I11)))</formula>
    </cfRule>
  </conditionalFormatting>
  <conditionalFormatting sqref="J11">
    <cfRule type="containsText" dxfId="1" priority="301" operator="between" text="/">
      <formula>NOT(ISERROR(SEARCH("/",J11)))</formula>
    </cfRule>
  </conditionalFormatting>
  <conditionalFormatting sqref="L11">
    <cfRule type="containsText" dxfId="0" priority="16" operator="between" text="待提单">
      <formula>NOT(ISERROR(SEARCH("待提单",L11)))</formula>
    </cfRule>
    <cfRule type="containsText" dxfId="0" priority="15" operator="between" text="待附件">
      <formula>NOT(ISERROR(SEARCH("待附件",L11)))</formula>
    </cfRule>
  </conditionalFormatting>
  <conditionalFormatting sqref="L12">
    <cfRule type="containsText" dxfId="0" priority="20" operator="between" text="待提单">
      <formula>NOT(ISERROR(SEARCH("待提单",L12)))</formula>
    </cfRule>
    <cfRule type="containsText" dxfId="0" priority="19" operator="between" text="待附件">
      <formula>NOT(ISERROR(SEARCH("待附件",L12)))</formula>
    </cfRule>
  </conditionalFormatting>
  <conditionalFormatting sqref="I16">
    <cfRule type="containsText" dxfId="0" priority="354" operator="between" text="待">
      <formula>NOT(ISERROR(SEARCH("待",I16)))</formula>
    </cfRule>
    <cfRule type="containsText" dxfId="1" priority="355" operator="between" text="/">
      <formula>NOT(ISERROR(SEARCH("/",I16)))</formula>
    </cfRule>
  </conditionalFormatting>
  <conditionalFormatting sqref="J16">
    <cfRule type="containsText" dxfId="0" priority="360" operator="between" text="待">
      <formula>NOT(ISERROR(SEARCH("待",J16)))</formula>
    </cfRule>
    <cfRule type="containsText" dxfId="1" priority="361" operator="between" text="/">
      <formula>NOT(ISERROR(SEARCH("/",J16)))</formula>
    </cfRule>
  </conditionalFormatting>
  <conditionalFormatting sqref="I17">
    <cfRule type="containsText" dxfId="0" priority="353" operator="between" text="待">
      <formula>NOT(ISERROR(SEARCH("待",I17)))</formula>
    </cfRule>
  </conditionalFormatting>
  <conditionalFormatting sqref="I18">
    <cfRule type="containsText" dxfId="0" priority="356" operator="between" text="待">
      <formula>NOT(ISERROR(SEARCH("待",I18)))</formula>
    </cfRule>
    <cfRule type="containsText" dxfId="1" priority="357" operator="between" text="/">
      <formula>NOT(ISERROR(SEARCH("/",I18)))</formula>
    </cfRule>
  </conditionalFormatting>
  <conditionalFormatting sqref="J18">
    <cfRule type="containsText" dxfId="0" priority="358" operator="between" text="待">
      <formula>NOT(ISERROR(SEARCH("待",J18)))</formula>
    </cfRule>
    <cfRule type="containsText" dxfId="1" priority="359" operator="between" text="/">
      <formula>NOT(ISERROR(SEARCH("/",J18)))</formula>
    </cfRule>
  </conditionalFormatting>
  <conditionalFormatting sqref="L19">
    <cfRule type="containsText" dxfId="0" priority="18" operator="between" text="待提单">
      <formula>NOT(ISERROR(SEARCH("待提单",L19)))</formula>
    </cfRule>
    <cfRule type="containsText" dxfId="0" priority="17" operator="between" text="待附件">
      <formula>NOT(ISERROR(SEARCH("待附件",L19)))</formula>
    </cfRule>
  </conditionalFormatting>
  <conditionalFormatting sqref="J22">
    <cfRule type="containsText" dxfId="1" priority="338" operator="between" text="/">
      <formula>NOT(ISERROR(SEARCH("/",J22)))</formula>
    </cfRule>
  </conditionalFormatting>
  <conditionalFormatting sqref="I28">
    <cfRule type="containsText" dxfId="0" priority="349" operator="between" text="待">
      <formula>NOT(ISERROR(SEARCH("待",I28)))</formula>
    </cfRule>
    <cfRule type="containsText" dxfId="1" priority="350" operator="between" text="/">
      <formula>NOT(ISERROR(SEARCH("/",I28)))</formula>
    </cfRule>
  </conditionalFormatting>
  <conditionalFormatting sqref="J28">
    <cfRule type="containsText" dxfId="0" priority="351" operator="between" text="待">
      <formula>NOT(ISERROR(SEARCH("待",J28)))</formula>
    </cfRule>
    <cfRule type="containsText" dxfId="1" priority="352" operator="between" text="/">
      <formula>NOT(ISERROR(SEARCH("/",J28)))</formula>
    </cfRule>
  </conditionalFormatting>
  <conditionalFormatting sqref="L30">
    <cfRule type="containsText" dxfId="0" priority="332" operator="between" text="待附件">
      <formula>NOT(ISERROR(SEARCH("待附件",L30)))</formula>
    </cfRule>
    <cfRule type="containsText" dxfId="0" priority="333" operator="between" text="待提单">
      <formula>NOT(ISERROR(SEARCH("待提单",L30)))</formula>
    </cfRule>
  </conditionalFormatting>
  <conditionalFormatting sqref="I31:J31">
    <cfRule type="containsText" dxfId="0" priority="347" operator="between" text="待">
      <formula>NOT(ISERROR(SEARCH("待",I31)))</formula>
    </cfRule>
  </conditionalFormatting>
  <conditionalFormatting sqref="J31">
    <cfRule type="containsText" dxfId="1" priority="348" operator="between" text="/">
      <formula>NOT(ISERROR(SEARCH("/",J31)))</formula>
    </cfRule>
  </conditionalFormatting>
  <conditionalFormatting sqref="I32:J32">
    <cfRule type="containsText" dxfId="0" priority="345" operator="between" text="待">
      <formula>NOT(ISERROR(SEARCH("待",I32)))</formula>
    </cfRule>
  </conditionalFormatting>
  <conditionalFormatting sqref="J32">
    <cfRule type="containsText" dxfId="1" priority="346" operator="between" text="/">
      <formula>NOT(ISERROR(SEARCH("/",J32)))</formula>
    </cfRule>
  </conditionalFormatting>
  <conditionalFormatting sqref="I34">
    <cfRule type="containsText" dxfId="0" priority="339" operator="between" text="待">
      <formula>NOT(ISERROR(SEARCH("待",I34)))</formula>
    </cfRule>
    <cfRule type="containsText" dxfId="1" priority="340" operator="between" text="/">
      <formula>NOT(ISERROR(SEARCH("/",I34)))</formula>
    </cfRule>
  </conditionalFormatting>
  <conditionalFormatting sqref="J34">
    <cfRule type="containsText" dxfId="0" priority="341" operator="between" text="待">
      <formula>NOT(ISERROR(SEARCH("待",J34)))</formula>
    </cfRule>
    <cfRule type="containsText" dxfId="1" priority="342" operator="between" text="/">
      <formula>NOT(ISERROR(SEARCH("/",J34)))</formula>
    </cfRule>
  </conditionalFormatting>
  <conditionalFormatting sqref="I36:J36">
    <cfRule type="containsText" dxfId="0" priority="344" operator="between" text="待">
      <formula>NOT(ISERROR(SEARCH("待",I36)))</formula>
    </cfRule>
  </conditionalFormatting>
  <conditionalFormatting sqref="J36">
    <cfRule type="containsText" dxfId="1" priority="343" operator="between" text="/">
      <formula>NOT(ISERROR(SEARCH("/",J36)))</formula>
    </cfRule>
  </conditionalFormatting>
  <conditionalFormatting sqref="K36">
    <cfRule type="containsText" dxfId="0" priority="291" operator="between" text="待">
      <formula>NOT(ISERROR(SEARCH("待",K36)))</formula>
    </cfRule>
  </conditionalFormatting>
  <conditionalFormatting sqref="I37:J37">
    <cfRule type="containsText" dxfId="0" priority="328" operator="between" text="待">
      <formula>NOT(ISERROR(SEARCH("待",I37)))</formula>
    </cfRule>
  </conditionalFormatting>
  <conditionalFormatting sqref="J37">
    <cfRule type="containsText" dxfId="1" priority="329" operator="between" text="/">
      <formula>NOT(ISERROR(SEARCH("/",J37)))</formula>
    </cfRule>
  </conditionalFormatting>
  <conditionalFormatting sqref="I41:J41">
    <cfRule type="containsText" dxfId="0" priority="330" operator="between" text="待">
      <formula>NOT(ISERROR(SEARCH("待",I41)))</formula>
    </cfRule>
  </conditionalFormatting>
  <conditionalFormatting sqref="J41">
    <cfRule type="containsText" dxfId="1" priority="331" operator="between" text="/">
      <formula>NOT(ISERROR(SEARCH("/",J41)))</formula>
    </cfRule>
  </conditionalFormatting>
  <conditionalFormatting sqref="I44:J44">
    <cfRule type="containsText" dxfId="0" priority="284" operator="between" text="待">
      <formula>NOT(ISERROR(SEARCH("待",I44)))</formula>
    </cfRule>
  </conditionalFormatting>
  <conditionalFormatting sqref="J44">
    <cfRule type="containsText" dxfId="1" priority="285" operator="between" text="/">
      <formula>NOT(ISERROR(SEARCH("/",J44)))</formula>
    </cfRule>
  </conditionalFormatting>
  <conditionalFormatting sqref="I46:J46">
    <cfRule type="containsText" dxfId="0" priority="282" operator="between" text="待">
      <formula>NOT(ISERROR(SEARCH("待",I46)))</formula>
    </cfRule>
  </conditionalFormatting>
  <conditionalFormatting sqref="J46">
    <cfRule type="containsText" dxfId="1" priority="283" operator="between" text="/">
      <formula>NOT(ISERROR(SEARCH("/",J46)))</formula>
    </cfRule>
  </conditionalFormatting>
  <conditionalFormatting sqref="I49:J49">
    <cfRule type="containsText" dxfId="0" priority="280" operator="between" text="待">
      <formula>NOT(ISERROR(SEARCH("待",I49)))</formula>
    </cfRule>
  </conditionalFormatting>
  <conditionalFormatting sqref="J49">
    <cfRule type="containsText" dxfId="1" priority="281" operator="between" text="/">
      <formula>NOT(ISERROR(SEARCH("/",J49)))</formula>
    </cfRule>
  </conditionalFormatting>
  <conditionalFormatting sqref="I58:J58">
    <cfRule type="containsText" dxfId="0" priority="276" operator="between" text="待">
      <formula>NOT(ISERROR(SEARCH("待",I58)))</formula>
    </cfRule>
  </conditionalFormatting>
  <conditionalFormatting sqref="J58">
    <cfRule type="containsText" dxfId="1" priority="277" operator="between" text="/">
      <formula>NOT(ISERROR(SEARCH("/",J58)))</formula>
    </cfRule>
  </conditionalFormatting>
  <conditionalFormatting sqref="I60:J60">
    <cfRule type="containsText" dxfId="0" priority="278" operator="between" text="待">
      <formula>NOT(ISERROR(SEARCH("待",I60)))</formula>
    </cfRule>
  </conditionalFormatting>
  <conditionalFormatting sqref="J60">
    <cfRule type="containsText" dxfId="1" priority="279" operator="between" text="/">
      <formula>NOT(ISERROR(SEARCH("/",J60)))</formula>
    </cfRule>
  </conditionalFormatting>
  <conditionalFormatting sqref="J61">
    <cfRule type="containsText" dxfId="1" priority="273" operator="between" text="/">
      <formula>NOT(ISERROR(SEARCH("/",J61)))</formula>
    </cfRule>
  </conditionalFormatting>
  <conditionalFormatting sqref="J62">
    <cfRule type="containsText" dxfId="1" priority="272" operator="between" text="/">
      <formula>NOT(ISERROR(SEARCH("/",J62)))</formula>
    </cfRule>
  </conditionalFormatting>
  <conditionalFormatting sqref="I65">
    <cfRule type="containsText" dxfId="0" priority="268" operator="between" text="待">
      <formula>NOT(ISERROR(SEARCH("待",I65)))</formula>
    </cfRule>
  </conditionalFormatting>
  <conditionalFormatting sqref="I70:K70">
    <cfRule type="containsText" dxfId="0" priority="243" operator="between" text="待">
      <formula>NOT(ISERROR(SEARCH("待",I70)))</formula>
    </cfRule>
  </conditionalFormatting>
  <conditionalFormatting sqref="J70">
    <cfRule type="containsText" dxfId="1" priority="244" operator="between" text="/">
      <formula>NOT(ISERROR(SEARCH("/",J70)))</formula>
    </cfRule>
  </conditionalFormatting>
  <conditionalFormatting sqref="L70">
    <cfRule type="containsText" dxfId="0" priority="33" operator="between" text="待提单">
      <formula>NOT(ISERROR(SEARCH("待提单",L70)))</formula>
    </cfRule>
    <cfRule type="containsText" dxfId="0" priority="32" operator="between" text="待附件">
      <formula>NOT(ISERROR(SEARCH("待附件",L70)))</formula>
    </cfRule>
  </conditionalFormatting>
  <conditionalFormatting sqref="J75">
    <cfRule type="containsText" dxfId="0" priority="253" operator="between" text="待">
      <formula>NOT(ISERROR(SEARCH("待",J75)))</formula>
    </cfRule>
    <cfRule type="containsText" dxfId="1" priority="254" operator="between" text="/">
      <formula>NOT(ISERROR(SEARCH("/",J75)))</formula>
    </cfRule>
  </conditionalFormatting>
  <conditionalFormatting sqref="I76:K76">
    <cfRule type="containsText" dxfId="0" priority="247" operator="between" text="待">
      <formula>NOT(ISERROR(SEARCH("待",I76)))</formula>
    </cfRule>
  </conditionalFormatting>
  <conditionalFormatting sqref="J76">
    <cfRule type="containsText" dxfId="1" priority="248" operator="between" text="/">
      <formula>NOT(ISERROR(SEARCH("/",J76)))</formula>
    </cfRule>
  </conditionalFormatting>
  <conditionalFormatting sqref="L76">
    <cfRule type="containsText" dxfId="0" priority="245" operator="between" text="待附件">
      <formula>NOT(ISERROR(SEARCH("待附件",L76)))</formula>
    </cfRule>
    <cfRule type="containsText" dxfId="0" priority="246" operator="between" text="待提单">
      <formula>NOT(ISERROR(SEARCH("待提单",L76)))</formula>
    </cfRule>
  </conditionalFormatting>
  <conditionalFormatting sqref="J77">
    <cfRule type="containsText" dxfId="0" priority="255" operator="between" text="待">
      <formula>NOT(ISERROR(SEARCH("待",J77)))</formula>
    </cfRule>
    <cfRule type="containsText" dxfId="1" priority="256" operator="between" text="/">
      <formula>NOT(ISERROR(SEARCH("/",J77)))</formula>
    </cfRule>
  </conditionalFormatting>
  <conditionalFormatting sqref="J78">
    <cfRule type="containsText" dxfId="0" priority="250" operator="between" text="待">
      <formula>NOT(ISERROR(SEARCH("待",J78)))</formula>
    </cfRule>
    <cfRule type="containsText" dxfId="1" priority="252" operator="between" text="/">
      <formula>NOT(ISERROR(SEARCH("/",J78)))</formula>
    </cfRule>
  </conditionalFormatting>
  <conditionalFormatting sqref="J79">
    <cfRule type="containsText" dxfId="0" priority="249" operator="between" text="待">
      <formula>NOT(ISERROR(SEARCH("待",J79)))</formula>
    </cfRule>
    <cfRule type="containsText" dxfId="1" priority="251" operator="between" text="/">
      <formula>NOT(ISERROR(SEARCH("/",J79)))</formula>
    </cfRule>
  </conditionalFormatting>
  <conditionalFormatting sqref="I80:J80">
    <cfRule type="containsText" dxfId="0" priority="260" operator="between" text="待">
      <formula>NOT(ISERROR(SEARCH("待",I80)))</formula>
    </cfRule>
  </conditionalFormatting>
  <conditionalFormatting sqref="J80">
    <cfRule type="containsText" dxfId="1" priority="264" operator="between" text="/">
      <formula>NOT(ISERROR(SEARCH("/",J80)))</formula>
    </cfRule>
  </conditionalFormatting>
  <conditionalFormatting sqref="I81:J81">
    <cfRule type="containsText" dxfId="0" priority="259" operator="between" text="待">
      <formula>NOT(ISERROR(SEARCH("待",I81)))</formula>
    </cfRule>
  </conditionalFormatting>
  <conditionalFormatting sqref="J81">
    <cfRule type="containsText" dxfId="1" priority="263" operator="between" text="/">
      <formula>NOT(ISERROR(SEARCH("/",J81)))</formula>
    </cfRule>
  </conditionalFormatting>
  <conditionalFormatting sqref="I82:J82">
    <cfRule type="containsText" dxfId="0" priority="258" operator="between" text="待">
      <formula>NOT(ISERROR(SEARCH("待",I82)))</formula>
    </cfRule>
  </conditionalFormatting>
  <conditionalFormatting sqref="J82">
    <cfRule type="containsText" dxfId="1" priority="262" operator="between" text="/">
      <formula>NOT(ISERROR(SEARCH("/",J82)))</formula>
    </cfRule>
  </conditionalFormatting>
  <conditionalFormatting sqref="I83:J83">
    <cfRule type="containsText" dxfId="0" priority="257" operator="between" text="待">
      <formula>NOT(ISERROR(SEARCH("待",I83)))</formula>
    </cfRule>
  </conditionalFormatting>
  <conditionalFormatting sqref="J83">
    <cfRule type="containsText" dxfId="1" priority="261" operator="between" text="/">
      <formula>NOT(ISERROR(SEARCH("/",J83)))</formula>
    </cfRule>
  </conditionalFormatting>
  <conditionalFormatting sqref="J84">
    <cfRule type="containsText" dxfId="1" priority="240" operator="between" text="/">
      <formula>NOT(ISERROR(SEARCH("/",J84)))</formula>
    </cfRule>
  </conditionalFormatting>
  <conditionalFormatting sqref="J85">
    <cfRule type="containsText" dxfId="1" priority="239" operator="between" text="/">
      <formula>NOT(ISERROR(SEARCH("/",J85)))</formula>
    </cfRule>
  </conditionalFormatting>
  <conditionalFormatting sqref="I86:J86">
    <cfRule type="containsText" dxfId="0" priority="235" operator="between" text="待">
      <formula>NOT(ISERROR(SEARCH("待",I86)))</formula>
    </cfRule>
  </conditionalFormatting>
  <conditionalFormatting sqref="K86">
    <cfRule type="containsText" dxfId="0" priority="85" operator="between" text="待">
      <formula>NOT(ISERROR(SEARCH("待",K86)))</formula>
    </cfRule>
  </conditionalFormatting>
  <conditionalFormatting sqref="L86">
    <cfRule type="containsText" dxfId="0" priority="135" operator="between" text="待附件">
      <formula>NOT(ISERROR(SEARCH("待附件",L86)))</formula>
    </cfRule>
    <cfRule type="containsText" dxfId="0" priority="185" operator="between" text="待提单">
      <formula>NOT(ISERROR(SEARCH("待提单",L86)))</formula>
    </cfRule>
  </conditionalFormatting>
  <conditionalFormatting sqref="I87:J87">
    <cfRule type="containsText" dxfId="0" priority="234" operator="between" text="待">
      <formula>NOT(ISERROR(SEARCH("待",I87)))</formula>
    </cfRule>
  </conditionalFormatting>
  <conditionalFormatting sqref="K87">
    <cfRule type="containsText" dxfId="0" priority="84" operator="between" text="待">
      <formula>NOT(ISERROR(SEARCH("待",K87)))</formula>
    </cfRule>
  </conditionalFormatting>
  <conditionalFormatting sqref="L87">
    <cfRule type="containsText" dxfId="0" priority="134" operator="between" text="待附件">
      <formula>NOT(ISERROR(SEARCH("待附件",L87)))</formula>
    </cfRule>
    <cfRule type="containsText" dxfId="0" priority="184" operator="between" text="待提单">
      <formula>NOT(ISERROR(SEARCH("待提单",L87)))</formula>
    </cfRule>
  </conditionalFormatting>
  <conditionalFormatting sqref="I88:J88">
    <cfRule type="containsText" dxfId="0" priority="233" operator="between" text="待">
      <formula>NOT(ISERROR(SEARCH("待",I88)))</formula>
    </cfRule>
  </conditionalFormatting>
  <conditionalFormatting sqref="K88">
    <cfRule type="containsText" dxfId="0" priority="83" operator="between" text="待">
      <formula>NOT(ISERROR(SEARCH("待",K88)))</formula>
    </cfRule>
  </conditionalFormatting>
  <conditionalFormatting sqref="L88">
    <cfRule type="containsText" dxfId="0" priority="133" operator="between" text="待附件">
      <formula>NOT(ISERROR(SEARCH("待附件",L88)))</formula>
    </cfRule>
    <cfRule type="containsText" dxfId="0" priority="183" operator="between" text="待提单">
      <formula>NOT(ISERROR(SEARCH("待提单",L88)))</formula>
    </cfRule>
  </conditionalFormatting>
  <conditionalFormatting sqref="I89:J89">
    <cfRule type="containsText" dxfId="0" priority="232" operator="between" text="待">
      <formula>NOT(ISERROR(SEARCH("待",I89)))</formula>
    </cfRule>
  </conditionalFormatting>
  <conditionalFormatting sqref="K89">
    <cfRule type="containsText" dxfId="0" priority="82" operator="between" text="待">
      <formula>NOT(ISERROR(SEARCH("待",K89)))</formula>
    </cfRule>
  </conditionalFormatting>
  <conditionalFormatting sqref="L89">
    <cfRule type="containsText" dxfId="0" priority="132" operator="between" text="待附件">
      <formula>NOT(ISERROR(SEARCH("待附件",L89)))</formula>
    </cfRule>
    <cfRule type="containsText" dxfId="0" priority="182" operator="between" text="待提单">
      <formula>NOT(ISERROR(SEARCH("待提单",L89)))</formula>
    </cfRule>
  </conditionalFormatting>
  <conditionalFormatting sqref="I90:J90">
    <cfRule type="containsText" dxfId="0" priority="231" operator="between" text="待">
      <formula>NOT(ISERROR(SEARCH("待",I90)))</formula>
    </cfRule>
  </conditionalFormatting>
  <conditionalFormatting sqref="K90">
    <cfRule type="containsText" dxfId="0" priority="81" operator="between" text="待">
      <formula>NOT(ISERROR(SEARCH("待",K90)))</formula>
    </cfRule>
  </conditionalFormatting>
  <conditionalFormatting sqref="L90">
    <cfRule type="containsText" dxfId="0" priority="131" operator="between" text="待附件">
      <formula>NOT(ISERROR(SEARCH("待附件",L90)))</formula>
    </cfRule>
    <cfRule type="containsText" dxfId="0" priority="181" operator="between" text="待提单">
      <formula>NOT(ISERROR(SEARCH("待提单",L90)))</formula>
    </cfRule>
  </conditionalFormatting>
  <conditionalFormatting sqref="I91:J91">
    <cfRule type="containsText" dxfId="0" priority="230" operator="between" text="待">
      <formula>NOT(ISERROR(SEARCH("待",I91)))</formula>
    </cfRule>
  </conditionalFormatting>
  <conditionalFormatting sqref="K91">
    <cfRule type="containsText" dxfId="0" priority="80" operator="between" text="待">
      <formula>NOT(ISERROR(SEARCH("待",K91)))</formula>
    </cfRule>
  </conditionalFormatting>
  <conditionalFormatting sqref="L91">
    <cfRule type="containsText" dxfId="0" priority="130" operator="between" text="待附件">
      <formula>NOT(ISERROR(SEARCH("待附件",L91)))</formula>
    </cfRule>
    <cfRule type="containsText" dxfId="0" priority="180" operator="between" text="待提单">
      <formula>NOT(ISERROR(SEARCH("待提单",L91)))</formula>
    </cfRule>
  </conditionalFormatting>
  <conditionalFormatting sqref="I92:J92">
    <cfRule type="containsText" dxfId="0" priority="34" operator="between" text="待">
      <formula>NOT(ISERROR(SEARCH("待",I92)))</formula>
    </cfRule>
  </conditionalFormatting>
  <conditionalFormatting sqref="J92">
    <cfRule type="containsText" dxfId="1" priority="35" operator="between" text="/">
      <formula>NOT(ISERROR(SEARCH("/",J92)))</formula>
    </cfRule>
  </conditionalFormatting>
  <conditionalFormatting sqref="K92">
    <cfRule type="containsText" dxfId="0" priority="79" operator="between" text="待">
      <formula>NOT(ISERROR(SEARCH("待",K92)))</formula>
    </cfRule>
  </conditionalFormatting>
  <conditionalFormatting sqref="L92">
    <cfRule type="containsText" dxfId="0" priority="129" operator="between" text="待附件">
      <formula>NOT(ISERROR(SEARCH("待附件",L92)))</formula>
    </cfRule>
    <cfRule type="containsText" dxfId="0" priority="179" operator="between" text="待提单">
      <formula>NOT(ISERROR(SEARCH("待提单",L92)))</formula>
    </cfRule>
  </conditionalFormatting>
  <conditionalFormatting sqref="I93:J93">
    <cfRule type="containsText" dxfId="0" priority="228" operator="between" text="待">
      <formula>NOT(ISERROR(SEARCH("待",I93)))</formula>
    </cfRule>
  </conditionalFormatting>
  <conditionalFormatting sqref="K93">
    <cfRule type="containsText" dxfId="0" priority="78" operator="between" text="待">
      <formula>NOT(ISERROR(SEARCH("待",K93)))</formula>
    </cfRule>
  </conditionalFormatting>
  <conditionalFormatting sqref="L93">
    <cfRule type="containsText" dxfId="0" priority="128" operator="between" text="待附件">
      <formula>NOT(ISERROR(SEARCH("待附件",L93)))</formula>
    </cfRule>
    <cfRule type="containsText" dxfId="0" priority="178" operator="between" text="待提单">
      <formula>NOT(ISERROR(SEARCH("待提单",L93)))</formula>
    </cfRule>
  </conditionalFormatting>
  <conditionalFormatting sqref="I94:J94">
    <cfRule type="containsText" dxfId="0" priority="227" operator="between" text="待">
      <formula>NOT(ISERROR(SEARCH("待",I94)))</formula>
    </cfRule>
  </conditionalFormatting>
  <conditionalFormatting sqref="K94">
    <cfRule type="containsText" dxfId="0" priority="77" operator="between" text="待">
      <formula>NOT(ISERROR(SEARCH("待",K94)))</formula>
    </cfRule>
  </conditionalFormatting>
  <conditionalFormatting sqref="L94">
    <cfRule type="containsText" dxfId="0" priority="127" operator="between" text="待附件">
      <formula>NOT(ISERROR(SEARCH("待附件",L94)))</formula>
    </cfRule>
    <cfRule type="containsText" dxfId="0" priority="177" operator="between" text="待提单">
      <formula>NOT(ISERROR(SEARCH("待提单",L94)))</formula>
    </cfRule>
  </conditionalFormatting>
  <conditionalFormatting sqref="I95:J95">
    <cfRule type="containsText" dxfId="0" priority="226" operator="between" text="待">
      <formula>NOT(ISERROR(SEARCH("待",I95)))</formula>
    </cfRule>
  </conditionalFormatting>
  <conditionalFormatting sqref="K95">
    <cfRule type="containsText" dxfId="0" priority="76" operator="between" text="待">
      <formula>NOT(ISERROR(SEARCH("待",K95)))</formula>
    </cfRule>
  </conditionalFormatting>
  <conditionalFormatting sqref="L95">
    <cfRule type="containsText" dxfId="0" priority="126" operator="between" text="待附件">
      <formula>NOT(ISERROR(SEARCH("待附件",L95)))</formula>
    </cfRule>
    <cfRule type="containsText" dxfId="0" priority="176" operator="between" text="待提单">
      <formula>NOT(ISERROR(SEARCH("待提单",L95)))</formula>
    </cfRule>
  </conditionalFormatting>
  <conditionalFormatting sqref="I96:J96">
    <cfRule type="containsText" dxfId="0" priority="225" operator="between" text="待">
      <formula>NOT(ISERROR(SEARCH("待",I96)))</formula>
    </cfRule>
  </conditionalFormatting>
  <conditionalFormatting sqref="K96">
    <cfRule type="containsText" dxfId="0" priority="75" operator="between" text="待">
      <formula>NOT(ISERROR(SEARCH("待",K96)))</formula>
    </cfRule>
  </conditionalFormatting>
  <conditionalFormatting sqref="L96">
    <cfRule type="containsText" dxfId="0" priority="125" operator="between" text="待附件">
      <formula>NOT(ISERROR(SEARCH("待附件",L96)))</formula>
    </cfRule>
    <cfRule type="containsText" dxfId="0" priority="175" operator="between" text="待提单">
      <formula>NOT(ISERROR(SEARCH("待提单",L96)))</formula>
    </cfRule>
  </conditionalFormatting>
  <conditionalFormatting sqref="I97:J97">
    <cfRule type="containsText" dxfId="0" priority="224" operator="between" text="待">
      <formula>NOT(ISERROR(SEARCH("待",I97)))</formula>
    </cfRule>
  </conditionalFormatting>
  <conditionalFormatting sqref="K97">
    <cfRule type="containsText" dxfId="0" priority="74" operator="between" text="待">
      <formula>NOT(ISERROR(SEARCH("待",K97)))</formula>
    </cfRule>
  </conditionalFormatting>
  <conditionalFormatting sqref="L97">
    <cfRule type="containsText" dxfId="0" priority="124" operator="between" text="待附件">
      <formula>NOT(ISERROR(SEARCH("待附件",L97)))</formula>
    </cfRule>
    <cfRule type="containsText" dxfId="0" priority="174" operator="between" text="待提单">
      <formula>NOT(ISERROR(SEARCH("待提单",L97)))</formula>
    </cfRule>
  </conditionalFormatting>
  <conditionalFormatting sqref="I98:J98">
    <cfRule type="containsText" dxfId="0" priority="31" operator="between" text="待">
      <formula>NOT(ISERROR(SEARCH("待",I98)))</formula>
    </cfRule>
  </conditionalFormatting>
  <conditionalFormatting sqref="K98">
    <cfRule type="containsText" dxfId="0" priority="73" operator="between" text="待">
      <formula>NOT(ISERROR(SEARCH("待",K98)))</formula>
    </cfRule>
  </conditionalFormatting>
  <conditionalFormatting sqref="L98">
    <cfRule type="containsText" dxfId="0" priority="123" operator="between" text="待附件">
      <formula>NOT(ISERROR(SEARCH("待附件",L98)))</formula>
    </cfRule>
    <cfRule type="containsText" dxfId="0" priority="173" operator="between" text="待提单">
      <formula>NOT(ISERROR(SEARCH("待提单",L98)))</formula>
    </cfRule>
  </conditionalFormatting>
  <conditionalFormatting sqref="I99:J99">
    <cfRule type="containsText" dxfId="0" priority="222" operator="between" text="待">
      <formula>NOT(ISERROR(SEARCH("待",I99)))</formula>
    </cfRule>
  </conditionalFormatting>
  <conditionalFormatting sqref="K99">
    <cfRule type="containsText" dxfId="0" priority="72" operator="between" text="待">
      <formula>NOT(ISERROR(SEARCH("待",K99)))</formula>
    </cfRule>
  </conditionalFormatting>
  <conditionalFormatting sqref="L99">
    <cfRule type="containsText" dxfId="0" priority="122" operator="between" text="待附件">
      <formula>NOT(ISERROR(SEARCH("待附件",L99)))</formula>
    </cfRule>
    <cfRule type="containsText" dxfId="0" priority="172" operator="between" text="待提单">
      <formula>NOT(ISERROR(SEARCH("待提单",L99)))</formula>
    </cfRule>
  </conditionalFormatting>
  <conditionalFormatting sqref="I100:J100">
    <cfRule type="containsText" dxfId="0" priority="221" operator="between" text="待">
      <formula>NOT(ISERROR(SEARCH("待",I100)))</formula>
    </cfRule>
  </conditionalFormatting>
  <conditionalFormatting sqref="K100">
    <cfRule type="containsText" dxfId="0" priority="71" operator="between" text="待">
      <formula>NOT(ISERROR(SEARCH("待",K100)))</formula>
    </cfRule>
  </conditionalFormatting>
  <conditionalFormatting sqref="L100">
    <cfRule type="containsText" dxfId="0" priority="121" operator="between" text="待附件">
      <formula>NOT(ISERROR(SEARCH("待附件",L100)))</formula>
    </cfRule>
    <cfRule type="containsText" dxfId="0" priority="171" operator="between" text="待提单">
      <formula>NOT(ISERROR(SEARCH("待提单",L100)))</formula>
    </cfRule>
  </conditionalFormatting>
  <conditionalFormatting sqref="I101">
    <cfRule type="containsText" dxfId="0" priority="29" operator="between" text="待">
      <formula>NOT(ISERROR(SEARCH("待",I101)))</formula>
    </cfRule>
  </conditionalFormatting>
  <conditionalFormatting sqref="J101">
    <cfRule type="containsText" dxfId="0" priority="23" operator="between" text="待">
      <formula>NOT(ISERROR(SEARCH("待",J101)))</formula>
    </cfRule>
  </conditionalFormatting>
  <conditionalFormatting sqref="K101">
    <cfRule type="containsText" dxfId="0" priority="70" operator="between" text="待">
      <formula>NOT(ISERROR(SEARCH("待",K101)))</formula>
    </cfRule>
  </conditionalFormatting>
  <conditionalFormatting sqref="L101">
    <cfRule type="containsText" dxfId="0" priority="22" operator="between" text="待提单">
      <formula>NOT(ISERROR(SEARCH("待提单",L101)))</formula>
    </cfRule>
    <cfRule type="containsText" dxfId="0" priority="21" operator="between" text="待附件">
      <formula>NOT(ISERROR(SEARCH("待附件",L101)))</formula>
    </cfRule>
  </conditionalFormatting>
  <conditionalFormatting sqref="I102:J102">
    <cfRule type="containsText" dxfId="0" priority="24" operator="between" text="待">
      <formula>NOT(ISERROR(SEARCH("待",I102)))</formula>
    </cfRule>
  </conditionalFormatting>
  <conditionalFormatting sqref="K102">
    <cfRule type="containsText" dxfId="0" priority="69" operator="between" text="待">
      <formula>NOT(ISERROR(SEARCH("待",K102)))</formula>
    </cfRule>
  </conditionalFormatting>
  <conditionalFormatting sqref="L102">
    <cfRule type="containsText" dxfId="0" priority="119" operator="between" text="待附件">
      <formula>NOT(ISERROR(SEARCH("待附件",L102)))</formula>
    </cfRule>
    <cfRule type="containsText" dxfId="0" priority="169" operator="between" text="待提单">
      <formula>NOT(ISERROR(SEARCH("待提单",L102)))</formula>
    </cfRule>
  </conditionalFormatting>
  <conditionalFormatting sqref="I103:J103">
    <cfRule type="containsText" dxfId="0" priority="26" operator="between" text="待">
      <formula>NOT(ISERROR(SEARCH("待",I103)))</formula>
    </cfRule>
  </conditionalFormatting>
  <conditionalFormatting sqref="K103">
    <cfRule type="containsText" dxfId="0" priority="68" operator="between" text="待">
      <formula>NOT(ISERROR(SEARCH("待",K103)))</formula>
    </cfRule>
  </conditionalFormatting>
  <conditionalFormatting sqref="L103">
    <cfRule type="containsText" dxfId="0" priority="118" operator="between" text="待附件">
      <formula>NOT(ISERROR(SEARCH("待附件",L103)))</formula>
    </cfRule>
    <cfRule type="containsText" dxfId="0" priority="168" operator="between" text="待提单">
      <formula>NOT(ISERROR(SEARCH("待提单",L103)))</formula>
    </cfRule>
  </conditionalFormatting>
  <conditionalFormatting sqref="I104:J104">
    <cfRule type="containsText" dxfId="0" priority="25" operator="between" text="待">
      <formula>NOT(ISERROR(SEARCH("待",I104)))</formula>
    </cfRule>
  </conditionalFormatting>
  <conditionalFormatting sqref="K104">
    <cfRule type="containsText" dxfId="0" priority="67" operator="between" text="待">
      <formula>NOT(ISERROR(SEARCH("待",K104)))</formula>
    </cfRule>
  </conditionalFormatting>
  <conditionalFormatting sqref="L104">
    <cfRule type="containsText" dxfId="0" priority="117" operator="between" text="待附件">
      <formula>NOT(ISERROR(SEARCH("待附件",L104)))</formula>
    </cfRule>
    <cfRule type="containsText" dxfId="0" priority="167" operator="between" text="待提单">
      <formula>NOT(ISERROR(SEARCH("待提单",L104)))</formula>
    </cfRule>
  </conditionalFormatting>
  <conditionalFormatting sqref="I105:J105">
    <cfRule type="containsText" dxfId="0" priority="12" operator="between" text="待">
      <formula>NOT(ISERROR(SEARCH("待",I105)))</formula>
    </cfRule>
  </conditionalFormatting>
  <conditionalFormatting sqref="K105">
    <cfRule type="containsText" dxfId="0" priority="66" operator="between" text="待">
      <formula>NOT(ISERROR(SEARCH("待",K105)))</formula>
    </cfRule>
  </conditionalFormatting>
  <conditionalFormatting sqref="L105">
    <cfRule type="containsText" dxfId="0" priority="116" operator="between" text="待附件">
      <formula>NOT(ISERROR(SEARCH("待附件",L105)))</formula>
    </cfRule>
    <cfRule type="containsText" dxfId="0" priority="166" operator="between" text="待提单">
      <formula>NOT(ISERROR(SEARCH("待提单",L105)))</formula>
    </cfRule>
  </conditionalFormatting>
  <conditionalFormatting sqref="I106:J106">
    <cfRule type="containsText" dxfId="0" priority="13" operator="between" text="待">
      <formula>NOT(ISERROR(SEARCH("待",I106)))</formula>
    </cfRule>
  </conditionalFormatting>
  <conditionalFormatting sqref="K106">
    <cfRule type="containsText" dxfId="0" priority="65" operator="between" text="待">
      <formula>NOT(ISERROR(SEARCH("待",K106)))</formula>
    </cfRule>
  </conditionalFormatting>
  <conditionalFormatting sqref="L106">
    <cfRule type="containsText" dxfId="0" priority="115" operator="between" text="待附件">
      <formula>NOT(ISERROR(SEARCH("待附件",L106)))</formula>
    </cfRule>
    <cfRule type="containsText" dxfId="0" priority="165" operator="between" text="待提单">
      <formula>NOT(ISERROR(SEARCH("待提单",L106)))</formula>
    </cfRule>
  </conditionalFormatting>
  <conditionalFormatting sqref="I107:J107">
    <cfRule type="containsText" dxfId="0" priority="10" operator="between" text="待">
      <formula>NOT(ISERROR(SEARCH("待",I107)))</formula>
    </cfRule>
  </conditionalFormatting>
  <conditionalFormatting sqref="K107">
    <cfRule type="containsText" dxfId="0" priority="64" operator="between" text="待">
      <formula>NOT(ISERROR(SEARCH("待",K107)))</formula>
    </cfRule>
  </conditionalFormatting>
  <conditionalFormatting sqref="L107">
    <cfRule type="containsText" dxfId="0" priority="114" operator="between" text="待附件">
      <formula>NOT(ISERROR(SEARCH("待附件",L107)))</formula>
    </cfRule>
    <cfRule type="containsText" dxfId="0" priority="164" operator="between" text="待提单">
      <formula>NOT(ISERROR(SEARCH("待提单",L107)))</formula>
    </cfRule>
  </conditionalFormatting>
  <conditionalFormatting sqref="I108:J108">
    <cfRule type="containsText" dxfId="0" priority="11" operator="between" text="待">
      <formula>NOT(ISERROR(SEARCH("待",I108)))</formula>
    </cfRule>
  </conditionalFormatting>
  <conditionalFormatting sqref="K108">
    <cfRule type="containsText" dxfId="0" priority="63" operator="between" text="待">
      <formula>NOT(ISERROR(SEARCH("待",K108)))</formula>
    </cfRule>
  </conditionalFormatting>
  <conditionalFormatting sqref="L108">
    <cfRule type="containsText" dxfId="0" priority="113" operator="between" text="待附件">
      <formula>NOT(ISERROR(SEARCH("待附件",L108)))</formula>
    </cfRule>
    <cfRule type="containsText" dxfId="0" priority="163" operator="between" text="待提单">
      <formula>NOT(ISERROR(SEARCH("待提单",L108)))</formula>
    </cfRule>
  </conditionalFormatting>
  <conditionalFormatting sqref="K109">
    <cfRule type="containsText" dxfId="0" priority="62" operator="between" text="待">
      <formula>NOT(ISERROR(SEARCH("待",K109)))</formula>
    </cfRule>
  </conditionalFormatting>
  <conditionalFormatting sqref="L109">
    <cfRule type="containsText" dxfId="0" priority="112" operator="between" text="待附件">
      <formula>NOT(ISERROR(SEARCH("待附件",L109)))</formula>
    </cfRule>
    <cfRule type="containsText" dxfId="0" priority="162" operator="between" text="待提单">
      <formula>NOT(ISERROR(SEARCH("待提单",L109)))</formula>
    </cfRule>
  </conditionalFormatting>
  <conditionalFormatting sqref="K110">
    <cfRule type="containsText" dxfId="0" priority="61" operator="between" text="待">
      <formula>NOT(ISERROR(SEARCH("待",K110)))</formula>
    </cfRule>
  </conditionalFormatting>
  <conditionalFormatting sqref="L110">
    <cfRule type="containsText" dxfId="0" priority="111" operator="between" text="待附件">
      <formula>NOT(ISERROR(SEARCH("待附件",L110)))</formula>
    </cfRule>
    <cfRule type="containsText" dxfId="0" priority="161" operator="between" text="待提单">
      <formula>NOT(ISERROR(SEARCH("待提单",L110)))</formula>
    </cfRule>
  </conditionalFormatting>
  <conditionalFormatting sqref="K111">
    <cfRule type="containsText" dxfId="0" priority="60" operator="between" text="待">
      <formula>NOT(ISERROR(SEARCH("待",K111)))</formula>
    </cfRule>
  </conditionalFormatting>
  <conditionalFormatting sqref="L111">
    <cfRule type="containsText" dxfId="0" priority="110" operator="between" text="待附件">
      <formula>NOT(ISERROR(SEARCH("待附件",L111)))</formula>
    </cfRule>
    <cfRule type="containsText" dxfId="0" priority="160" operator="between" text="待提单">
      <formula>NOT(ISERROR(SEARCH("待提单",L111)))</formula>
    </cfRule>
  </conditionalFormatting>
  <conditionalFormatting sqref="K112">
    <cfRule type="containsText" dxfId="0" priority="59" operator="between" text="待">
      <formula>NOT(ISERROR(SEARCH("待",K112)))</formula>
    </cfRule>
  </conditionalFormatting>
  <conditionalFormatting sqref="L112">
    <cfRule type="containsText" dxfId="0" priority="109" operator="between" text="待附件">
      <formula>NOT(ISERROR(SEARCH("待附件",L112)))</formula>
    </cfRule>
    <cfRule type="containsText" dxfId="0" priority="159" operator="between" text="待提单">
      <formula>NOT(ISERROR(SEARCH("待提单",L112)))</formula>
    </cfRule>
  </conditionalFormatting>
  <conditionalFormatting sqref="I113:J113">
    <cfRule type="containsText" dxfId="0" priority="1" operator="between" text="待">
      <formula>NOT(ISERROR(SEARCH("待",I113)))</formula>
    </cfRule>
  </conditionalFormatting>
  <conditionalFormatting sqref="K113">
    <cfRule type="containsText" dxfId="0" priority="58" operator="between" text="待">
      <formula>NOT(ISERROR(SEARCH("待",K113)))</formula>
    </cfRule>
  </conditionalFormatting>
  <conditionalFormatting sqref="L113">
    <cfRule type="containsText" dxfId="0" priority="108" operator="between" text="待附件">
      <formula>NOT(ISERROR(SEARCH("待附件",L113)))</formula>
    </cfRule>
    <cfRule type="containsText" dxfId="0" priority="158" operator="between" text="待提单">
      <formula>NOT(ISERROR(SEARCH("待提单",L113)))</formula>
    </cfRule>
  </conditionalFormatting>
  <conditionalFormatting sqref="J114">
    <cfRule type="containsText" dxfId="1" priority="5" operator="between" text="/">
      <formula>NOT(ISERROR(SEARCH("/",J114)))</formula>
    </cfRule>
  </conditionalFormatting>
  <conditionalFormatting sqref="K114">
    <cfRule type="containsText" dxfId="0" priority="48" operator="between" text="待">
      <formula>NOT(ISERROR(SEARCH("待",K114)))</formula>
    </cfRule>
  </conditionalFormatting>
  <conditionalFormatting sqref="L114">
    <cfRule type="containsText" dxfId="0" priority="98" operator="between" text="待附件">
      <formula>NOT(ISERROR(SEARCH("待附件",L114)))</formula>
    </cfRule>
    <cfRule type="containsText" dxfId="0" priority="148" operator="between" text="待提单">
      <formula>NOT(ISERROR(SEARCH("待提单",L114)))</formula>
    </cfRule>
  </conditionalFormatting>
  <conditionalFormatting sqref="J115">
    <cfRule type="containsText" dxfId="1" priority="4" operator="between" text="/">
      <formula>NOT(ISERROR(SEARCH("/",J115)))</formula>
    </cfRule>
  </conditionalFormatting>
  <conditionalFormatting sqref="K115">
    <cfRule type="containsText" dxfId="0" priority="47" operator="between" text="待">
      <formula>NOT(ISERROR(SEARCH("待",K115)))</formula>
    </cfRule>
  </conditionalFormatting>
  <conditionalFormatting sqref="L115">
    <cfRule type="containsText" dxfId="0" priority="97" operator="between" text="待附件">
      <formula>NOT(ISERROR(SEARCH("待附件",L115)))</formula>
    </cfRule>
    <cfRule type="containsText" dxfId="0" priority="147" operator="between" text="待提单">
      <formula>NOT(ISERROR(SEARCH("待提单",L115)))</formula>
    </cfRule>
  </conditionalFormatting>
  <conditionalFormatting sqref="I116:J116">
    <cfRule type="containsText" dxfId="0" priority="6" operator="between" text="待">
      <formula>NOT(ISERROR(SEARCH("待",I116)))</formula>
    </cfRule>
  </conditionalFormatting>
  <conditionalFormatting sqref="J116">
    <cfRule type="containsText" dxfId="1" priority="7" operator="between" text="/">
      <formula>NOT(ISERROR(SEARCH("/",J116)))</formula>
    </cfRule>
  </conditionalFormatting>
  <conditionalFormatting sqref="K116">
    <cfRule type="containsText" dxfId="0" priority="46" operator="between" text="待">
      <formula>NOT(ISERROR(SEARCH("待",K116)))</formula>
    </cfRule>
  </conditionalFormatting>
  <conditionalFormatting sqref="L116">
    <cfRule type="containsText" dxfId="0" priority="96" operator="between" text="待附件">
      <formula>NOT(ISERROR(SEARCH("待附件",L116)))</formula>
    </cfRule>
    <cfRule type="containsText" dxfId="0" priority="146" operator="between" text="待提单">
      <formula>NOT(ISERROR(SEARCH("待提单",L116)))</formula>
    </cfRule>
  </conditionalFormatting>
  <conditionalFormatting sqref="I117:J117">
    <cfRule type="containsText" dxfId="0" priority="2" operator="between" text="待">
      <formula>NOT(ISERROR(SEARCH("待",I117)))</formula>
    </cfRule>
  </conditionalFormatting>
  <conditionalFormatting sqref="K117">
    <cfRule type="containsText" dxfId="0" priority="45" operator="between" text="待">
      <formula>NOT(ISERROR(SEARCH("待",K117)))</formula>
    </cfRule>
  </conditionalFormatting>
  <conditionalFormatting sqref="L117">
    <cfRule type="containsText" dxfId="0" priority="95" operator="between" text="待附件">
      <formula>NOT(ISERROR(SEARCH("待附件",L117)))</formula>
    </cfRule>
    <cfRule type="containsText" dxfId="0" priority="145" operator="between" text="待提单">
      <formula>NOT(ISERROR(SEARCH("待提单",L117)))</formula>
    </cfRule>
  </conditionalFormatting>
  <conditionalFormatting sqref="I118:J118">
    <cfRule type="containsText" dxfId="0" priority="194" operator="between" text="待">
      <formula>NOT(ISERROR(SEARCH("待",I118)))</formula>
    </cfRule>
  </conditionalFormatting>
  <conditionalFormatting sqref="K118">
    <cfRule type="containsText" dxfId="0" priority="44" operator="between" text="待">
      <formula>NOT(ISERROR(SEARCH("待",K118)))</formula>
    </cfRule>
  </conditionalFormatting>
  <conditionalFormatting sqref="L118">
    <cfRule type="containsText" dxfId="0" priority="94" operator="between" text="待附件">
      <formula>NOT(ISERROR(SEARCH("待附件",L118)))</formula>
    </cfRule>
    <cfRule type="containsText" dxfId="0" priority="144" operator="between" text="待提单">
      <formula>NOT(ISERROR(SEARCH("待提单",L118)))</formula>
    </cfRule>
  </conditionalFormatting>
  <conditionalFormatting sqref="I119:J119">
    <cfRule type="containsText" dxfId="0" priority="193" operator="between" text="待">
      <formula>NOT(ISERROR(SEARCH("待",I119)))</formula>
    </cfRule>
  </conditionalFormatting>
  <conditionalFormatting sqref="K119">
    <cfRule type="containsText" dxfId="0" priority="43" operator="between" text="待">
      <formula>NOT(ISERROR(SEARCH("待",K119)))</formula>
    </cfRule>
  </conditionalFormatting>
  <conditionalFormatting sqref="L119">
    <cfRule type="containsText" dxfId="0" priority="93" operator="between" text="待附件">
      <formula>NOT(ISERROR(SEARCH("待附件",L119)))</formula>
    </cfRule>
    <cfRule type="containsText" dxfId="0" priority="143" operator="between" text="待提单">
      <formula>NOT(ISERROR(SEARCH("待提单",L119)))</formula>
    </cfRule>
  </conditionalFormatting>
  <conditionalFormatting sqref="I120:J120">
    <cfRule type="containsText" dxfId="0" priority="192" operator="between" text="待">
      <formula>NOT(ISERROR(SEARCH("待",I120)))</formula>
    </cfRule>
  </conditionalFormatting>
  <conditionalFormatting sqref="K120">
    <cfRule type="containsText" dxfId="0" priority="42" operator="between" text="待">
      <formula>NOT(ISERROR(SEARCH("待",K120)))</formula>
    </cfRule>
  </conditionalFormatting>
  <conditionalFormatting sqref="L120">
    <cfRule type="containsText" dxfId="0" priority="92" operator="between" text="待附件">
      <formula>NOT(ISERROR(SEARCH("待附件",L120)))</formula>
    </cfRule>
    <cfRule type="containsText" dxfId="0" priority="142" operator="between" text="待提单">
      <formula>NOT(ISERROR(SEARCH("待提单",L120)))</formula>
    </cfRule>
  </conditionalFormatting>
  <conditionalFormatting sqref="I121:J121">
    <cfRule type="containsText" dxfId="0" priority="191" operator="between" text="待">
      <formula>NOT(ISERROR(SEARCH("待",I121)))</formula>
    </cfRule>
  </conditionalFormatting>
  <conditionalFormatting sqref="K121">
    <cfRule type="containsText" dxfId="0" priority="41" operator="between" text="待">
      <formula>NOT(ISERROR(SEARCH("待",K121)))</formula>
    </cfRule>
  </conditionalFormatting>
  <conditionalFormatting sqref="L121">
    <cfRule type="containsText" dxfId="0" priority="91" operator="between" text="待附件">
      <formula>NOT(ISERROR(SEARCH("待附件",L121)))</formula>
    </cfRule>
    <cfRule type="containsText" dxfId="0" priority="141" operator="between" text="待提单">
      <formula>NOT(ISERROR(SEARCH("待提单",L121)))</formula>
    </cfRule>
  </conditionalFormatting>
  <conditionalFormatting sqref="I122:J122">
    <cfRule type="containsText" dxfId="0" priority="190" operator="between" text="待">
      <formula>NOT(ISERROR(SEARCH("待",I122)))</formula>
    </cfRule>
  </conditionalFormatting>
  <conditionalFormatting sqref="K122">
    <cfRule type="containsText" dxfId="0" priority="40" operator="between" text="待">
      <formula>NOT(ISERROR(SEARCH("待",K122)))</formula>
    </cfRule>
  </conditionalFormatting>
  <conditionalFormatting sqref="L122">
    <cfRule type="containsText" dxfId="0" priority="90" operator="between" text="待附件">
      <formula>NOT(ISERROR(SEARCH("待附件",L122)))</formula>
    </cfRule>
    <cfRule type="containsText" dxfId="0" priority="140" operator="between" text="待提单">
      <formula>NOT(ISERROR(SEARCH("待提单",L122)))</formula>
    </cfRule>
  </conditionalFormatting>
  <conditionalFormatting sqref="I123:J123">
    <cfRule type="containsText" dxfId="0" priority="189" operator="between" text="待">
      <formula>NOT(ISERROR(SEARCH("待",I123)))</formula>
    </cfRule>
  </conditionalFormatting>
  <conditionalFormatting sqref="K123">
    <cfRule type="containsText" dxfId="0" priority="39" operator="between" text="待">
      <formula>NOT(ISERROR(SEARCH("待",K123)))</formula>
    </cfRule>
  </conditionalFormatting>
  <conditionalFormatting sqref="L123">
    <cfRule type="containsText" dxfId="0" priority="89" operator="between" text="待附件">
      <formula>NOT(ISERROR(SEARCH("待附件",L123)))</formula>
    </cfRule>
    <cfRule type="containsText" dxfId="0" priority="139" operator="between" text="待提单">
      <formula>NOT(ISERROR(SEARCH("待提单",L123)))</formula>
    </cfRule>
  </conditionalFormatting>
  <conditionalFormatting sqref="I124:J124">
    <cfRule type="containsText" dxfId="0" priority="188" operator="between" text="待">
      <formula>NOT(ISERROR(SEARCH("待",I124)))</formula>
    </cfRule>
  </conditionalFormatting>
  <conditionalFormatting sqref="K124">
    <cfRule type="containsText" dxfId="0" priority="38" operator="between" text="待">
      <formula>NOT(ISERROR(SEARCH("待",K124)))</formula>
    </cfRule>
  </conditionalFormatting>
  <conditionalFormatting sqref="L124">
    <cfRule type="containsText" dxfId="0" priority="88" operator="between" text="待附件">
      <formula>NOT(ISERROR(SEARCH("待附件",L124)))</formula>
    </cfRule>
    <cfRule type="containsText" dxfId="0" priority="138" operator="between" text="待提单">
      <formula>NOT(ISERROR(SEARCH("待提单",L124)))</formula>
    </cfRule>
  </conditionalFormatting>
  <conditionalFormatting sqref="I125:J125">
    <cfRule type="containsText" dxfId="0" priority="187" operator="between" text="待">
      <formula>NOT(ISERROR(SEARCH("待",I125)))</formula>
    </cfRule>
  </conditionalFormatting>
  <conditionalFormatting sqref="K125">
    <cfRule type="containsText" dxfId="0" priority="37" operator="between" text="待">
      <formula>NOT(ISERROR(SEARCH("待",K125)))</formula>
    </cfRule>
  </conditionalFormatting>
  <conditionalFormatting sqref="L125">
    <cfRule type="containsText" dxfId="0" priority="87" operator="between" text="待附件">
      <formula>NOT(ISERROR(SEARCH("待附件",L125)))</formula>
    </cfRule>
    <cfRule type="containsText" dxfId="0" priority="137" operator="between" text="待提单">
      <formula>NOT(ISERROR(SEARCH("待提单",L125)))</formula>
    </cfRule>
  </conditionalFormatting>
  <conditionalFormatting sqref="I126:J126">
    <cfRule type="containsText" dxfId="0" priority="186" operator="between" text="待">
      <formula>NOT(ISERROR(SEARCH("待",I126)))</formula>
    </cfRule>
  </conditionalFormatting>
  <conditionalFormatting sqref="K126">
    <cfRule type="containsText" dxfId="0" priority="36" operator="between" text="待">
      <formula>NOT(ISERROR(SEARCH("待",K126)))</formula>
    </cfRule>
  </conditionalFormatting>
  <conditionalFormatting sqref="L126">
    <cfRule type="containsText" dxfId="0" priority="86" operator="between" text="待附件">
      <formula>NOT(ISERROR(SEARCH("待附件",L126)))</formula>
    </cfRule>
    <cfRule type="containsText" dxfId="0" priority="136" operator="between" text="待提单">
      <formula>NOT(ISERROR(SEARCH("待提单",L126)))</formula>
    </cfRule>
  </conditionalFormatting>
  <conditionalFormatting sqref="K9:K10">
    <cfRule type="containsText" dxfId="0" priority="290" operator="between" text="待">
      <formula>NOT(ISERROR(SEARCH("待",K9)))</formula>
    </cfRule>
  </conditionalFormatting>
  <conditionalFormatting sqref="K55:K58">
    <cfRule type="containsText" dxfId="0" priority="267" operator="between" text="待">
      <formula>NOT(ISERROR(SEARCH("待",K55)))</formula>
    </cfRule>
  </conditionalFormatting>
  <conditionalFormatting sqref="N1:N2">
    <cfRule type="containsText" dxfId="0" priority="366" operator="between" text="待">
      <formula>NOT(ISERROR(SEARCH("待",N1)))</formula>
    </cfRule>
  </conditionalFormatting>
  <conditionalFormatting sqref="I12:K15 K44 K41 K37 K34 K31:K32 K28 K18 K16 J17:K17 I50:K53 K49 I47:K48 K46 I45:K45 I42:K43 I38:K40 I35:K35 I33:K33 I29:K30 I19:K27">
    <cfRule type="containsText" dxfId="0" priority="362" operator="between" text="待">
      <formula>NOT(ISERROR(SEARCH("待",I12)))</formula>
    </cfRule>
  </conditionalFormatting>
  <conditionalFormatting sqref="J12:J15 J50:J53 J47:J48 J45 J42:J43 J38:J40 J35 J33 J29:J30 J23:J27 J19:J21 J17">
    <cfRule type="containsText" dxfId="1" priority="363" operator="between" text="/">
      <formula>NOT(ISERROR(SEARCH("/",J12)))</formula>
    </cfRule>
  </conditionalFormatting>
  <conditionalFormatting sqref="L13:L18 L31:L53 L20:L29">
    <cfRule type="containsText" dxfId="0" priority="364" operator="between" text="待附件">
      <formula>NOT(ISERROR(SEARCH("待附件",L13)))</formula>
    </cfRule>
    <cfRule type="containsText" dxfId="0" priority="365" operator="between" text="待提单">
      <formula>NOT(ISERROR(SEARCH("待提单",L13)))</formula>
    </cfRule>
  </conditionalFormatting>
  <conditionalFormatting sqref="I54:K54 I55:J57 K60:K62 I63:K64 J65:K69 I71:K74 I59:K59 I66 H67:H69 K75 K77:K85">
    <cfRule type="containsText" dxfId="0" priority="466" operator="between" text="待">
      <formula>NOT(ISERROR(SEARCH("待",H54)))</formula>
    </cfRule>
  </conditionalFormatting>
  <conditionalFormatting sqref="J54:J57 J63:J69 J71:J74 J59">
    <cfRule type="containsText" dxfId="1" priority="467" operator="between" text="/">
      <formula>NOT(ISERROR(SEARCH("/",J54)))</formula>
    </cfRule>
  </conditionalFormatting>
  <conditionalFormatting sqref="L54:L69 L71:L75 L77:L85">
    <cfRule type="containsText" dxfId="0" priority="472" operator="between" text="待附件">
      <formula>NOT(ISERROR(SEARCH("待附件",L54)))</formula>
    </cfRule>
    <cfRule type="containsText" dxfId="0" priority="473" operator="between" text="待提单">
      <formula>NOT(ISERROR(SEARCH("待提单",L54)))</formula>
    </cfRule>
  </conditionalFormatting>
  <conditionalFormatting sqref="I61:J62">
    <cfRule type="containsText" dxfId="0" priority="271" operator="between" text="待">
      <formula>NOT(ISERROR(SEARCH("待",I61)))</formula>
    </cfRule>
  </conditionalFormatting>
  <conditionalFormatting sqref="I84:J85">
    <cfRule type="containsText" dxfId="0" priority="238" operator="between" text="待">
      <formula>NOT(ISERROR(SEARCH("待",I84)))</formula>
    </cfRule>
  </conditionalFormatting>
  <conditionalFormatting sqref="I109:J112">
    <cfRule type="containsText" dxfId="0" priority="14" operator="between" text="待">
      <formula>NOT(ISERROR(SEARCH("待",I109)))</formula>
    </cfRule>
  </conditionalFormatting>
  <conditionalFormatting sqref="I114:J115">
    <cfRule type="containsText" dxfId="0" priority="3" operator="between" text="待">
      <formula>NOT(ISERROR(SEARCH("待",I114)))</formula>
    </cfRule>
  </conditionalFormatting>
  <conditionalFormatting sqref="I127:L1048576 N127:N1048576">
    <cfRule type="containsText" dxfId="0" priority="1166" operator="between" text="待">
      <formula>NOT(ISERROR(SEARCH("待",I127)))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zoomScale="85" zoomScaleNormal="85" workbookViewId="0">
      <pane xSplit="2" ySplit="2" topLeftCell="C92" activePane="bottomRight" state="frozen"/>
      <selection/>
      <selection pane="topRight"/>
      <selection pane="bottomLeft"/>
      <selection pane="bottomRight" activeCell="H128" sqref="H128"/>
    </sheetView>
  </sheetViews>
  <sheetFormatPr defaultColWidth="9" defaultRowHeight="15"/>
  <cols>
    <col min="1" max="1" width="12.2857142857143" style="19" customWidth="1"/>
    <col min="2" max="2" width="2.28571428571429" style="19" customWidth="1"/>
    <col min="3" max="3" width="38.2857142857143" style="19" customWidth="1"/>
    <col min="4" max="4" width="23.1428571428571" style="19" customWidth="1"/>
    <col min="5" max="5" width="24.2857142857143" style="19" customWidth="1"/>
    <col min="6" max="7" width="13" style="19" customWidth="1"/>
    <col min="8" max="8" width="46.1428571428571" style="19" customWidth="1"/>
    <col min="9" max="9" width="11" style="19" customWidth="1"/>
    <col min="10" max="10" width="27.1428571428571" style="19" customWidth="1"/>
    <col min="11" max="11" width="15.2857142857143" style="116" customWidth="1"/>
    <col min="12" max="12" width="13.4285714285714" style="116" customWidth="1"/>
    <col min="13" max="13" width="16.5714285714286" style="126" customWidth="1"/>
    <col min="14" max="14" width="14.5714285714286" style="19" customWidth="1"/>
    <col min="15" max="16384" width="9" style="19" customWidth="1"/>
  </cols>
  <sheetData>
    <row r="1" s="19" customFormat="1" spans="1:13">
      <c r="A1" s="47" t="s">
        <v>258</v>
      </c>
      <c r="B1" s="48"/>
      <c r="C1" s="48"/>
      <c r="D1" s="48"/>
      <c r="E1" s="48"/>
      <c r="F1" s="48"/>
      <c r="G1" s="48"/>
      <c r="H1" s="49"/>
      <c r="I1" s="36"/>
      <c r="J1" s="36"/>
      <c r="K1" s="118"/>
      <c r="L1" s="118"/>
      <c r="M1" s="126"/>
    </row>
    <row r="2" s="123" customFormat="1" ht="15.75" customHeight="1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</row>
    <row r="3" s="1" customFormat="1" ht="29.25" customHeight="1" spans="1:14">
      <c r="A3" s="6" t="s">
        <v>14</v>
      </c>
      <c r="B3" s="7"/>
      <c r="C3" s="8" t="s">
        <v>23</v>
      </c>
      <c r="D3" s="6" t="s">
        <v>20</v>
      </c>
      <c r="E3" s="6" t="s">
        <v>20</v>
      </c>
      <c r="F3" s="9">
        <v>394.09</v>
      </c>
      <c r="G3" s="10" t="s">
        <v>20</v>
      </c>
      <c r="H3" s="11" t="s">
        <v>259</v>
      </c>
      <c r="I3" s="15" t="s">
        <v>26</v>
      </c>
      <c r="J3" s="16" t="s">
        <v>27</v>
      </c>
      <c r="K3" s="17" t="s">
        <v>20</v>
      </c>
      <c r="L3" s="17" t="s">
        <v>20</v>
      </c>
      <c r="M3" s="18" t="s">
        <v>20</v>
      </c>
      <c r="N3" s="18" t="s">
        <v>20</v>
      </c>
    </row>
    <row r="4" s="1" customFormat="1" ht="29.25" customHeight="1" spans="1:14">
      <c r="A4" s="6" t="s">
        <v>14</v>
      </c>
      <c r="B4" s="7"/>
      <c r="C4" s="8" t="s">
        <v>15</v>
      </c>
      <c r="D4" s="6" t="s">
        <v>260</v>
      </c>
      <c r="E4" s="6" t="s">
        <v>20</v>
      </c>
      <c r="F4" s="9">
        <v>115.95</v>
      </c>
      <c r="G4" s="10" t="s">
        <v>20</v>
      </c>
      <c r="H4" s="11" t="s">
        <v>261</v>
      </c>
      <c r="I4" s="15" t="s">
        <v>38</v>
      </c>
      <c r="J4" s="16" t="s">
        <v>39</v>
      </c>
      <c r="K4" s="17" t="s">
        <v>20</v>
      </c>
      <c r="L4" s="17" t="s">
        <v>102</v>
      </c>
      <c r="M4" s="18">
        <v>45875</v>
      </c>
      <c r="N4" s="18" t="s">
        <v>20</v>
      </c>
    </row>
    <row r="5" s="1" customFormat="1" ht="29.25" customHeight="1" spans="1:14">
      <c r="A5" s="6" t="s">
        <v>14</v>
      </c>
      <c r="B5" s="7"/>
      <c r="C5" s="8" t="s">
        <v>58</v>
      </c>
      <c r="D5" s="6" t="s">
        <v>20</v>
      </c>
      <c r="E5" s="6" t="s">
        <v>20</v>
      </c>
      <c r="F5" s="9" t="s">
        <v>20</v>
      </c>
      <c r="G5" s="10">
        <v>5020.55</v>
      </c>
      <c r="H5" s="11" t="s">
        <v>262</v>
      </c>
      <c r="I5" s="15" t="s">
        <v>31</v>
      </c>
      <c r="J5" s="16" t="s">
        <v>62</v>
      </c>
      <c r="K5" s="17" t="s">
        <v>20</v>
      </c>
      <c r="L5" s="17" t="s">
        <v>20</v>
      </c>
      <c r="M5" s="18" t="s">
        <v>20</v>
      </c>
      <c r="N5" s="18" t="s">
        <v>20</v>
      </c>
    </row>
    <row r="6" s="1" customFormat="1" ht="29.25" customHeight="1" spans="1:14">
      <c r="A6" s="6" t="s">
        <v>14</v>
      </c>
      <c r="B6" s="7"/>
      <c r="C6" s="8" t="s">
        <v>28</v>
      </c>
      <c r="D6" s="6" t="s">
        <v>263</v>
      </c>
      <c r="E6" s="6" t="s">
        <v>20</v>
      </c>
      <c r="F6" s="9" t="s">
        <v>20</v>
      </c>
      <c r="G6" s="10">
        <v>799.2</v>
      </c>
      <c r="H6" s="11" t="s">
        <v>30</v>
      </c>
      <c r="I6" s="15" t="s">
        <v>31</v>
      </c>
      <c r="J6" s="16" t="s">
        <v>32</v>
      </c>
      <c r="K6" s="17" t="s">
        <v>20</v>
      </c>
      <c r="L6" s="17" t="s">
        <v>20</v>
      </c>
      <c r="M6" s="18" t="s">
        <v>20</v>
      </c>
      <c r="N6" s="18" t="s">
        <v>20</v>
      </c>
    </row>
    <row r="7" s="1" customFormat="1" ht="29.25" customHeight="1" spans="1:14">
      <c r="A7" s="6" t="s">
        <v>14</v>
      </c>
      <c r="B7" s="7"/>
      <c r="C7" s="8" t="s">
        <v>28</v>
      </c>
      <c r="D7" s="6" t="s">
        <v>264</v>
      </c>
      <c r="E7" s="6" t="s">
        <v>20</v>
      </c>
      <c r="F7" s="9" t="s">
        <v>20</v>
      </c>
      <c r="G7" s="10">
        <v>29753.81</v>
      </c>
      <c r="H7" s="11" t="s">
        <v>265</v>
      </c>
      <c r="I7" s="15" t="s">
        <v>31</v>
      </c>
      <c r="J7" s="16" t="s">
        <v>35</v>
      </c>
      <c r="K7" s="17" t="s">
        <v>20</v>
      </c>
      <c r="L7" s="17" t="s">
        <v>20</v>
      </c>
      <c r="M7" s="18" t="s">
        <v>20</v>
      </c>
      <c r="N7" s="18" t="s">
        <v>20</v>
      </c>
    </row>
    <row r="8" s="1" customFormat="1" ht="29.25" customHeight="1" spans="1:14">
      <c r="A8" s="6" t="s">
        <v>14</v>
      </c>
      <c r="B8" s="7"/>
      <c r="C8" s="8" t="s">
        <v>15</v>
      </c>
      <c r="D8" s="6" t="s">
        <v>264</v>
      </c>
      <c r="E8" s="6" t="s">
        <v>20</v>
      </c>
      <c r="F8" s="9">
        <v>14174.72</v>
      </c>
      <c r="G8" s="10" t="s">
        <v>20</v>
      </c>
      <c r="H8" s="11" t="s">
        <v>266</v>
      </c>
      <c r="I8" s="15" t="s">
        <v>38</v>
      </c>
      <c r="J8" s="16" t="s">
        <v>48</v>
      </c>
      <c r="K8" s="17" t="s">
        <v>20</v>
      </c>
      <c r="L8" s="17" t="s">
        <v>21</v>
      </c>
      <c r="M8" s="18">
        <v>45875</v>
      </c>
      <c r="N8" s="18" t="s">
        <v>20</v>
      </c>
    </row>
    <row r="9" s="1" customFormat="1" ht="29.25" customHeight="1" spans="1:14">
      <c r="A9" s="6" t="s">
        <v>14</v>
      </c>
      <c r="B9" s="7"/>
      <c r="C9" s="8" t="s">
        <v>225</v>
      </c>
      <c r="D9" s="6" t="s">
        <v>20</v>
      </c>
      <c r="E9" s="6" t="s">
        <v>20</v>
      </c>
      <c r="F9" s="9" t="s">
        <v>20</v>
      </c>
      <c r="G9" s="10">
        <v>120</v>
      </c>
      <c r="H9" s="11" t="s">
        <v>226</v>
      </c>
      <c r="I9" s="15" t="s">
        <v>227</v>
      </c>
      <c r="J9" s="16" t="s">
        <v>228</v>
      </c>
      <c r="K9" s="17" t="s">
        <v>20</v>
      </c>
      <c r="L9" s="17" t="s">
        <v>20</v>
      </c>
      <c r="M9" s="18" t="s">
        <v>20</v>
      </c>
      <c r="N9" s="18" t="s">
        <v>20</v>
      </c>
    </row>
    <row r="10" s="1" customFormat="1" ht="29.25" customHeight="1" spans="1:14">
      <c r="A10" s="6" t="s">
        <v>14</v>
      </c>
      <c r="B10" s="7"/>
      <c r="C10" s="8" t="s">
        <v>23</v>
      </c>
      <c r="D10" s="6" t="s">
        <v>20</v>
      </c>
      <c r="E10" s="6" t="s">
        <v>20</v>
      </c>
      <c r="F10" s="9">
        <v>120</v>
      </c>
      <c r="G10" s="10" t="s">
        <v>20</v>
      </c>
      <c r="H10" s="11" t="s">
        <v>56</v>
      </c>
      <c r="I10" s="15" t="s">
        <v>26</v>
      </c>
      <c r="J10" s="16" t="s">
        <v>57</v>
      </c>
      <c r="K10" s="17" t="s">
        <v>20</v>
      </c>
      <c r="L10" s="17" t="s">
        <v>20</v>
      </c>
      <c r="M10" s="18" t="s">
        <v>20</v>
      </c>
      <c r="N10" s="18" t="s">
        <v>20</v>
      </c>
    </row>
    <row r="11" s="1" customFormat="1" ht="29.25" customHeight="1" spans="1:14">
      <c r="A11" s="6" t="s">
        <v>14</v>
      </c>
      <c r="B11" s="7"/>
      <c r="C11" s="8" t="s">
        <v>63</v>
      </c>
      <c r="D11" s="6" t="s">
        <v>20</v>
      </c>
      <c r="E11" s="6" t="s">
        <v>20</v>
      </c>
      <c r="F11" s="9">
        <v>350000</v>
      </c>
      <c r="G11" s="10" t="s">
        <v>20</v>
      </c>
      <c r="H11" s="11" t="s">
        <v>229</v>
      </c>
      <c r="I11" s="15" t="s">
        <v>65</v>
      </c>
      <c r="J11" s="16" t="s">
        <v>66</v>
      </c>
      <c r="K11" s="17" t="s">
        <v>20</v>
      </c>
      <c r="L11" s="17" t="s">
        <v>20</v>
      </c>
      <c r="M11" s="18" t="s">
        <v>20</v>
      </c>
      <c r="N11" s="18" t="s">
        <v>20</v>
      </c>
    </row>
    <row r="12" s="1" customFormat="1" ht="29.25" customHeight="1" spans="1:14">
      <c r="A12" s="6" t="s">
        <v>69</v>
      </c>
      <c r="B12" s="7"/>
      <c r="C12" s="8" t="s">
        <v>58</v>
      </c>
      <c r="D12" s="6" t="s">
        <v>20</v>
      </c>
      <c r="E12" s="6" t="s">
        <v>20</v>
      </c>
      <c r="F12" s="9" t="s">
        <v>20</v>
      </c>
      <c r="G12" s="10">
        <v>6963.15</v>
      </c>
      <c r="H12" s="11" t="s">
        <v>262</v>
      </c>
      <c r="I12" s="15" t="s">
        <v>31</v>
      </c>
      <c r="J12" s="16" t="s">
        <v>62</v>
      </c>
      <c r="K12" s="17" t="s">
        <v>20</v>
      </c>
      <c r="L12" s="17" t="s">
        <v>20</v>
      </c>
      <c r="M12" s="18" t="s">
        <v>20</v>
      </c>
      <c r="N12" s="18" t="s">
        <v>20</v>
      </c>
    </row>
    <row r="13" s="1" customFormat="1" ht="15.75" customHeight="1" spans="1:14">
      <c r="A13" s="6" t="s">
        <v>69</v>
      </c>
      <c r="B13" s="7"/>
      <c r="C13" s="8" t="s">
        <v>15</v>
      </c>
      <c r="D13" s="6" t="s">
        <v>260</v>
      </c>
      <c r="E13" s="6" t="s">
        <v>20</v>
      </c>
      <c r="F13" s="9">
        <v>11.3</v>
      </c>
      <c r="G13" s="10" t="s">
        <v>20</v>
      </c>
      <c r="H13" s="11" t="s">
        <v>261</v>
      </c>
      <c r="I13" s="15" t="s">
        <v>38</v>
      </c>
      <c r="J13" s="16" t="s">
        <v>39</v>
      </c>
      <c r="K13" s="17" t="s">
        <v>20</v>
      </c>
      <c r="L13" s="17" t="s">
        <v>102</v>
      </c>
      <c r="M13" s="18">
        <v>45875</v>
      </c>
      <c r="N13" s="18" t="s">
        <v>20</v>
      </c>
    </row>
    <row r="14" s="1" customFormat="1" ht="29.25" customHeight="1" spans="1:14">
      <c r="A14" s="6" t="s">
        <v>69</v>
      </c>
      <c r="B14" s="7"/>
      <c r="C14" s="8" t="s">
        <v>28</v>
      </c>
      <c r="D14" s="6" t="s">
        <v>20</v>
      </c>
      <c r="E14" s="6" t="s">
        <v>20</v>
      </c>
      <c r="F14" s="9" t="s">
        <v>20</v>
      </c>
      <c r="G14" s="10">
        <v>1629.5</v>
      </c>
      <c r="H14" s="11" t="s">
        <v>80</v>
      </c>
      <c r="I14" s="15" t="s">
        <v>31</v>
      </c>
      <c r="J14" s="16" t="s">
        <v>81</v>
      </c>
      <c r="K14" s="17" t="s">
        <v>20</v>
      </c>
      <c r="L14" s="17" t="s">
        <v>20</v>
      </c>
      <c r="M14" s="18" t="s">
        <v>20</v>
      </c>
      <c r="N14" s="18" t="s">
        <v>20</v>
      </c>
    </row>
    <row r="15" s="1" customFormat="1" ht="15.75" customHeight="1" spans="1:14">
      <c r="A15" s="6" t="s">
        <v>69</v>
      </c>
      <c r="B15" s="7"/>
      <c r="C15" s="8" t="s">
        <v>15</v>
      </c>
      <c r="D15" s="6" t="s">
        <v>20</v>
      </c>
      <c r="E15" s="6" t="s">
        <v>20</v>
      </c>
      <c r="F15" s="9">
        <v>468.58</v>
      </c>
      <c r="G15" s="10" t="s">
        <v>20</v>
      </c>
      <c r="H15" s="11" t="s">
        <v>267</v>
      </c>
      <c r="I15" s="15" t="s">
        <v>179</v>
      </c>
      <c r="J15" s="16" t="s">
        <v>268</v>
      </c>
      <c r="K15" s="17" t="s">
        <v>20</v>
      </c>
      <c r="L15" s="17" t="s">
        <v>20</v>
      </c>
      <c r="M15" s="18" t="s">
        <v>20</v>
      </c>
      <c r="N15" s="18" t="s">
        <v>20</v>
      </c>
    </row>
    <row r="16" s="1" customFormat="1" ht="15.75" customHeight="1" spans="1:14">
      <c r="A16" s="6" t="s">
        <v>69</v>
      </c>
      <c r="B16" s="7"/>
      <c r="C16" s="8" t="s">
        <v>15</v>
      </c>
      <c r="D16" s="6" t="s">
        <v>20</v>
      </c>
      <c r="E16" s="6" t="s">
        <v>20</v>
      </c>
      <c r="F16" s="9">
        <v>80.2</v>
      </c>
      <c r="G16" s="10" t="s">
        <v>20</v>
      </c>
      <c r="H16" s="11" t="s">
        <v>269</v>
      </c>
      <c r="I16" s="15" t="s">
        <v>44</v>
      </c>
      <c r="J16" s="16" t="s">
        <v>270</v>
      </c>
      <c r="K16" s="17" t="s">
        <v>20</v>
      </c>
      <c r="L16" s="17" t="s">
        <v>20</v>
      </c>
      <c r="M16" s="18" t="s">
        <v>20</v>
      </c>
      <c r="N16" s="18" t="s">
        <v>20</v>
      </c>
    </row>
    <row r="17" s="1" customFormat="1" ht="15.75" customHeight="1" spans="1:14">
      <c r="A17" s="6" t="s">
        <v>69</v>
      </c>
      <c r="B17" s="7"/>
      <c r="C17" s="8" t="s">
        <v>15</v>
      </c>
      <c r="D17" s="6" t="s">
        <v>20</v>
      </c>
      <c r="E17" s="6" t="s">
        <v>20</v>
      </c>
      <c r="F17" s="9">
        <v>847.78</v>
      </c>
      <c r="G17" s="10" t="s">
        <v>20</v>
      </c>
      <c r="H17" s="11" t="s">
        <v>269</v>
      </c>
      <c r="I17" s="15" t="s">
        <v>44</v>
      </c>
      <c r="J17" s="16" t="s">
        <v>271</v>
      </c>
      <c r="K17" s="17" t="s">
        <v>20</v>
      </c>
      <c r="L17" s="17" t="s">
        <v>20</v>
      </c>
      <c r="M17" s="18" t="s">
        <v>20</v>
      </c>
      <c r="N17" s="18" t="s">
        <v>20</v>
      </c>
    </row>
    <row r="18" s="1" customFormat="1" ht="15.75" customHeight="1" spans="1:14">
      <c r="A18" s="6" t="s">
        <v>69</v>
      </c>
      <c r="B18" s="7"/>
      <c r="C18" s="8" t="s">
        <v>58</v>
      </c>
      <c r="D18" s="6" t="s">
        <v>20</v>
      </c>
      <c r="E18" s="6" t="s">
        <v>20</v>
      </c>
      <c r="F18" s="9" t="s">
        <v>20</v>
      </c>
      <c r="G18" s="10">
        <v>7523.6</v>
      </c>
      <c r="H18" s="11" t="s">
        <v>262</v>
      </c>
      <c r="I18" s="16" t="s">
        <v>31</v>
      </c>
      <c r="J18" s="16" t="s">
        <v>62</v>
      </c>
      <c r="K18" s="17" t="s">
        <v>20</v>
      </c>
      <c r="L18" s="17" t="s">
        <v>20</v>
      </c>
      <c r="M18" s="18" t="s">
        <v>20</v>
      </c>
      <c r="N18" s="18" t="s">
        <v>20</v>
      </c>
    </row>
    <row r="19" s="1" customFormat="1" ht="15.75" customHeight="1" spans="1:14">
      <c r="A19" s="6" t="s">
        <v>69</v>
      </c>
      <c r="B19" s="7"/>
      <c r="C19" s="8" t="s">
        <v>58</v>
      </c>
      <c r="D19" s="6" t="s">
        <v>20</v>
      </c>
      <c r="E19" s="6" t="s">
        <v>20</v>
      </c>
      <c r="F19" s="9" t="s">
        <v>20</v>
      </c>
      <c r="G19" s="10">
        <v>7348.65</v>
      </c>
      <c r="H19" s="11" t="s">
        <v>262</v>
      </c>
      <c r="I19" s="16" t="s">
        <v>31</v>
      </c>
      <c r="J19" s="16" t="s">
        <v>62</v>
      </c>
      <c r="K19" s="17" t="s">
        <v>20</v>
      </c>
      <c r="L19" s="17" t="s">
        <v>20</v>
      </c>
      <c r="M19" s="18" t="s">
        <v>20</v>
      </c>
      <c r="N19" s="18" t="s">
        <v>20</v>
      </c>
    </row>
    <row r="20" s="1" customFormat="1" ht="15.75" customHeight="1" spans="1:14">
      <c r="A20" s="6" t="s">
        <v>69</v>
      </c>
      <c r="B20" s="7"/>
      <c r="C20" s="8" t="s">
        <v>58</v>
      </c>
      <c r="D20" s="6" t="s">
        <v>20</v>
      </c>
      <c r="E20" s="6" t="s">
        <v>20</v>
      </c>
      <c r="F20" s="9" t="s">
        <v>20</v>
      </c>
      <c r="G20" s="10">
        <v>6721.9</v>
      </c>
      <c r="H20" s="11" t="s">
        <v>262</v>
      </c>
      <c r="I20" s="16" t="s">
        <v>31</v>
      </c>
      <c r="J20" s="16" t="s">
        <v>62</v>
      </c>
      <c r="K20" s="17" t="s">
        <v>20</v>
      </c>
      <c r="L20" s="17" t="s">
        <v>20</v>
      </c>
      <c r="M20" s="18" t="s">
        <v>20</v>
      </c>
      <c r="N20" s="18" t="s">
        <v>20</v>
      </c>
    </row>
    <row r="21" s="1" customFormat="1" ht="15.75" customHeight="1" spans="1:14">
      <c r="A21" s="6" t="s">
        <v>69</v>
      </c>
      <c r="B21" s="7"/>
      <c r="C21" s="8" t="s">
        <v>28</v>
      </c>
      <c r="D21" s="6" t="s">
        <v>20</v>
      </c>
      <c r="E21" s="6" t="s">
        <v>20</v>
      </c>
      <c r="F21" s="9" t="s">
        <v>20</v>
      </c>
      <c r="G21" s="10">
        <v>2304.46</v>
      </c>
      <c r="H21" s="11" t="s">
        <v>30</v>
      </c>
      <c r="I21" s="15" t="s">
        <v>31</v>
      </c>
      <c r="J21" s="16" t="s">
        <v>32</v>
      </c>
      <c r="K21" s="17" t="s">
        <v>20</v>
      </c>
      <c r="L21" s="17" t="s">
        <v>20</v>
      </c>
      <c r="M21" s="18" t="s">
        <v>20</v>
      </c>
      <c r="N21" s="18" t="s">
        <v>20</v>
      </c>
    </row>
    <row r="22" s="1" customFormat="1" ht="15.75" customHeight="1" spans="1:14">
      <c r="A22" s="6" t="s">
        <v>69</v>
      </c>
      <c r="B22" s="7"/>
      <c r="C22" s="8" t="s">
        <v>28</v>
      </c>
      <c r="D22" s="6" t="s">
        <v>20</v>
      </c>
      <c r="E22" s="6" t="s">
        <v>20</v>
      </c>
      <c r="F22" s="9" t="s">
        <v>20</v>
      </c>
      <c r="G22" s="10">
        <v>3859.52</v>
      </c>
      <c r="H22" s="11" t="s">
        <v>30</v>
      </c>
      <c r="I22" s="15" t="s">
        <v>31</v>
      </c>
      <c r="J22" s="16" t="s">
        <v>32</v>
      </c>
      <c r="K22" s="17" t="s">
        <v>20</v>
      </c>
      <c r="L22" s="17" t="s">
        <v>20</v>
      </c>
      <c r="M22" s="18" t="s">
        <v>20</v>
      </c>
      <c r="N22" s="18" t="s">
        <v>20</v>
      </c>
    </row>
    <row r="23" s="1" customFormat="1" ht="15.75" customHeight="1" spans="1:14">
      <c r="A23" s="6" t="s">
        <v>69</v>
      </c>
      <c r="B23" s="7"/>
      <c r="C23" s="8" t="s">
        <v>28</v>
      </c>
      <c r="D23" s="6" t="s">
        <v>20</v>
      </c>
      <c r="E23" s="6" t="s">
        <v>20</v>
      </c>
      <c r="F23" s="9" t="s">
        <v>20</v>
      </c>
      <c r="G23" s="10">
        <v>1131.78</v>
      </c>
      <c r="H23" s="11" t="s">
        <v>30</v>
      </c>
      <c r="I23" s="15" t="s">
        <v>31</v>
      </c>
      <c r="J23" s="16" t="s">
        <v>32</v>
      </c>
      <c r="K23" s="17" t="s">
        <v>20</v>
      </c>
      <c r="L23" s="17" t="s">
        <v>20</v>
      </c>
      <c r="M23" s="18" t="s">
        <v>20</v>
      </c>
      <c r="N23" s="18" t="s">
        <v>20</v>
      </c>
    </row>
    <row r="24" s="1" customFormat="1" ht="15.75" customHeight="1" spans="1:14">
      <c r="A24" s="6" t="s">
        <v>69</v>
      </c>
      <c r="B24" s="7"/>
      <c r="C24" s="8" t="s">
        <v>28</v>
      </c>
      <c r="D24" s="6" t="s">
        <v>20</v>
      </c>
      <c r="E24" s="6" t="s">
        <v>20</v>
      </c>
      <c r="F24" s="9" t="s">
        <v>20</v>
      </c>
      <c r="G24" s="10">
        <v>1592.9</v>
      </c>
      <c r="H24" s="11" t="s">
        <v>30</v>
      </c>
      <c r="I24" s="15" t="s">
        <v>31</v>
      </c>
      <c r="J24" s="16" t="s">
        <v>32</v>
      </c>
      <c r="K24" s="17" t="s">
        <v>20</v>
      </c>
      <c r="L24" s="17" t="s">
        <v>20</v>
      </c>
      <c r="M24" s="18" t="s">
        <v>20</v>
      </c>
      <c r="N24" s="18" t="s">
        <v>20</v>
      </c>
    </row>
    <row r="25" s="1" customFormat="1" ht="15.75" customHeight="1" spans="1:14">
      <c r="A25" s="6" t="s">
        <v>69</v>
      </c>
      <c r="B25" s="7"/>
      <c r="C25" s="8" t="s">
        <v>28</v>
      </c>
      <c r="D25" s="6" t="s">
        <v>20</v>
      </c>
      <c r="E25" s="6" t="s">
        <v>20</v>
      </c>
      <c r="F25" s="9" t="s">
        <v>20</v>
      </c>
      <c r="G25" s="10">
        <v>162745.77</v>
      </c>
      <c r="H25" s="11" t="s">
        <v>265</v>
      </c>
      <c r="I25" s="15" t="s">
        <v>31</v>
      </c>
      <c r="J25" s="16" t="s">
        <v>35</v>
      </c>
      <c r="K25" s="17" t="s">
        <v>20</v>
      </c>
      <c r="L25" s="17" t="s">
        <v>20</v>
      </c>
      <c r="M25" s="18" t="s">
        <v>20</v>
      </c>
      <c r="N25" s="18" t="s">
        <v>20</v>
      </c>
    </row>
    <row r="26" s="1" customFormat="1" ht="15.75" customHeight="1" spans="1:14">
      <c r="A26" s="6" t="s">
        <v>90</v>
      </c>
      <c r="B26" s="7"/>
      <c r="C26" s="8" t="s">
        <v>15</v>
      </c>
      <c r="D26" s="6" t="s">
        <v>20</v>
      </c>
      <c r="E26" s="6" t="s">
        <v>20</v>
      </c>
      <c r="F26" s="9">
        <v>161372.99</v>
      </c>
      <c r="G26" s="10" t="s">
        <v>20</v>
      </c>
      <c r="H26" s="11" t="s">
        <v>272</v>
      </c>
      <c r="I26" s="15" t="s">
        <v>52</v>
      </c>
      <c r="J26" s="16" t="s">
        <v>211</v>
      </c>
      <c r="K26" s="17" t="s">
        <v>20</v>
      </c>
      <c r="L26" s="17"/>
      <c r="M26" s="18">
        <v>45875</v>
      </c>
      <c r="N26" s="18" t="s">
        <v>20</v>
      </c>
    </row>
    <row r="27" s="1" customFormat="1" ht="15.75" customHeight="1" spans="1:14">
      <c r="A27" s="6" t="s">
        <v>90</v>
      </c>
      <c r="B27" s="7"/>
      <c r="C27" s="8" t="s">
        <v>58</v>
      </c>
      <c r="D27" s="6" t="s">
        <v>20</v>
      </c>
      <c r="E27" s="6" t="s">
        <v>20</v>
      </c>
      <c r="F27" s="9" t="s">
        <v>20</v>
      </c>
      <c r="G27" s="10">
        <v>6221.25</v>
      </c>
      <c r="H27" s="11" t="s">
        <v>262</v>
      </c>
      <c r="I27" s="16" t="s">
        <v>31</v>
      </c>
      <c r="J27" s="16" t="s">
        <v>62</v>
      </c>
      <c r="K27" s="17" t="s">
        <v>20</v>
      </c>
      <c r="L27" s="17" t="s">
        <v>20</v>
      </c>
      <c r="M27" s="18" t="s">
        <v>20</v>
      </c>
      <c r="N27" s="18" t="s">
        <v>20</v>
      </c>
    </row>
    <row r="28" s="1" customFormat="1" ht="15.75" customHeight="1" spans="1:14">
      <c r="A28" s="6" t="s">
        <v>90</v>
      </c>
      <c r="B28" s="7"/>
      <c r="C28" s="8" t="s">
        <v>50</v>
      </c>
      <c r="D28" s="6" t="s">
        <v>20</v>
      </c>
      <c r="E28" s="6" t="s">
        <v>20</v>
      </c>
      <c r="F28" s="9">
        <v>73805.29</v>
      </c>
      <c r="G28" s="10" t="s">
        <v>20</v>
      </c>
      <c r="H28" s="11" t="s">
        <v>273</v>
      </c>
      <c r="I28" s="15" t="s">
        <v>52</v>
      </c>
      <c r="J28" s="16" t="s">
        <v>274</v>
      </c>
      <c r="K28" s="132" t="s">
        <v>275</v>
      </c>
      <c r="L28" s="17" t="s">
        <v>20</v>
      </c>
      <c r="M28" s="18"/>
      <c r="N28" s="18" t="s">
        <v>20</v>
      </c>
    </row>
    <row r="29" s="1" customFormat="1" ht="15.75" customHeight="1" spans="1:14">
      <c r="A29" s="6" t="s">
        <v>90</v>
      </c>
      <c r="B29" s="7"/>
      <c r="C29" s="8" t="s">
        <v>28</v>
      </c>
      <c r="D29" s="6" t="s">
        <v>20</v>
      </c>
      <c r="E29" s="6" t="s">
        <v>20</v>
      </c>
      <c r="F29" s="9" t="s">
        <v>20</v>
      </c>
      <c r="G29" s="10">
        <v>2054.24</v>
      </c>
      <c r="H29" s="11" t="s">
        <v>30</v>
      </c>
      <c r="I29" s="15" t="s">
        <v>31</v>
      </c>
      <c r="J29" s="16" t="s">
        <v>32</v>
      </c>
      <c r="K29" s="17" t="s">
        <v>20</v>
      </c>
      <c r="L29" s="17" t="s">
        <v>20</v>
      </c>
      <c r="M29" s="18" t="s">
        <v>20</v>
      </c>
      <c r="N29" s="18" t="s">
        <v>20</v>
      </c>
    </row>
    <row r="30" s="1" customFormat="1" ht="15.75" customHeight="1" spans="1:14">
      <c r="A30" s="6" t="s">
        <v>90</v>
      </c>
      <c r="B30" s="7"/>
      <c r="C30" s="8" t="s">
        <v>28</v>
      </c>
      <c r="D30" s="6" t="s">
        <v>20</v>
      </c>
      <c r="E30" s="6" t="s">
        <v>20</v>
      </c>
      <c r="F30" s="9" t="s">
        <v>20</v>
      </c>
      <c r="G30" s="10">
        <v>25417.91</v>
      </c>
      <c r="H30" s="11" t="s">
        <v>265</v>
      </c>
      <c r="I30" s="15" t="s">
        <v>31</v>
      </c>
      <c r="J30" s="16" t="s">
        <v>35</v>
      </c>
      <c r="K30" s="17" t="s">
        <v>20</v>
      </c>
      <c r="L30" s="17" t="s">
        <v>20</v>
      </c>
      <c r="M30" s="18"/>
      <c r="N30" s="18" t="s">
        <v>20</v>
      </c>
    </row>
    <row r="31" s="1" customFormat="1" ht="15.75" customHeight="1" spans="1:14">
      <c r="A31" s="6" t="s">
        <v>90</v>
      </c>
      <c r="B31" s="7"/>
      <c r="C31" s="8" t="s">
        <v>15</v>
      </c>
      <c r="D31" s="6" t="s">
        <v>20</v>
      </c>
      <c r="E31" s="6" t="s">
        <v>20</v>
      </c>
      <c r="F31" s="9">
        <v>450.87</v>
      </c>
      <c r="G31" s="10" t="s">
        <v>20</v>
      </c>
      <c r="H31" s="11" t="s">
        <v>109</v>
      </c>
      <c r="I31" s="15" t="s">
        <v>110</v>
      </c>
      <c r="J31" s="16" t="s">
        <v>111</v>
      </c>
      <c r="K31" s="132" t="s">
        <v>276</v>
      </c>
      <c r="L31" s="17" t="s">
        <v>20</v>
      </c>
      <c r="M31" s="18">
        <v>45876</v>
      </c>
      <c r="N31" s="18" t="s">
        <v>20</v>
      </c>
    </row>
    <row r="32" s="1" customFormat="1" ht="15.75" customHeight="1" spans="1:14">
      <c r="A32" s="6" t="s">
        <v>113</v>
      </c>
      <c r="B32" s="7"/>
      <c r="C32" s="8" t="s">
        <v>28</v>
      </c>
      <c r="D32" s="6" t="s">
        <v>20</v>
      </c>
      <c r="E32" s="6" t="s">
        <v>20</v>
      </c>
      <c r="F32" s="9" t="s">
        <v>20</v>
      </c>
      <c r="G32" s="10">
        <v>664.82</v>
      </c>
      <c r="H32" s="11" t="s">
        <v>114</v>
      </c>
      <c r="I32" s="15" t="s">
        <v>31</v>
      </c>
      <c r="J32" s="16" t="s">
        <v>115</v>
      </c>
      <c r="K32" s="17" t="s">
        <v>20</v>
      </c>
      <c r="L32" s="17" t="s">
        <v>20</v>
      </c>
      <c r="M32" s="18" t="s">
        <v>20</v>
      </c>
      <c r="N32" s="18" t="s">
        <v>20</v>
      </c>
    </row>
    <row r="33" s="1" customFormat="1" ht="15.75" customHeight="1" spans="1:14">
      <c r="A33" s="6" t="s">
        <v>113</v>
      </c>
      <c r="B33" s="7"/>
      <c r="C33" s="8" t="s">
        <v>58</v>
      </c>
      <c r="D33" s="6" t="s">
        <v>20</v>
      </c>
      <c r="E33" s="6" t="s">
        <v>20</v>
      </c>
      <c r="F33" s="9" t="s">
        <v>20</v>
      </c>
      <c r="G33" s="10">
        <v>6042</v>
      </c>
      <c r="H33" s="11" t="s">
        <v>262</v>
      </c>
      <c r="I33" s="16" t="s">
        <v>31</v>
      </c>
      <c r="J33" s="16" t="s">
        <v>62</v>
      </c>
      <c r="K33" s="17" t="s">
        <v>20</v>
      </c>
      <c r="L33" s="17" t="s">
        <v>20</v>
      </c>
      <c r="M33" s="18" t="s">
        <v>20</v>
      </c>
      <c r="N33" s="18" t="s">
        <v>20</v>
      </c>
    </row>
    <row r="34" s="1" customFormat="1" ht="15.75" customHeight="1" spans="1:14">
      <c r="A34" s="6" t="s">
        <v>113</v>
      </c>
      <c r="B34" s="7"/>
      <c r="C34" s="8" t="s">
        <v>28</v>
      </c>
      <c r="D34" s="6" t="s">
        <v>20</v>
      </c>
      <c r="E34" s="6" t="s">
        <v>20</v>
      </c>
      <c r="F34" s="9" t="s">
        <v>20</v>
      </c>
      <c r="G34" s="10">
        <v>196.68</v>
      </c>
      <c r="H34" s="11" t="s">
        <v>277</v>
      </c>
      <c r="I34" s="15" t="s">
        <v>31</v>
      </c>
      <c r="J34" s="16" t="s">
        <v>125</v>
      </c>
      <c r="L34" s="17" t="s">
        <v>20</v>
      </c>
      <c r="N34" s="18" t="s">
        <v>20</v>
      </c>
    </row>
    <row r="35" s="1" customFormat="1" ht="15.75" customHeight="1" spans="1:14">
      <c r="A35" s="6" t="s">
        <v>113</v>
      </c>
      <c r="B35" s="7"/>
      <c r="C35" s="8" t="s">
        <v>28</v>
      </c>
      <c r="D35" s="6" t="s">
        <v>20</v>
      </c>
      <c r="E35" s="6" t="s">
        <v>20</v>
      </c>
      <c r="F35" s="9" t="s">
        <v>20</v>
      </c>
      <c r="G35" s="10">
        <v>1706.9</v>
      </c>
      <c r="H35" s="11" t="s">
        <v>30</v>
      </c>
      <c r="I35" s="15" t="s">
        <v>31</v>
      </c>
      <c r="J35" s="16" t="s">
        <v>32</v>
      </c>
      <c r="K35" s="17" t="s">
        <v>20</v>
      </c>
      <c r="L35" s="17" t="s">
        <v>20</v>
      </c>
      <c r="M35" s="18" t="s">
        <v>20</v>
      </c>
      <c r="N35" s="18" t="s">
        <v>20</v>
      </c>
    </row>
    <row r="36" s="1" customFormat="1" ht="15.75" customHeight="1" spans="1:14">
      <c r="A36" s="6" t="s">
        <v>113</v>
      </c>
      <c r="B36" s="7"/>
      <c r="C36" s="8" t="s">
        <v>28</v>
      </c>
      <c r="D36" s="6" t="s">
        <v>20</v>
      </c>
      <c r="E36" s="6" t="s">
        <v>20</v>
      </c>
      <c r="F36" s="9" t="s">
        <v>20</v>
      </c>
      <c r="G36" s="10">
        <v>26622.74</v>
      </c>
      <c r="H36" s="11" t="s">
        <v>265</v>
      </c>
      <c r="I36" s="15" t="s">
        <v>31</v>
      </c>
      <c r="J36" s="16" t="s">
        <v>35</v>
      </c>
      <c r="K36" s="17" t="s">
        <v>20</v>
      </c>
      <c r="L36" s="17" t="s">
        <v>20</v>
      </c>
      <c r="M36" s="18" t="s">
        <v>20</v>
      </c>
      <c r="N36" s="18" t="s">
        <v>20</v>
      </c>
    </row>
    <row r="37" s="1" customFormat="1" ht="15.75" customHeight="1" spans="1:14">
      <c r="A37" s="6" t="s">
        <v>128</v>
      </c>
      <c r="B37" s="7"/>
      <c r="C37" s="8" t="s">
        <v>58</v>
      </c>
      <c r="D37" s="6" t="s">
        <v>20</v>
      </c>
      <c r="E37" s="6" t="s">
        <v>20</v>
      </c>
      <c r="F37" s="9" t="s">
        <v>20</v>
      </c>
      <c r="G37" s="10">
        <v>4596.3</v>
      </c>
      <c r="H37" s="11" t="s">
        <v>262</v>
      </c>
      <c r="I37" s="16" t="s">
        <v>31</v>
      </c>
      <c r="J37" s="16" t="s">
        <v>62</v>
      </c>
      <c r="K37" s="17" t="s">
        <v>20</v>
      </c>
      <c r="L37" s="17" t="s">
        <v>20</v>
      </c>
      <c r="M37" s="18" t="s">
        <v>20</v>
      </c>
      <c r="N37" s="18" t="s">
        <v>20</v>
      </c>
    </row>
    <row r="38" s="1" customFormat="1" ht="15.75" customHeight="1" spans="1:14">
      <c r="A38" s="6" t="s">
        <v>128</v>
      </c>
      <c r="B38" s="7"/>
      <c r="C38" s="8" t="s">
        <v>28</v>
      </c>
      <c r="D38" s="6" t="s">
        <v>20</v>
      </c>
      <c r="E38" s="6" t="s">
        <v>20</v>
      </c>
      <c r="F38" s="9" t="s">
        <v>20</v>
      </c>
      <c r="G38" s="10">
        <v>1403.45</v>
      </c>
      <c r="H38" s="11" t="s">
        <v>30</v>
      </c>
      <c r="I38" s="15" t="s">
        <v>31</v>
      </c>
      <c r="J38" s="16" t="s">
        <v>32</v>
      </c>
      <c r="K38" s="17" t="s">
        <v>20</v>
      </c>
      <c r="L38" s="17" t="s">
        <v>20</v>
      </c>
      <c r="M38" s="18" t="s">
        <v>20</v>
      </c>
      <c r="N38" s="18" t="s">
        <v>20</v>
      </c>
    </row>
    <row r="39" s="1" customFormat="1" ht="15.75" customHeight="1" spans="1:14">
      <c r="A39" s="6" t="s">
        <v>128</v>
      </c>
      <c r="B39" s="7"/>
      <c r="C39" s="8" t="s">
        <v>28</v>
      </c>
      <c r="D39" s="6" t="s">
        <v>20</v>
      </c>
      <c r="E39" s="6" t="s">
        <v>20</v>
      </c>
      <c r="F39" s="9" t="s">
        <v>20</v>
      </c>
      <c r="G39" s="10">
        <v>29325.8</v>
      </c>
      <c r="H39" s="11" t="s">
        <v>265</v>
      </c>
      <c r="I39" s="15" t="s">
        <v>31</v>
      </c>
      <c r="J39" s="16" t="s">
        <v>35</v>
      </c>
      <c r="K39" s="17" t="s">
        <v>20</v>
      </c>
      <c r="L39" s="17" t="s">
        <v>20</v>
      </c>
      <c r="M39" s="18" t="s">
        <v>20</v>
      </c>
      <c r="N39" s="18" t="s">
        <v>20</v>
      </c>
    </row>
    <row r="40" s="1" customFormat="1" ht="15.75" customHeight="1" spans="1:14">
      <c r="A40" s="6" t="s">
        <v>130</v>
      </c>
      <c r="B40" s="7"/>
      <c r="C40" s="8" t="s">
        <v>58</v>
      </c>
      <c r="D40" s="6" t="s">
        <v>20</v>
      </c>
      <c r="E40" s="6" t="s">
        <v>20</v>
      </c>
      <c r="F40" s="9" t="s">
        <v>20</v>
      </c>
      <c r="G40" s="10">
        <v>4806.55</v>
      </c>
      <c r="H40" s="11" t="s">
        <v>262</v>
      </c>
      <c r="I40" s="16" t="s">
        <v>31</v>
      </c>
      <c r="J40" s="16" t="s">
        <v>62</v>
      </c>
      <c r="K40" s="17" t="s">
        <v>20</v>
      </c>
      <c r="L40" s="17" t="s">
        <v>20</v>
      </c>
      <c r="M40" s="18" t="s">
        <v>20</v>
      </c>
      <c r="N40" s="18" t="s">
        <v>20</v>
      </c>
    </row>
    <row r="41" s="1" customFormat="1" ht="15.75" customHeight="1" spans="1:14">
      <c r="A41" s="6" t="s">
        <v>130</v>
      </c>
      <c r="B41" s="7"/>
      <c r="C41" s="8" t="s">
        <v>15</v>
      </c>
      <c r="D41" s="6" t="s">
        <v>20</v>
      </c>
      <c r="E41" s="6" t="s">
        <v>20</v>
      </c>
      <c r="F41" s="9">
        <v>396.37</v>
      </c>
      <c r="G41" s="10" t="s">
        <v>20</v>
      </c>
      <c r="H41" s="11" t="s">
        <v>278</v>
      </c>
      <c r="I41" s="15" t="s">
        <v>18</v>
      </c>
      <c r="J41" s="16" t="s">
        <v>279</v>
      </c>
      <c r="K41" s="17" t="s">
        <v>46</v>
      </c>
      <c r="L41" s="17" t="s">
        <v>20</v>
      </c>
      <c r="M41" s="18" t="s">
        <v>20</v>
      </c>
      <c r="N41" s="18" t="s">
        <v>20</v>
      </c>
    </row>
    <row r="42" s="1" customFormat="1" ht="15.75" customHeight="1" spans="1:14">
      <c r="A42" s="6" t="s">
        <v>130</v>
      </c>
      <c r="B42" s="7"/>
      <c r="C42" s="8" t="s">
        <v>58</v>
      </c>
      <c r="D42" s="6" t="s">
        <v>20</v>
      </c>
      <c r="E42" s="6" t="s">
        <v>20</v>
      </c>
      <c r="F42" s="9" t="s">
        <v>20</v>
      </c>
      <c r="G42" s="10">
        <v>4859</v>
      </c>
      <c r="H42" s="11" t="s">
        <v>262</v>
      </c>
      <c r="I42" s="16" t="s">
        <v>31</v>
      </c>
      <c r="J42" s="16" t="s">
        <v>62</v>
      </c>
      <c r="K42" s="17" t="s">
        <v>20</v>
      </c>
      <c r="L42" s="17" t="s">
        <v>20</v>
      </c>
      <c r="M42" s="18" t="s">
        <v>20</v>
      </c>
      <c r="N42" s="18" t="s">
        <v>20</v>
      </c>
    </row>
    <row r="43" s="1" customFormat="1" ht="15.75" customHeight="1" spans="1:14">
      <c r="A43" s="6" t="s">
        <v>130</v>
      </c>
      <c r="B43" s="7"/>
      <c r="C43" s="8" t="s">
        <v>58</v>
      </c>
      <c r="D43" s="6" t="s">
        <v>20</v>
      </c>
      <c r="E43" s="6" t="s">
        <v>20</v>
      </c>
      <c r="F43" s="9" t="s">
        <v>20</v>
      </c>
      <c r="G43" s="10">
        <v>3775</v>
      </c>
      <c r="H43" s="11" t="s">
        <v>262</v>
      </c>
      <c r="I43" s="16" t="s">
        <v>31</v>
      </c>
      <c r="J43" s="16" t="s">
        <v>62</v>
      </c>
      <c r="K43" s="17" t="s">
        <v>20</v>
      </c>
      <c r="L43" s="17" t="s">
        <v>20</v>
      </c>
      <c r="M43" s="18" t="s">
        <v>20</v>
      </c>
      <c r="N43" s="18" t="s">
        <v>20</v>
      </c>
    </row>
    <row r="44" s="1" customFormat="1" ht="15.75" customHeight="1" spans="1:14">
      <c r="A44" s="6" t="s">
        <v>130</v>
      </c>
      <c r="B44" s="7"/>
      <c r="C44" s="8" t="s">
        <v>28</v>
      </c>
      <c r="D44" s="6" t="s">
        <v>20</v>
      </c>
      <c r="E44" s="6" t="s">
        <v>20</v>
      </c>
      <c r="F44" s="9" t="s">
        <v>20</v>
      </c>
      <c r="G44" s="10">
        <v>1820.15</v>
      </c>
      <c r="H44" s="11" t="s">
        <v>30</v>
      </c>
      <c r="I44" s="15" t="s">
        <v>31</v>
      </c>
      <c r="J44" s="16" t="s">
        <v>32</v>
      </c>
      <c r="K44" s="17" t="s">
        <v>20</v>
      </c>
      <c r="L44" s="17" t="s">
        <v>20</v>
      </c>
      <c r="M44" s="18" t="s">
        <v>20</v>
      </c>
      <c r="N44" s="18" t="s">
        <v>20</v>
      </c>
    </row>
    <row r="45" s="1" customFormat="1" ht="15.75" customHeight="1" spans="1:14">
      <c r="A45" s="6" t="s">
        <v>130</v>
      </c>
      <c r="B45" s="7"/>
      <c r="C45" s="8" t="s">
        <v>28</v>
      </c>
      <c r="D45" s="6" t="s">
        <v>20</v>
      </c>
      <c r="E45" s="6" t="s">
        <v>20</v>
      </c>
      <c r="F45" s="9" t="s">
        <v>20</v>
      </c>
      <c r="G45" s="10">
        <v>1818.46</v>
      </c>
      <c r="H45" s="11" t="s">
        <v>30</v>
      </c>
      <c r="I45" s="15" t="s">
        <v>31</v>
      </c>
      <c r="J45" s="16" t="s">
        <v>32</v>
      </c>
      <c r="K45" s="17" t="s">
        <v>20</v>
      </c>
      <c r="L45" s="17" t="s">
        <v>20</v>
      </c>
      <c r="M45" s="18" t="s">
        <v>20</v>
      </c>
      <c r="N45" s="18" t="s">
        <v>20</v>
      </c>
    </row>
    <row r="46" s="1" customFormat="1" ht="15.75" customHeight="1" spans="1:14">
      <c r="A46" s="6" t="s">
        <v>130</v>
      </c>
      <c r="B46" s="7"/>
      <c r="C46" s="8" t="s">
        <v>28</v>
      </c>
      <c r="D46" s="6" t="s">
        <v>20</v>
      </c>
      <c r="E46" s="6" t="s">
        <v>20</v>
      </c>
      <c r="F46" s="9" t="s">
        <v>20</v>
      </c>
      <c r="G46" s="10">
        <v>2479.78</v>
      </c>
      <c r="H46" s="11" t="s">
        <v>30</v>
      </c>
      <c r="I46" s="15" t="s">
        <v>31</v>
      </c>
      <c r="J46" s="16" t="s">
        <v>32</v>
      </c>
      <c r="K46" s="17" t="s">
        <v>20</v>
      </c>
      <c r="L46" s="17" t="s">
        <v>20</v>
      </c>
      <c r="M46" s="18" t="s">
        <v>20</v>
      </c>
      <c r="N46" s="18" t="s">
        <v>20</v>
      </c>
    </row>
    <row r="47" s="1" customFormat="1" ht="15.75" customHeight="1" spans="1:14">
      <c r="A47" s="6" t="s">
        <v>130</v>
      </c>
      <c r="B47" s="7"/>
      <c r="C47" s="8" t="s">
        <v>28</v>
      </c>
      <c r="D47" s="6" t="s">
        <v>20</v>
      </c>
      <c r="E47" s="6" t="s">
        <v>20</v>
      </c>
      <c r="F47" s="9" t="s">
        <v>20</v>
      </c>
      <c r="G47" s="10">
        <v>119219.15</v>
      </c>
      <c r="H47" s="11" t="s">
        <v>265</v>
      </c>
      <c r="I47" s="15" t="s">
        <v>31</v>
      </c>
      <c r="J47" s="16" t="s">
        <v>35</v>
      </c>
      <c r="K47" s="17" t="s">
        <v>20</v>
      </c>
      <c r="L47" s="17" t="s">
        <v>20</v>
      </c>
      <c r="M47" s="18" t="s">
        <v>20</v>
      </c>
      <c r="N47" s="18" t="s">
        <v>20</v>
      </c>
    </row>
    <row r="48" s="1" customFormat="1" ht="15.75" customHeight="1" spans="1:14">
      <c r="A48" s="6" t="s">
        <v>130</v>
      </c>
      <c r="B48" s="7"/>
      <c r="C48" s="8" t="s">
        <v>15</v>
      </c>
      <c r="D48" s="6" t="s">
        <v>20</v>
      </c>
      <c r="E48" s="6" t="s">
        <v>20</v>
      </c>
      <c r="F48" s="9">
        <v>22.54</v>
      </c>
      <c r="G48" s="10" t="s">
        <v>20</v>
      </c>
      <c r="H48" s="11" t="s">
        <v>136</v>
      </c>
      <c r="I48" s="119" t="s">
        <v>38</v>
      </c>
      <c r="J48" s="120" t="s">
        <v>48</v>
      </c>
      <c r="K48" s="111"/>
      <c r="L48" s="111"/>
      <c r="M48" s="121">
        <v>45881</v>
      </c>
      <c r="N48" s="18" t="s">
        <v>20</v>
      </c>
    </row>
    <row r="49" s="1" customFormat="1" ht="15.75" customHeight="1" spans="1:14">
      <c r="A49" s="6" t="s">
        <v>141</v>
      </c>
      <c r="B49" s="7"/>
      <c r="C49" s="8" t="s">
        <v>28</v>
      </c>
      <c r="D49" s="6" t="s">
        <v>24</v>
      </c>
      <c r="E49" s="6"/>
      <c r="F49" s="9"/>
      <c r="G49" s="10">
        <v>2475.48</v>
      </c>
      <c r="H49" s="11" t="s">
        <v>80</v>
      </c>
      <c r="I49" s="15" t="s">
        <v>31</v>
      </c>
      <c r="J49" s="16" t="s">
        <v>81</v>
      </c>
      <c r="K49" s="17"/>
      <c r="L49" s="17"/>
      <c r="M49" s="18"/>
      <c r="N49" s="18"/>
    </row>
    <row r="50" s="1" customFormat="1" ht="15.75" customHeight="1" spans="1:14">
      <c r="A50" s="6" t="s">
        <v>141</v>
      </c>
      <c r="B50" s="7"/>
      <c r="C50" s="8" t="s">
        <v>15</v>
      </c>
      <c r="D50" s="6" t="s">
        <v>24</v>
      </c>
      <c r="E50" s="6"/>
      <c r="F50" s="9">
        <v>-118.53</v>
      </c>
      <c r="G50" s="10"/>
      <c r="H50" s="11" t="s">
        <v>280</v>
      </c>
      <c r="I50" s="15" t="s">
        <v>191</v>
      </c>
      <c r="J50" s="16" t="s">
        <v>281</v>
      </c>
      <c r="K50" s="17" t="s">
        <v>46</v>
      </c>
      <c r="L50" s="17"/>
      <c r="M50" s="121"/>
      <c r="N50" s="18"/>
    </row>
    <row r="51" s="1" customFormat="1" ht="15.75" customHeight="1" spans="1:14">
      <c r="A51" s="6" t="s">
        <v>141</v>
      </c>
      <c r="B51" s="7"/>
      <c r="C51" s="8" t="s">
        <v>58</v>
      </c>
      <c r="D51" s="6" t="s">
        <v>24</v>
      </c>
      <c r="E51" s="6"/>
      <c r="F51" s="9"/>
      <c r="G51" s="10">
        <v>6117</v>
      </c>
      <c r="H51" s="11" t="s">
        <v>282</v>
      </c>
      <c r="I51" s="15" t="s">
        <v>31</v>
      </c>
      <c r="J51" s="16" t="s">
        <v>62</v>
      </c>
      <c r="K51" s="17"/>
      <c r="L51" s="17"/>
      <c r="M51" s="18"/>
      <c r="N51" s="18"/>
    </row>
    <row r="52" s="1" customFormat="1" ht="29.25" customHeight="1" spans="1:14">
      <c r="A52" s="6" t="s">
        <v>141</v>
      </c>
      <c r="B52" s="7"/>
      <c r="C52" s="8" t="s">
        <v>28</v>
      </c>
      <c r="D52" s="6" t="s">
        <v>24</v>
      </c>
      <c r="E52" s="6"/>
      <c r="F52" s="9"/>
      <c r="G52" s="10">
        <v>1729.85</v>
      </c>
      <c r="H52" s="11" t="s">
        <v>30</v>
      </c>
      <c r="I52" s="15" t="s">
        <v>31</v>
      </c>
      <c r="J52" s="16" t="s">
        <v>32</v>
      </c>
      <c r="K52" s="17"/>
      <c r="L52" s="17"/>
      <c r="M52" s="18"/>
      <c r="N52" s="18"/>
    </row>
    <row r="53" s="1" customFormat="1" ht="15.75" customHeight="1" spans="1:14">
      <c r="A53" s="6" t="s">
        <v>141</v>
      </c>
      <c r="B53" s="7"/>
      <c r="C53" s="8" t="s">
        <v>28</v>
      </c>
      <c r="D53" s="6" t="s">
        <v>24</v>
      </c>
      <c r="E53" s="6"/>
      <c r="F53" s="9"/>
      <c r="G53" s="10">
        <v>24608.23</v>
      </c>
      <c r="H53" s="11" t="s">
        <v>265</v>
      </c>
      <c r="I53" s="15" t="s">
        <v>31</v>
      </c>
      <c r="J53" s="16" t="s">
        <v>35</v>
      </c>
      <c r="K53" s="17"/>
      <c r="L53" s="17"/>
      <c r="M53" s="18"/>
      <c r="N53" s="18"/>
    </row>
    <row r="54" s="1" customFormat="1" ht="15.75" customHeight="1" spans="1:14">
      <c r="A54" s="6" t="s">
        <v>144</v>
      </c>
      <c r="B54" s="7"/>
      <c r="C54" s="8" t="s">
        <v>28</v>
      </c>
      <c r="D54" s="6" t="s">
        <v>24</v>
      </c>
      <c r="E54" s="6"/>
      <c r="F54" s="9"/>
      <c r="G54" s="10">
        <v>391.92</v>
      </c>
      <c r="H54" s="11" t="s">
        <v>114</v>
      </c>
      <c r="I54" s="15" t="s">
        <v>31</v>
      </c>
      <c r="J54" s="16" t="s">
        <v>115</v>
      </c>
      <c r="K54" s="17"/>
      <c r="L54" s="17"/>
      <c r="M54" s="18"/>
      <c r="N54" s="18"/>
    </row>
    <row r="55" s="1" customFormat="1" ht="15.75" customHeight="1" spans="1:14">
      <c r="A55" s="6" t="s">
        <v>144</v>
      </c>
      <c r="B55" s="7"/>
      <c r="C55" s="8" t="s">
        <v>58</v>
      </c>
      <c r="D55" s="6" t="s">
        <v>24</v>
      </c>
      <c r="E55" s="6"/>
      <c r="F55" s="9"/>
      <c r="G55" s="10">
        <v>6039</v>
      </c>
      <c r="H55" s="11" t="s">
        <v>262</v>
      </c>
      <c r="I55" s="15" t="s">
        <v>31</v>
      </c>
      <c r="J55" s="16" t="s">
        <v>62</v>
      </c>
      <c r="K55" s="17"/>
      <c r="L55" s="17"/>
      <c r="M55" s="18"/>
      <c r="N55" s="18"/>
    </row>
    <row r="56" s="1" customFormat="1" ht="15.75" customHeight="1" spans="1:14">
      <c r="A56" s="6" t="s">
        <v>144</v>
      </c>
      <c r="B56" s="7"/>
      <c r="C56" s="8" t="s">
        <v>28</v>
      </c>
      <c r="D56" s="6" t="s">
        <v>24</v>
      </c>
      <c r="E56" s="6"/>
      <c r="F56" s="9"/>
      <c r="G56" s="10">
        <v>1952.31</v>
      </c>
      <c r="H56" s="11" t="s">
        <v>30</v>
      </c>
      <c r="I56" s="15" t="s">
        <v>31</v>
      </c>
      <c r="J56" s="16" t="s">
        <v>32</v>
      </c>
      <c r="K56" s="17"/>
      <c r="L56" s="17"/>
      <c r="M56" s="18"/>
      <c r="N56" s="18"/>
    </row>
    <row r="57" s="1" customFormat="1" ht="15.75" customHeight="1" spans="1:14">
      <c r="A57" s="6" t="s">
        <v>144</v>
      </c>
      <c r="B57" s="7"/>
      <c r="C57" s="8" t="s">
        <v>28</v>
      </c>
      <c r="D57" s="6" t="s">
        <v>24</v>
      </c>
      <c r="E57" s="6"/>
      <c r="F57" s="9"/>
      <c r="G57" s="10">
        <v>18.05</v>
      </c>
      <c r="H57" s="11" t="s">
        <v>277</v>
      </c>
      <c r="I57" s="15" t="s">
        <v>31</v>
      </c>
      <c r="J57" s="16" t="s">
        <v>125</v>
      </c>
      <c r="K57" s="17"/>
      <c r="L57" s="17"/>
      <c r="M57" s="18"/>
      <c r="N57" s="18"/>
    </row>
    <row r="58" s="1" customFormat="1" ht="15.75" customHeight="1" spans="1:14">
      <c r="A58" s="6" t="s">
        <v>144</v>
      </c>
      <c r="B58" s="7"/>
      <c r="C58" s="8" t="s">
        <v>28</v>
      </c>
      <c r="D58" s="6" t="s">
        <v>24</v>
      </c>
      <c r="E58" s="6"/>
      <c r="F58" s="9"/>
      <c r="G58" s="10">
        <v>47.47</v>
      </c>
      <c r="H58" s="11" t="s">
        <v>277</v>
      </c>
      <c r="I58" s="15" t="s">
        <v>31</v>
      </c>
      <c r="J58" s="16" t="s">
        <v>125</v>
      </c>
      <c r="K58" s="17"/>
      <c r="L58" s="17"/>
      <c r="M58" s="18"/>
      <c r="N58" s="18"/>
    </row>
    <row r="59" s="1" customFormat="1" ht="15.75" customHeight="1" spans="1:14">
      <c r="A59" s="6" t="s">
        <v>144</v>
      </c>
      <c r="B59" s="7"/>
      <c r="C59" s="8" t="s">
        <v>28</v>
      </c>
      <c r="D59" s="6" t="s">
        <v>24</v>
      </c>
      <c r="E59" s="6"/>
      <c r="F59" s="9"/>
      <c r="G59" s="10">
        <v>27410.97</v>
      </c>
      <c r="H59" s="11" t="s">
        <v>265</v>
      </c>
      <c r="I59" s="15" t="s">
        <v>31</v>
      </c>
      <c r="J59" s="16" t="s">
        <v>35</v>
      </c>
      <c r="K59" s="17"/>
      <c r="L59" s="17"/>
      <c r="M59" s="18"/>
      <c r="N59" s="18"/>
    </row>
    <row r="60" s="1" customFormat="1" ht="15.75" customHeight="1" spans="1:14">
      <c r="A60" s="6" t="s">
        <v>149</v>
      </c>
      <c r="B60" s="7"/>
      <c r="C60" s="8" t="s">
        <v>28</v>
      </c>
      <c r="D60" s="6" t="s">
        <v>283</v>
      </c>
      <c r="E60" s="6"/>
      <c r="F60" s="9"/>
      <c r="G60" s="10">
        <v>3075.62</v>
      </c>
      <c r="H60" s="11" t="s">
        <v>30</v>
      </c>
      <c r="I60" s="15" t="s">
        <v>31</v>
      </c>
      <c r="J60" s="16" t="s">
        <v>32</v>
      </c>
      <c r="K60" s="17"/>
      <c r="L60" s="17"/>
      <c r="M60" s="18"/>
      <c r="N60" s="18"/>
    </row>
    <row r="61" s="1" customFormat="1" ht="15.75" customHeight="1" spans="1:14">
      <c r="A61" s="6" t="s">
        <v>149</v>
      </c>
      <c r="B61" s="7"/>
      <c r="C61" s="8" t="s">
        <v>28</v>
      </c>
      <c r="D61" s="6" t="s">
        <v>264</v>
      </c>
      <c r="E61" s="6"/>
      <c r="F61" s="9"/>
      <c r="G61" s="10">
        <v>24681.05</v>
      </c>
      <c r="H61" s="11" t="s">
        <v>265</v>
      </c>
      <c r="I61" s="15" t="s">
        <v>31</v>
      </c>
      <c r="J61" s="16" t="s">
        <v>35</v>
      </c>
      <c r="K61" s="17"/>
      <c r="L61" s="17"/>
      <c r="M61" s="18"/>
      <c r="N61" s="18"/>
    </row>
    <row r="62" s="1" customFormat="1" ht="15.75" customHeight="1" spans="1:14">
      <c r="A62" s="6" t="s">
        <v>149</v>
      </c>
      <c r="B62" s="7"/>
      <c r="C62" s="8" t="s">
        <v>58</v>
      </c>
      <c r="D62" s="6" t="s">
        <v>24</v>
      </c>
      <c r="E62" s="6"/>
      <c r="F62" s="9"/>
      <c r="G62" s="10">
        <v>5250.8</v>
      </c>
      <c r="H62" s="11" t="s">
        <v>284</v>
      </c>
      <c r="I62" s="15" t="s">
        <v>31</v>
      </c>
      <c r="J62" s="16" t="s">
        <v>62</v>
      </c>
      <c r="K62" s="17"/>
      <c r="L62" s="17"/>
      <c r="M62" s="18"/>
      <c r="N62" s="18"/>
    </row>
    <row r="63" s="1" customFormat="1" ht="15.75" customHeight="1" spans="1:14">
      <c r="A63" s="6" t="s">
        <v>149</v>
      </c>
      <c r="B63" s="7"/>
      <c r="C63" s="8" t="s">
        <v>63</v>
      </c>
      <c r="D63" s="6" t="s">
        <v>24</v>
      </c>
      <c r="E63" s="6"/>
      <c r="F63" s="9">
        <v>-200000</v>
      </c>
      <c r="G63" s="10"/>
      <c r="H63" s="11" t="s">
        <v>229</v>
      </c>
      <c r="I63" s="15" t="s">
        <v>65</v>
      </c>
      <c r="J63" s="16" t="s">
        <v>285</v>
      </c>
      <c r="K63" s="17"/>
      <c r="L63" s="17"/>
      <c r="M63" s="18"/>
      <c r="N63" s="18"/>
    </row>
    <row r="64" s="1" customFormat="1" ht="15.75" customHeight="1" spans="1:14">
      <c r="A64" s="6" t="s">
        <v>158</v>
      </c>
      <c r="B64" s="7"/>
      <c r="C64" s="8" t="s">
        <v>15</v>
      </c>
      <c r="D64" s="6" t="s">
        <v>286</v>
      </c>
      <c r="E64" s="6"/>
      <c r="F64" s="9">
        <v>-52.48</v>
      </c>
      <c r="G64" s="10"/>
      <c r="H64" s="11" t="s">
        <v>160</v>
      </c>
      <c r="I64" s="15" t="s">
        <v>161</v>
      </c>
      <c r="J64" s="16" t="s">
        <v>162</v>
      </c>
      <c r="K64" s="17" t="s">
        <v>20</v>
      </c>
      <c r="L64" s="17" t="s">
        <v>20</v>
      </c>
      <c r="M64" s="18">
        <v>45888</v>
      </c>
      <c r="N64" s="18"/>
    </row>
    <row r="65" s="1" customFormat="1" ht="15.75" customHeight="1" spans="1:14">
      <c r="A65" s="6" t="s">
        <v>158</v>
      </c>
      <c r="B65" s="7"/>
      <c r="C65" s="8" t="s">
        <v>15</v>
      </c>
      <c r="D65" s="6" t="s">
        <v>287</v>
      </c>
      <c r="E65" s="6"/>
      <c r="F65" s="9">
        <v>-521.67</v>
      </c>
      <c r="G65" s="10"/>
      <c r="H65" s="11" t="s">
        <v>288</v>
      </c>
      <c r="I65" s="15" t="s">
        <v>202</v>
      </c>
      <c r="J65" s="16" t="s">
        <v>289</v>
      </c>
      <c r="K65" s="17"/>
      <c r="L65" s="17" t="s">
        <v>21</v>
      </c>
      <c r="M65" s="18">
        <v>45888</v>
      </c>
      <c r="N65" s="18"/>
    </row>
    <row r="66" s="1" customFormat="1" ht="15.75" customHeight="1" spans="1:14">
      <c r="A66" s="6" t="s">
        <v>158</v>
      </c>
      <c r="B66" s="7"/>
      <c r="C66" s="8" t="s">
        <v>58</v>
      </c>
      <c r="D66" s="6" t="s">
        <v>24</v>
      </c>
      <c r="E66" s="6"/>
      <c r="F66" s="9"/>
      <c r="G66" s="10">
        <v>4173.85</v>
      </c>
      <c r="H66" s="11" t="s">
        <v>262</v>
      </c>
      <c r="I66" s="15" t="s">
        <v>31</v>
      </c>
      <c r="J66" s="16" t="s">
        <v>62</v>
      </c>
      <c r="K66" s="17"/>
      <c r="L66" s="17"/>
      <c r="M66" s="18"/>
      <c r="N66" s="18"/>
    </row>
    <row r="67" s="1" customFormat="1" ht="15.75" customHeight="1" spans="1:14">
      <c r="A67" s="6" t="s">
        <v>158</v>
      </c>
      <c r="B67" s="7"/>
      <c r="C67" s="8" t="s">
        <v>28</v>
      </c>
      <c r="D67" s="6" t="s">
        <v>290</v>
      </c>
      <c r="E67" s="6"/>
      <c r="F67" s="9"/>
      <c r="G67" s="10">
        <v>1423.2</v>
      </c>
      <c r="H67" s="11" t="s">
        <v>30</v>
      </c>
      <c r="I67" s="15" t="s">
        <v>31</v>
      </c>
      <c r="J67" s="16" t="s">
        <v>32</v>
      </c>
      <c r="K67" s="17"/>
      <c r="L67" s="17"/>
      <c r="M67" s="18"/>
      <c r="N67" s="18"/>
    </row>
    <row r="68" s="1" customFormat="1" ht="15.75" customHeight="1" spans="1:14">
      <c r="A68" s="6" t="s">
        <v>158</v>
      </c>
      <c r="B68" s="7"/>
      <c r="C68" s="8" t="s">
        <v>28</v>
      </c>
      <c r="D68" s="6" t="s">
        <v>264</v>
      </c>
      <c r="E68" s="6"/>
      <c r="F68" s="9"/>
      <c r="G68" s="10">
        <v>28102.06</v>
      </c>
      <c r="H68" s="11" t="s">
        <v>265</v>
      </c>
      <c r="I68" s="15" t="s">
        <v>31</v>
      </c>
      <c r="J68" s="16" t="s">
        <v>35</v>
      </c>
      <c r="K68" s="17"/>
      <c r="L68" s="17"/>
      <c r="M68" s="18"/>
      <c r="N68" s="18"/>
    </row>
    <row r="69" s="1" customFormat="1" ht="15.75" customHeight="1" spans="1:14">
      <c r="A69" s="6" t="s">
        <v>166</v>
      </c>
      <c r="B69" s="7"/>
      <c r="C69" s="8" t="s">
        <v>58</v>
      </c>
      <c r="D69" s="6" t="s">
        <v>24</v>
      </c>
      <c r="E69" s="6"/>
      <c r="F69" s="9"/>
      <c r="G69" s="10">
        <v>3480.05</v>
      </c>
      <c r="H69" s="11" t="s">
        <v>262</v>
      </c>
      <c r="I69" s="15" t="s">
        <v>31</v>
      </c>
      <c r="J69" s="16" t="s">
        <v>62</v>
      </c>
      <c r="K69" s="17"/>
      <c r="L69" s="17"/>
      <c r="M69" s="18"/>
      <c r="N69" s="18"/>
    </row>
    <row r="70" s="1" customFormat="1" ht="15.75" customHeight="1" spans="1:14">
      <c r="A70" s="6" t="s">
        <v>166</v>
      </c>
      <c r="B70" s="7"/>
      <c r="C70" s="8" t="s">
        <v>15</v>
      </c>
      <c r="D70" s="6" t="s">
        <v>24</v>
      </c>
      <c r="E70" s="6"/>
      <c r="F70" s="9">
        <v>-4841.56</v>
      </c>
      <c r="G70" s="10"/>
      <c r="H70" s="11" t="s">
        <v>272</v>
      </c>
      <c r="I70" s="15" t="s">
        <v>52</v>
      </c>
      <c r="J70" s="16" t="s">
        <v>211</v>
      </c>
      <c r="K70" s="17" t="s">
        <v>20</v>
      </c>
      <c r="L70" s="17" t="s">
        <v>98</v>
      </c>
      <c r="M70" s="18">
        <v>45888</v>
      </c>
      <c r="N70" s="18"/>
    </row>
    <row r="71" s="1" customFormat="1" ht="15.75" customHeight="1" spans="1:14">
      <c r="A71" s="6" t="s">
        <v>166</v>
      </c>
      <c r="B71" s="7"/>
      <c r="C71" s="8" t="s">
        <v>58</v>
      </c>
      <c r="D71" s="6" t="s">
        <v>24</v>
      </c>
      <c r="E71" s="6"/>
      <c r="F71" s="9"/>
      <c r="G71" s="10">
        <v>6185</v>
      </c>
      <c r="H71" s="11" t="s">
        <v>262</v>
      </c>
      <c r="I71" s="15" t="s">
        <v>31</v>
      </c>
      <c r="J71" s="16" t="s">
        <v>62</v>
      </c>
      <c r="K71" s="17"/>
      <c r="L71" s="17"/>
      <c r="M71" s="18"/>
      <c r="N71" s="18"/>
    </row>
    <row r="72" s="1" customFormat="1" ht="15.75" customHeight="1" spans="1:14">
      <c r="A72" s="6" t="s">
        <v>166</v>
      </c>
      <c r="B72" s="7"/>
      <c r="C72" s="8" t="s">
        <v>58</v>
      </c>
      <c r="D72" s="6" t="s">
        <v>24</v>
      </c>
      <c r="E72" s="6"/>
      <c r="F72" s="9"/>
      <c r="G72" s="10">
        <v>8.5</v>
      </c>
      <c r="H72" s="11" t="s">
        <v>262</v>
      </c>
      <c r="I72" s="15" t="s">
        <v>31</v>
      </c>
      <c r="J72" s="16" t="s">
        <v>62</v>
      </c>
      <c r="K72" s="17"/>
      <c r="L72" s="17"/>
      <c r="M72" s="18"/>
      <c r="N72" s="18"/>
    </row>
    <row r="73" s="1" customFormat="1" ht="45.75" customHeight="1" spans="1:14">
      <c r="A73" s="6" t="s">
        <v>166</v>
      </c>
      <c r="B73" s="7"/>
      <c r="C73" s="8" t="s">
        <v>58</v>
      </c>
      <c r="D73" s="6" t="s">
        <v>24</v>
      </c>
      <c r="E73" s="6"/>
      <c r="F73" s="9"/>
      <c r="G73" s="10">
        <v>7135.2</v>
      </c>
      <c r="H73" s="11" t="s">
        <v>262</v>
      </c>
      <c r="I73" s="15" t="s">
        <v>31</v>
      </c>
      <c r="J73" s="16" t="s">
        <v>62</v>
      </c>
      <c r="K73" s="17"/>
      <c r="L73" s="17"/>
      <c r="M73" s="18"/>
      <c r="N73" s="18"/>
    </row>
    <row r="74" s="1" customFormat="1" ht="15.75" customHeight="1" spans="1:14">
      <c r="A74" s="6" t="s">
        <v>166</v>
      </c>
      <c r="B74" s="7"/>
      <c r="C74" s="8" t="s">
        <v>28</v>
      </c>
      <c r="D74" s="6" t="s">
        <v>24</v>
      </c>
      <c r="E74" s="6"/>
      <c r="F74" s="9"/>
      <c r="G74" s="10">
        <v>2627.46</v>
      </c>
      <c r="H74" s="11" t="s">
        <v>30</v>
      </c>
      <c r="I74" s="15" t="s">
        <v>31</v>
      </c>
      <c r="J74" s="16" t="s">
        <v>32</v>
      </c>
      <c r="K74" s="17"/>
      <c r="L74" s="17"/>
      <c r="M74" s="18"/>
      <c r="N74" s="18"/>
    </row>
    <row r="75" s="1" customFormat="1" ht="15.75" customHeight="1" spans="1:14">
      <c r="A75" s="6" t="s">
        <v>166</v>
      </c>
      <c r="B75" s="7"/>
      <c r="C75" s="8" t="s">
        <v>28</v>
      </c>
      <c r="D75" s="6" t="s">
        <v>24</v>
      </c>
      <c r="E75" s="6"/>
      <c r="F75" s="9"/>
      <c r="G75" s="10">
        <v>3751.53</v>
      </c>
      <c r="H75" s="11" t="s">
        <v>30</v>
      </c>
      <c r="I75" s="15" t="s">
        <v>31</v>
      </c>
      <c r="J75" s="16" t="s">
        <v>32</v>
      </c>
      <c r="K75" s="17"/>
      <c r="L75" s="17"/>
      <c r="M75" s="18"/>
      <c r="N75" s="18"/>
    </row>
    <row r="76" s="1" customFormat="1" ht="15.75" customHeight="1" spans="1:14">
      <c r="A76" s="6" t="s">
        <v>166</v>
      </c>
      <c r="B76" s="7"/>
      <c r="C76" s="8" t="s">
        <v>28</v>
      </c>
      <c r="D76" s="6" t="s">
        <v>24</v>
      </c>
      <c r="E76" s="6"/>
      <c r="F76" s="9"/>
      <c r="G76" s="10">
        <v>0.2</v>
      </c>
      <c r="H76" s="11" t="s">
        <v>277</v>
      </c>
      <c r="I76" s="15" t="s">
        <v>31</v>
      </c>
      <c r="J76" s="16" t="s">
        <v>125</v>
      </c>
      <c r="K76" s="17"/>
      <c r="L76" s="17"/>
      <c r="M76" s="18"/>
      <c r="N76" s="18"/>
    </row>
    <row r="77" s="1" customFormat="1" ht="15.75" customHeight="1" spans="1:14">
      <c r="A77" s="6" t="s">
        <v>166</v>
      </c>
      <c r="B77" s="7"/>
      <c r="C77" s="8" t="s">
        <v>28</v>
      </c>
      <c r="D77" s="6" t="s">
        <v>24</v>
      </c>
      <c r="E77" s="6"/>
      <c r="F77" s="9"/>
      <c r="G77" s="10">
        <v>1928.85</v>
      </c>
      <c r="H77" s="11" t="s">
        <v>30</v>
      </c>
      <c r="I77" s="15" t="s">
        <v>31</v>
      </c>
      <c r="J77" s="16" t="s">
        <v>32</v>
      </c>
      <c r="K77" s="17"/>
      <c r="L77" s="17"/>
      <c r="M77" s="18"/>
      <c r="N77" s="18"/>
    </row>
    <row r="78" s="1" customFormat="1" ht="15.75" customHeight="1" spans="1:14">
      <c r="A78" s="6" t="s">
        <v>166</v>
      </c>
      <c r="B78" s="7"/>
      <c r="C78" s="8" t="s">
        <v>28</v>
      </c>
      <c r="D78" s="6" t="s">
        <v>24</v>
      </c>
      <c r="E78" s="6"/>
      <c r="F78" s="9"/>
      <c r="G78" s="10">
        <v>122488.96</v>
      </c>
      <c r="H78" s="11" t="s">
        <v>265</v>
      </c>
      <c r="I78" s="15" t="s">
        <v>31</v>
      </c>
      <c r="J78" s="16" t="s">
        <v>35</v>
      </c>
      <c r="K78" s="17"/>
      <c r="L78" s="17"/>
      <c r="M78" s="18"/>
      <c r="N78" s="18"/>
    </row>
    <row r="79" s="1" customFormat="1" ht="15.75" customHeight="1" spans="1:14">
      <c r="A79" s="6" t="s">
        <v>166</v>
      </c>
      <c r="B79" s="7"/>
      <c r="C79" s="8" t="s">
        <v>15</v>
      </c>
      <c r="D79" s="6" t="s">
        <v>24</v>
      </c>
      <c r="E79" s="6"/>
      <c r="F79" s="9">
        <v>-310.75</v>
      </c>
      <c r="G79" s="10"/>
      <c r="H79" s="11" t="s">
        <v>266</v>
      </c>
      <c r="I79" s="15" t="s">
        <v>38</v>
      </c>
      <c r="J79" s="16" t="s">
        <v>48</v>
      </c>
      <c r="K79" s="17" t="s">
        <v>20</v>
      </c>
      <c r="L79" s="17" t="s">
        <v>21</v>
      </c>
      <c r="M79" s="18">
        <v>45888</v>
      </c>
      <c r="N79" s="18"/>
    </row>
    <row r="80" s="1" customFormat="1" ht="15.75" customHeight="1" spans="1:14">
      <c r="A80" s="6" t="s">
        <v>176</v>
      </c>
      <c r="B80" s="7"/>
      <c r="C80" s="8" t="s">
        <v>28</v>
      </c>
      <c r="D80" s="6" t="s">
        <v>24</v>
      </c>
      <c r="E80" s="6"/>
      <c r="F80" s="9"/>
      <c r="G80" s="10">
        <v>2484.47</v>
      </c>
      <c r="H80" s="11" t="s">
        <v>80</v>
      </c>
      <c r="I80" s="15" t="s">
        <v>31</v>
      </c>
      <c r="J80" s="16" t="s">
        <v>81</v>
      </c>
      <c r="K80" s="17"/>
      <c r="L80" s="17"/>
      <c r="M80" s="18"/>
      <c r="N80" s="18"/>
    </row>
    <row r="81" s="1" customFormat="1" ht="15.75" customHeight="1" spans="1:14">
      <c r="A81" s="6" t="s">
        <v>176</v>
      </c>
      <c r="B81" s="7"/>
      <c r="C81" s="8" t="s">
        <v>58</v>
      </c>
      <c r="D81" s="6" t="s">
        <v>24</v>
      </c>
      <c r="E81" s="6"/>
      <c r="F81" s="9"/>
      <c r="G81" s="10">
        <v>6655.35</v>
      </c>
      <c r="H81" s="11" t="s">
        <v>262</v>
      </c>
      <c r="I81" s="15" t="s">
        <v>31</v>
      </c>
      <c r="J81" s="16" t="s">
        <v>62</v>
      </c>
      <c r="K81" s="17"/>
      <c r="L81" s="17"/>
      <c r="M81" s="18"/>
      <c r="N81" s="18"/>
    </row>
    <row r="82" s="1" customFormat="1" ht="15.75" customHeight="1" spans="1:14">
      <c r="A82" s="6" t="s">
        <v>176</v>
      </c>
      <c r="B82" s="7"/>
      <c r="C82" s="8" t="s">
        <v>28</v>
      </c>
      <c r="D82" s="6" t="s">
        <v>24</v>
      </c>
      <c r="E82" s="6"/>
      <c r="F82" s="9"/>
      <c r="G82" s="10">
        <v>4106.94</v>
      </c>
      <c r="H82" s="11" t="s">
        <v>30</v>
      </c>
      <c r="I82" s="15" t="s">
        <v>31</v>
      </c>
      <c r="J82" s="16" t="s">
        <v>32</v>
      </c>
      <c r="K82" s="17"/>
      <c r="L82" s="17"/>
      <c r="M82" s="18"/>
      <c r="N82" s="18"/>
    </row>
    <row r="83" s="1" customFormat="1" ht="15.75" customHeight="1" spans="1:14">
      <c r="A83" s="6" t="s">
        <v>176</v>
      </c>
      <c r="B83" s="7"/>
      <c r="C83" s="8" t="s">
        <v>28</v>
      </c>
      <c r="D83" s="6" t="s">
        <v>24</v>
      </c>
      <c r="E83" s="6"/>
      <c r="F83" s="9"/>
      <c r="G83" s="10">
        <v>26121.21</v>
      </c>
      <c r="H83" s="11" t="s">
        <v>265</v>
      </c>
      <c r="I83" s="15" t="s">
        <v>31</v>
      </c>
      <c r="J83" s="16" t="s">
        <v>35</v>
      </c>
      <c r="K83" s="17"/>
      <c r="L83" s="17"/>
      <c r="M83" s="18"/>
      <c r="N83" s="18"/>
    </row>
    <row r="84" s="1" customFormat="1" ht="15.75" customHeight="1" spans="1:14">
      <c r="A84" s="6" t="s">
        <v>182</v>
      </c>
      <c r="B84" s="7"/>
      <c r="C84" s="8" t="s">
        <v>28</v>
      </c>
      <c r="D84" s="6" t="s">
        <v>24</v>
      </c>
      <c r="E84" s="6"/>
      <c r="F84" s="9"/>
      <c r="G84" s="10">
        <v>58.32</v>
      </c>
      <c r="H84" s="11" t="s">
        <v>114</v>
      </c>
      <c r="I84" s="15" t="s">
        <v>31</v>
      </c>
      <c r="J84" s="16" t="s">
        <v>115</v>
      </c>
      <c r="K84" s="17"/>
      <c r="L84" s="17"/>
      <c r="M84" s="18"/>
      <c r="N84" s="18"/>
    </row>
    <row r="85" s="1" customFormat="1" ht="15.75" customHeight="1" spans="1:14">
      <c r="A85" s="6" t="s">
        <v>182</v>
      </c>
      <c r="B85" s="7"/>
      <c r="C85" s="8" t="s">
        <v>28</v>
      </c>
      <c r="D85" s="6" t="s">
        <v>24</v>
      </c>
      <c r="E85" s="6"/>
      <c r="F85" s="9"/>
      <c r="G85" s="10">
        <v>440.19</v>
      </c>
      <c r="H85" s="11" t="s">
        <v>114</v>
      </c>
      <c r="I85" s="15" t="s">
        <v>31</v>
      </c>
      <c r="J85" s="16" t="s">
        <v>115</v>
      </c>
      <c r="K85" s="17"/>
      <c r="L85" s="17"/>
      <c r="M85" s="18"/>
      <c r="N85" s="18"/>
    </row>
    <row r="86" s="1" customFormat="1" ht="15.75" customHeight="1" spans="1:14">
      <c r="A86" s="6" t="s">
        <v>182</v>
      </c>
      <c r="B86" s="7"/>
      <c r="C86" s="8" t="s">
        <v>63</v>
      </c>
      <c r="D86" s="6" t="s">
        <v>24</v>
      </c>
      <c r="E86" s="6"/>
      <c r="F86" s="9">
        <v>-250000</v>
      </c>
      <c r="G86" s="10"/>
      <c r="H86" s="11" t="s">
        <v>229</v>
      </c>
      <c r="I86" s="15" t="s">
        <v>31</v>
      </c>
      <c r="J86" s="16" t="s">
        <v>115</v>
      </c>
      <c r="K86" s="17"/>
      <c r="L86" s="17"/>
      <c r="M86" s="18"/>
      <c r="N86" s="18"/>
    </row>
    <row r="87" s="1" customFormat="1" ht="15.75" customHeight="1" spans="1:14">
      <c r="A87" s="6" t="s">
        <v>182</v>
      </c>
      <c r="B87" s="7"/>
      <c r="C87" s="8" t="s">
        <v>58</v>
      </c>
      <c r="D87" s="6" t="s">
        <v>24</v>
      </c>
      <c r="E87" s="6"/>
      <c r="F87" s="9"/>
      <c r="G87" s="10">
        <v>6158</v>
      </c>
      <c r="H87" s="11" t="s">
        <v>262</v>
      </c>
      <c r="I87" s="15" t="s">
        <v>31</v>
      </c>
      <c r="J87" s="16" t="s">
        <v>62</v>
      </c>
      <c r="K87" s="17"/>
      <c r="L87" s="17"/>
      <c r="M87" s="18"/>
      <c r="N87" s="18"/>
    </row>
    <row r="88" s="1" customFormat="1" ht="15.75" customHeight="1" spans="1:14">
      <c r="A88" s="6" t="s">
        <v>182</v>
      </c>
      <c r="B88" s="7"/>
      <c r="C88" s="8" t="s">
        <v>28</v>
      </c>
      <c r="D88" s="6" t="s">
        <v>24</v>
      </c>
      <c r="E88" s="6"/>
      <c r="F88" s="9"/>
      <c r="G88" s="10">
        <v>1201.1</v>
      </c>
      <c r="H88" s="11" t="s">
        <v>30</v>
      </c>
      <c r="I88" s="15" t="s">
        <v>31</v>
      </c>
      <c r="J88" s="16" t="s">
        <v>32</v>
      </c>
      <c r="K88" s="17"/>
      <c r="L88" s="17"/>
      <c r="M88" s="18"/>
      <c r="N88" s="18"/>
    </row>
    <row r="89" s="1" customFormat="1" ht="15.75" customHeight="1" spans="1:14">
      <c r="A89" s="6" t="s">
        <v>182</v>
      </c>
      <c r="B89" s="7"/>
      <c r="C89" s="8" t="s">
        <v>28</v>
      </c>
      <c r="D89" s="6" t="s">
        <v>24</v>
      </c>
      <c r="E89" s="6"/>
      <c r="F89" s="9"/>
      <c r="G89" s="10">
        <v>26382.22</v>
      </c>
      <c r="H89" s="11" t="s">
        <v>265</v>
      </c>
      <c r="I89" s="15" t="s">
        <v>31</v>
      </c>
      <c r="J89" s="16" t="s">
        <v>35</v>
      </c>
      <c r="K89" s="17"/>
      <c r="L89" s="17"/>
      <c r="M89" s="18"/>
      <c r="N89" s="18"/>
    </row>
    <row r="90" s="1" customFormat="1" ht="15.75" customHeight="1" spans="1:14">
      <c r="A90" s="6" t="s">
        <v>182</v>
      </c>
      <c r="B90" s="7"/>
      <c r="C90" s="8" t="s">
        <v>28</v>
      </c>
      <c r="D90" s="6" t="s">
        <v>24</v>
      </c>
      <c r="E90" s="6"/>
      <c r="F90" s="9"/>
      <c r="G90" s="10">
        <v>113.75</v>
      </c>
      <c r="H90" s="11" t="s">
        <v>277</v>
      </c>
      <c r="I90" s="15" t="s">
        <v>31</v>
      </c>
      <c r="J90" s="16" t="s">
        <v>125</v>
      </c>
      <c r="K90" s="17"/>
      <c r="L90" s="17"/>
      <c r="M90" s="18"/>
      <c r="N90" s="18"/>
    </row>
    <row r="91" s="1" customFormat="1" ht="15.75" customHeight="1" spans="1:14">
      <c r="A91" s="6" t="s">
        <v>189</v>
      </c>
      <c r="B91" s="7"/>
      <c r="C91" s="8" t="s">
        <v>58</v>
      </c>
      <c r="D91" s="6" t="s">
        <v>24</v>
      </c>
      <c r="E91" s="6"/>
      <c r="F91" s="9"/>
      <c r="G91" s="10">
        <v>6851</v>
      </c>
      <c r="H91" s="11" t="s">
        <v>262</v>
      </c>
      <c r="I91" s="15" t="s">
        <v>31</v>
      </c>
      <c r="J91" s="16" t="s">
        <v>62</v>
      </c>
      <c r="K91" s="17"/>
      <c r="L91" s="17"/>
      <c r="M91" s="18"/>
      <c r="N91" s="18"/>
    </row>
    <row r="92" s="1" customFormat="1" ht="15.75" customHeight="1" spans="1:14">
      <c r="A92" s="6" t="s">
        <v>189</v>
      </c>
      <c r="B92" s="7"/>
      <c r="C92" s="8" t="s">
        <v>15</v>
      </c>
      <c r="D92" s="6" t="s">
        <v>24</v>
      </c>
      <c r="E92" s="6"/>
      <c r="F92" s="9">
        <v>-153966.67</v>
      </c>
      <c r="G92" s="10"/>
      <c r="H92" s="11" t="s">
        <v>272</v>
      </c>
      <c r="I92" s="15" t="s">
        <v>52</v>
      </c>
      <c r="J92" s="16" t="s">
        <v>291</v>
      </c>
      <c r="K92" s="17"/>
      <c r="L92" s="17"/>
      <c r="M92" s="18">
        <v>45891</v>
      </c>
      <c r="N92" s="18"/>
    </row>
    <row r="93" s="1" customFormat="1" ht="15.75" customHeight="1" spans="1:14">
      <c r="A93" s="6" t="s">
        <v>189</v>
      </c>
      <c r="B93" s="7"/>
      <c r="C93" s="8" t="s">
        <v>28</v>
      </c>
      <c r="D93" s="6" t="s">
        <v>24</v>
      </c>
      <c r="E93" s="6"/>
      <c r="F93" s="9"/>
      <c r="G93" s="10">
        <v>1196.88</v>
      </c>
      <c r="H93" s="11" t="s">
        <v>30</v>
      </c>
      <c r="I93" s="15" t="s">
        <v>31</v>
      </c>
      <c r="J93" s="16" t="s">
        <v>32</v>
      </c>
      <c r="K93" s="17"/>
      <c r="L93" s="17"/>
      <c r="M93" s="18"/>
      <c r="N93" s="18"/>
    </row>
    <row r="94" s="1" customFormat="1" ht="15.75" customHeight="1" spans="1:14">
      <c r="A94" s="6" t="s">
        <v>189</v>
      </c>
      <c r="B94" s="7"/>
      <c r="C94" s="8" t="s">
        <v>28</v>
      </c>
      <c r="D94" s="6" t="s">
        <v>24</v>
      </c>
      <c r="E94" s="6"/>
      <c r="F94" s="9"/>
      <c r="G94" s="10">
        <v>32327.15</v>
      </c>
      <c r="H94" s="11" t="s">
        <v>265</v>
      </c>
      <c r="I94" s="15" t="s">
        <v>31</v>
      </c>
      <c r="J94" s="16" t="s">
        <v>35</v>
      </c>
      <c r="K94" s="17"/>
      <c r="L94" s="17"/>
      <c r="M94" s="18"/>
      <c r="N94" s="18"/>
    </row>
    <row r="95" s="1" customFormat="1" ht="15.75" customHeight="1" spans="1:14">
      <c r="A95" s="6" t="s">
        <v>196</v>
      </c>
      <c r="B95" s="7"/>
      <c r="C95" s="8" t="s">
        <v>15</v>
      </c>
      <c r="D95" s="6" t="s">
        <v>24</v>
      </c>
      <c r="E95" s="6"/>
      <c r="F95" s="9">
        <v>-731.6</v>
      </c>
      <c r="G95" s="10"/>
      <c r="H95" s="11" t="s">
        <v>272</v>
      </c>
      <c r="I95" s="15" t="s">
        <v>52</v>
      </c>
      <c r="J95" s="16" t="s">
        <v>291</v>
      </c>
      <c r="K95" s="17"/>
      <c r="L95" s="17" t="s">
        <v>106</v>
      </c>
      <c r="M95" s="18">
        <v>45891</v>
      </c>
      <c r="N95" s="18"/>
    </row>
    <row r="96" s="1" customFormat="1" ht="15.75" customHeight="1" spans="1:14">
      <c r="A96" s="6" t="s">
        <v>196</v>
      </c>
      <c r="B96" s="7"/>
      <c r="C96" s="8" t="s">
        <v>58</v>
      </c>
      <c r="D96" s="6" t="s">
        <v>24</v>
      </c>
      <c r="E96" s="6"/>
      <c r="F96" s="9"/>
      <c r="G96" s="10">
        <v>4854.6</v>
      </c>
      <c r="H96" s="11" t="s">
        <v>262</v>
      </c>
      <c r="I96" s="15" t="s">
        <v>31</v>
      </c>
      <c r="J96" s="16" t="s">
        <v>62</v>
      </c>
      <c r="K96" s="17"/>
      <c r="L96" s="17"/>
      <c r="M96" s="18"/>
      <c r="N96" s="18"/>
    </row>
    <row r="97" s="1" customFormat="1" ht="15.75" customHeight="1" spans="1:14">
      <c r="A97" s="6" t="s">
        <v>196</v>
      </c>
      <c r="B97" s="7"/>
      <c r="C97" s="8" t="s">
        <v>50</v>
      </c>
      <c r="D97" s="6" t="s">
        <v>24</v>
      </c>
      <c r="E97" s="6"/>
      <c r="F97" s="9">
        <v>-73593.83</v>
      </c>
      <c r="G97" s="10"/>
      <c r="H97" s="11" t="s">
        <v>273</v>
      </c>
      <c r="I97" s="15" t="s">
        <v>52</v>
      </c>
      <c r="J97" s="16" t="s">
        <v>292</v>
      </c>
      <c r="K97" s="132" t="s">
        <v>293</v>
      </c>
      <c r="L97" s="17"/>
      <c r="M97" s="18">
        <v>45891</v>
      </c>
      <c r="N97" s="18"/>
    </row>
    <row r="98" s="1" customFormat="1" ht="15.75" customHeight="1" spans="1:14">
      <c r="A98" s="6" t="s">
        <v>196</v>
      </c>
      <c r="B98" s="7"/>
      <c r="C98" s="8" t="s">
        <v>28</v>
      </c>
      <c r="D98" s="6" t="s">
        <v>24</v>
      </c>
      <c r="E98" s="6"/>
      <c r="F98" s="9"/>
      <c r="G98" s="10">
        <v>71.19</v>
      </c>
      <c r="H98" s="11" t="s">
        <v>277</v>
      </c>
      <c r="I98" s="15" t="s">
        <v>31</v>
      </c>
      <c r="J98" s="16" t="s">
        <v>125</v>
      </c>
      <c r="K98" s="17"/>
      <c r="L98" s="17"/>
      <c r="M98" s="18"/>
      <c r="N98" s="18"/>
    </row>
    <row r="99" s="1" customFormat="1" ht="15.75" customHeight="1" spans="1:14">
      <c r="A99" s="6" t="s">
        <v>196</v>
      </c>
      <c r="B99" s="7"/>
      <c r="C99" s="8" t="s">
        <v>28</v>
      </c>
      <c r="D99" s="6" t="s">
        <v>24</v>
      </c>
      <c r="E99" s="6"/>
      <c r="F99" s="9"/>
      <c r="G99" s="10">
        <v>2003.43</v>
      </c>
      <c r="H99" s="11" t="s">
        <v>30</v>
      </c>
      <c r="I99" s="15" t="s">
        <v>31</v>
      </c>
      <c r="J99" s="16" t="s">
        <v>32</v>
      </c>
      <c r="K99" s="17"/>
      <c r="L99" s="17"/>
      <c r="M99" s="18"/>
      <c r="N99" s="18"/>
    </row>
    <row r="100" s="1" customFormat="1" ht="15.75" customHeight="1" spans="1:14">
      <c r="A100" s="6" t="s">
        <v>196</v>
      </c>
      <c r="B100" s="7"/>
      <c r="C100" s="8" t="s">
        <v>28</v>
      </c>
      <c r="D100" s="6" t="s">
        <v>24</v>
      </c>
      <c r="E100" s="6"/>
      <c r="F100" s="9"/>
      <c r="G100" s="10">
        <v>28616.77</v>
      </c>
      <c r="H100" s="11" t="s">
        <v>265</v>
      </c>
      <c r="I100" s="15" t="s">
        <v>31</v>
      </c>
      <c r="J100" s="16" t="s">
        <v>35</v>
      </c>
      <c r="K100" s="17"/>
      <c r="L100" s="17"/>
      <c r="M100" s="18"/>
      <c r="N100" s="18"/>
    </row>
    <row r="101" s="1" customFormat="1" ht="15.75" customHeight="1" spans="1:14">
      <c r="A101" s="6" t="s">
        <v>200</v>
      </c>
      <c r="B101" s="7"/>
      <c r="C101" s="8" t="s">
        <v>58</v>
      </c>
      <c r="D101" s="6" t="s">
        <v>24</v>
      </c>
      <c r="E101" s="6"/>
      <c r="F101" s="9"/>
      <c r="G101" s="10">
        <v>6770</v>
      </c>
      <c r="H101" s="11" t="s">
        <v>262</v>
      </c>
      <c r="I101" s="15" t="s">
        <v>31</v>
      </c>
      <c r="J101" s="16" t="s">
        <v>62</v>
      </c>
      <c r="K101" s="17"/>
      <c r="L101" s="17"/>
      <c r="M101" s="18"/>
      <c r="N101" s="18"/>
    </row>
    <row r="102" s="1" customFormat="1" ht="15.75" customHeight="1" spans="1:14">
      <c r="A102" s="6" t="s">
        <v>200</v>
      </c>
      <c r="B102" s="7"/>
      <c r="C102" s="8" t="s">
        <v>15</v>
      </c>
      <c r="D102" s="6" t="s">
        <v>24</v>
      </c>
      <c r="E102" s="6"/>
      <c r="F102" s="9">
        <v>-396.37</v>
      </c>
      <c r="G102" s="10"/>
      <c r="H102" s="11" t="s">
        <v>278</v>
      </c>
      <c r="I102" s="15" t="s">
        <v>18</v>
      </c>
      <c r="J102" s="16" t="s">
        <v>279</v>
      </c>
      <c r="K102" s="17" t="s">
        <v>205</v>
      </c>
      <c r="L102" s="17"/>
      <c r="M102" s="18"/>
      <c r="N102" s="18"/>
    </row>
    <row r="103" s="1" customFormat="1" ht="15.75" customHeight="1" spans="1:14">
      <c r="A103" s="6" t="s">
        <v>200</v>
      </c>
      <c r="B103" s="7"/>
      <c r="C103" s="8" t="s">
        <v>15</v>
      </c>
      <c r="D103" s="6" t="s">
        <v>24</v>
      </c>
      <c r="E103" s="6"/>
      <c r="F103" s="9">
        <v>-216.17</v>
      </c>
      <c r="G103" s="10"/>
      <c r="H103" s="11" t="s">
        <v>288</v>
      </c>
      <c r="I103" s="15" t="s">
        <v>202</v>
      </c>
      <c r="J103" s="16" t="s">
        <v>294</v>
      </c>
      <c r="K103" s="17" t="s">
        <v>20</v>
      </c>
      <c r="L103" s="17" t="s">
        <v>295</v>
      </c>
      <c r="M103" s="18" t="s">
        <v>146</v>
      </c>
      <c r="N103" s="18"/>
    </row>
    <row r="104" s="1" customFormat="1" ht="15.75" customHeight="1" spans="1:14">
      <c r="A104" s="6" t="s">
        <v>200</v>
      </c>
      <c r="B104" s="7"/>
      <c r="C104" s="8" t="s">
        <v>58</v>
      </c>
      <c r="D104" s="6" t="s">
        <v>24</v>
      </c>
      <c r="E104" s="6"/>
      <c r="F104" s="9"/>
      <c r="G104" s="10">
        <v>50</v>
      </c>
      <c r="H104" s="11" t="s">
        <v>262</v>
      </c>
      <c r="I104" s="15" t="s">
        <v>31</v>
      </c>
      <c r="J104" s="16" t="s">
        <v>296</v>
      </c>
      <c r="L104" s="17"/>
      <c r="M104" s="18"/>
      <c r="N104" s="18"/>
    </row>
    <row r="105" s="1" customFormat="1" ht="15.75" customHeight="1" spans="1:14">
      <c r="A105" s="6" t="s">
        <v>200</v>
      </c>
      <c r="B105" s="7"/>
      <c r="C105" s="8" t="s">
        <v>58</v>
      </c>
      <c r="D105" s="6" t="s">
        <v>24</v>
      </c>
      <c r="E105" s="6"/>
      <c r="F105" s="9"/>
      <c r="G105" s="10">
        <v>9096.25</v>
      </c>
      <c r="H105" s="11" t="s">
        <v>262</v>
      </c>
      <c r="I105" s="15" t="s">
        <v>31</v>
      </c>
      <c r="J105" s="16" t="s">
        <v>62</v>
      </c>
      <c r="K105" s="17"/>
      <c r="L105" s="17"/>
      <c r="M105" s="18"/>
      <c r="N105" s="18"/>
    </row>
    <row r="106" s="1" customFormat="1" ht="15.75" customHeight="1" spans="1:14">
      <c r="A106" s="6" t="s">
        <v>200</v>
      </c>
      <c r="B106" s="7"/>
      <c r="C106" s="8" t="s">
        <v>58</v>
      </c>
      <c r="D106" s="6" t="s">
        <v>24</v>
      </c>
      <c r="E106" s="6"/>
      <c r="F106" s="9"/>
      <c r="G106" s="10">
        <v>6140.55</v>
      </c>
      <c r="H106" s="11" t="s">
        <v>262</v>
      </c>
      <c r="I106" s="15" t="s">
        <v>31</v>
      </c>
      <c r="J106" s="16" t="s">
        <v>62</v>
      </c>
      <c r="K106" s="17"/>
      <c r="L106" s="17"/>
      <c r="M106" s="18"/>
      <c r="N106" s="18"/>
    </row>
    <row r="107" s="1" customFormat="1" ht="15.75" customHeight="1" spans="1:14">
      <c r="A107" s="6" t="s">
        <v>200</v>
      </c>
      <c r="B107" s="7"/>
      <c r="C107" s="8" t="s">
        <v>28</v>
      </c>
      <c r="D107" s="6" t="s">
        <v>24</v>
      </c>
      <c r="E107" s="6"/>
      <c r="F107" s="9"/>
      <c r="G107" s="10">
        <v>3539.49</v>
      </c>
      <c r="H107" s="11" t="s">
        <v>30</v>
      </c>
      <c r="I107" s="15" t="s">
        <v>31</v>
      </c>
      <c r="J107" s="16" t="s">
        <v>32</v>
      </c>
      <c r="K107" s="17"/>
      <c r="L107" s="17"/>
      <c r="M107" s="18"/>
      <c r="N107" s="18"/>
    </row>
    <row r="108" s="1" customFormat="1" ht="15.75" customHeight="1" spans="1:14">
      <c r="A108" s="6" t="s">
        <v>200</v>
      </c>
      <c r="B108" s="7"/>
      <c r="C108" s="8" t="s">
        <v>28</v>
      </c>
      <c r="D108" s="6" t="s">
        <v>24</v>
      </c>
      <c r="E108" s="6"/>
      <c r="F108" s="9"/>
      <c r="G108" s="10">
        <v>3705.4</v>
      </c>
      <c r="H108" s="11" t="s">
        <v>30</v>
      </c>
      <c r="I108" s="15" t="s">
        <v>31</v>
      </c>
      <c r="J108" s="16" t="s">
        <v>32</v>
      </c>
      <c r="K108" s="17"/>
      <c r="L108" s="17"/>
      <c r="M108" s="18"/>
      <c r="N108" s="18"/>
    </row>
    <row r="109" s="1" customFormat="1" ht="15.75" customHeight="1" spans="1:14">
      <c r="A109" s="6" t="s">
        <v>200</v>
      </c>
      <c r="B109" s="7"/>
      <c r="C109" s="8" t="s">
        <v>28</v>
      </c>
      <c r="D109" s="6" t="s">
        <v>24</v>
      </c>
      <c r="E109" s="6"/>
      <c r="F109" s="9"/>
      <c r="G109" s="10">
        <v>25.98</v>
      </c>
      <c r="H109" s="11" t="s">
        <v>277</v>
      </c>
      <c r="I109" s="15" t="s">
        <v>31</v>
      </c>
      <c r="J109" s="16" t="s">
        <v>125</v>
      </c>
      <c r="K109" s="17"/>
      <c r="L109" s="17"/>
      <c r="M109" s="18"/>
      <c r="N109" s="18"/>
    </row>
    <row r="110" s="1" customFormat="1" ht="15.75" customHeight="1" spans="1:14">
      <c r="A110" s="6" t="s">
        <v>200</v>
      </c>
      <c r="B110" s="7"/>
      <c r="C110" s="8" t="s">
        <v>28</v>
      </c>
      <c r="D110" s="6" t="s">
        <v>24</v>
      </c>
      <c r="E110" s="6"/>
      <c r="F110" s="9"/>
      <c r="G110" s="10">
        <v>2371.72</v>
      </c>
      <c r="H110" s="11" t="s">
        <v>30</v>
      </c>
      <c r="I110" s="15" t="s">
        <v>31</v>
      </c>
      <c r="J110" s="16" t="s">
        <v>32</v>
      </c>
      <c r="K110" s="17"/>
      <c r="L110" s="17"/>
      <c r="M110" s="18"/>
      <c r="N110" s="18"/>
    </row>
    <row r="111" s="1" customFormat="1" ht="15.75" customHeight="1" spans="1:14">
      <c r="A111" s="6" t="s">
        <v>200</v>
      </c>
      <c r="B111" s="7"/>
      <c r="C111" s="8" t="s">
        <v>28</v>
      </c>
      <c r="D111" s="6" t="s">
        <v>24</v>
      </c>
      <c r="E111" s="6"/>
      <c r="F111" s="9"/>
      <c r="G111" s="10">
        <v>125057.51</v>
      </c>
      <c r="H111" s="11" t="s">
        <v>265</v>
      </c>
      <c r="I111" s="15" t="s">
        <v>31</v>
      </c>
      <c r="J111" s="16" t="s">
        <v>35</v>
      </c>
      <c r="K111" s="17"/>
      <c r="L111" s="17"/>
      <c r="M111" s="18"/>
      <c r="N111" s="18"/>
    </row>
    <row r="112" s="1" customFormat="1" ht="15.75" customHeight="1" spans="1:14">
      <c r="A112" s="6" t="s">
        <v>200</v>
      </c>
      <c r="B112" s="7"/>
      <c r="C112" s="8" t="s">
        <v>15</v>
      </c>
      <c r="D112" s="6" t="s">
        <v>24</v>
      </c>
      <c r="E112" s="6"/>
      <c r="F112" s="9">
        <v>-4135.01</v>
      </c>
      <c r="G112" s="10"/>
      <c r="H112" s="11" t="s">
        <v>297</v>
      </c>
      <c r="I112" s="16" t="s">
        <v>298</v>
      </c>
      <c r="J112" s="17" t="s">
        <v>299</v>
      </c>
      <c r="K112" s="132" t="s">
        <v>300</v>
      </c>
      <c r="L112" s="17"/>
      <c r="M112" s="18"/>
      <c r="N112" s="18"/>
    </row>
    <row r="113" s="1" customFormat="1" ht="15.75" customHeight="1" spans="1:14">
      <c r="A113" s="6" t="s">
        <v>204</v>
      </c>
      <c r="B113" s="7"/>
      <c r="C113" s="8" t="s">
        <v>28</v>
      </c>
      <c r="D113" s="6" t="s">
        <v>24</v>
      </c>
      <c r="E113" s="6"/>
      <c r="F113" s="9"/>
      <c r="G113" s="10">
        <v>2251.93</v>
      </c>
      <c r="H113" s="11" t="s">
        <v>80</v>
      </c>
      <c r="I113" s="15" t="s">
        <v>31</v>
      </c>
      <c r="J113" s="16" t="s">
        <v>81</v>
      </c>
      <c r="K113" s="17"/>
      <c r="L113" s="17"/>
      <c r="M113" s="18"/>
      <c r="N113" s="18"/>
    </row>
    <row r="114" s="1" customFormat="1" ht="15.75" customHeight="1" spans="1:14">
      <c r="A114" s="6" t="s">
        <v>204</v>
      </c>
      <c r="B114" s="7"/>
      <c r="C114" s="8" t="s">
        <v>58</v>
      </c>
      <c r="D114" s="6" t="s">
        <v>24</v>
      </c>
      <c r="E114" s="6"/>
      <c r="F114" s="9"/>
      <c r="G114" s="10">
        <v>6682.85</v>
      </c>
      <c r="H114" s="11" t="s">
        <v>301</v>
      </c>
      <c r="I114" s="15" t="s">
        <v>31</v>
      </c>
      <c r="J114" s="16" t="s">
        <v>62</v>
      </c>
      <c r="K114" s="17"/>
      <c r="L114" s="17"/>
      <c r="M114" s="18"/>
      <c r="N114" s="18"/>
    </row>
    <row r="115" s="1" customFormat="1" ht="15.75" customHeight="1" spans="1:14">
      <c r="A115" s="6" t="s">
        <v>204</v>
      </c>
      <c r="B115" s="7"/>
      <c r="C115" s="8" t="s">
        <v>28</v>
      </c>
      <c r="D115" s="6" t="s">
        <v>24</v>
      </c>
      <c r="E115" s="6"/>
      <c r="F115" s="9"/>
      <c r="G115" s="10">
        <v>74.59</v>
      </c>
      <c r="H115" s="11" t="s">
        <v>277</v>
      </c>
      <c r="I115" s="15" t="s">
        <v>31</v>
      </c>
      <c r="J115" s="16" t="s">
        <v>125</v>
      </c>
      <c r="K115" s="17"/>
      <c r="L115" s="17"/>
      <c r="M115" s="18"/>
      <c r="N115" s="18"/>
    </row>
    <row r="116" s="1" customFormat="1" ht="15.75" customHeight="1" spans="1:14">
      <c r="A116" s="6" t="s">
        <v>204</v>
      </c>
      <c r="B116" s="7"/>
      <c r="C116" s="8" t="s">
        <v>28</v>
      </c>
      <c r="D116" s="6" t="s">
        <v>24</v>
      </c>
      <c r="E116" s="6"/>
      <c r="F116" s="9"/>
      <c r="G116" s="10">
        <v>4930.87</v>
      </c>
      <c r="H116" s="11" t="s">
        <v>30</v>
      </c>
      <c r="I116" s="15" t="s">
        <v>31</v>
      </c>
      <c r="J116" s="16" t="s">
        <v>32</v>
      </c>
      <c r="K116" s="17"/>
      <c r="L116" s="17"/>
      <c r="M116" s="18"/>
      <c r="N116" s="18"/>
    </row>
    <row r="117" s="1" customFormat="1" ht="15.75" customHeight="1" spans="1:14">
      <c r="A117" s="6" t="s">
        <v>204</v>
      </c>
      <c r="B117" s="7"/>
      <c r="C117" s="8" t="s">
        <v>28</v>
      </c>
      <c r="D117" s="6" t="s">
        <v>24</v>
      </c>
      <c r="E117" s="6"/>
      <c r="F117" s="9"/>
      <c r="G117" s="10">
        <v>30285.94</v>
      </c>
      <c r="H117" s="11" t="s">
        <v>206</v>
      </c>
      <c r="I117" s="15" t="s">
        <v>31</v>
      </c>
      <c r="J117" s="16" t="s">
        <v>207</v>
      </c>
      <c r="K117" s="17"/>
      <c r="L117" s="17"/>
      <c r="M117" s="18"/>
      <c r="N117" s="18"/>
    </row>
    <row r="118" s="1" customFormat="1" ht="30.75" customHeight="1" spans="1:14">
      <c r="A118" s="6"/>
      <c r="B118" s="7"/>
      <c r="C118" s="8"/>
      <c r="D118" s="6"/>
      <c r="E118" s="6"/>
      <c r="F118" s="9"/>
      <c r="G118" s="10"/>
      <c r="H118" s="11"/>
      <c r="I118" s="15"/>
      <c r="J118" s="16"/>
      <c r="K118" s="17"/>
      <c r="L118" s="17"/>
      <c r="M118" s="18"/>
      <c r="N118" s="18"/>
    </row>
    <row r="119" s="1" customFormat="1" ht="15.75" customHeight="1" spans="1:14">
      <c r="A119" s="6"/>
      <c r="B119" s="7"/>
      <c r="C119" s="8"/>
      <c r="D119" s="6"/>
      <c r="E119" s="6"/>
      <c r="F119" s="9"/>
      <c r="G119" s="10"/>
      <c r="H119" s="11"/>
      <c r="I119" s="15"/>
      <c r="J119" s="16"/>
      <c r="K119" s="17"/>
      <c r="L119" s="17"/>
      <c r="M119" s="18"/>
      <c r="N119" s="18"/>
    </row>
    <row r="120" s="1" customFormat="1" ht="15.75" customHeight="1" spans="1:14">
      <c r="A120" s="6"/>
      <c r="B120" s="7"/>
      <c r="C120" s="8"/>
      <c r="D120" s="6"/>
      <c r="E120" s="6"/>
      <c r="F120" s="9"/>
      <c r="G120" s="10"/>
      <c r="H120" s="11"/>
      <c r="I120" s="15"/>
      <c r="J120" s="16"/>
      <c r="K120" s="17"/>
      <c r="L120" s="17"/>
      <c r="M120" s="18"/>
      <c r="N120" s="18"/>
    </row>
    <row r="121" s="1" customFormat="1" ht="15.75" customHeight="1" spans="1:14">
      <c r="A121" s="6"/>
      <c r="B121" s="7"/>
      <c r="C121" s="8"/>
      <c r="D121" s="6"/>
      <c r="E121" s="6"/>
      <c r="F121" s="9"/>
      <c r="G121" s="10"/>
      <c r="H121" s="11"/>
      <c r="I121" s="15"/>
      <c r="J121" s="16"/>
      <c r="K121" s="17"/>
      <c r="L121" s="17"/>
      <c r="M121" s="18"/>
      <c r="N121" s="18"/>
    </row>
    <row r="122" s="1" customFormat="1" ht="15.75" customHeight="1" spans="1:14">
      <c r="A122" s="6"/>
      <c r="B122" s="7"/>
      <c r="C122" s="8"/>
      <c r="D122" s="6"/>
      <c r="E122" s="6"/>
      <c r="F122" s="9"/>
      <c r="G122" s="10"/>
      <c r="H122" s="11"/>
      <c r="I122" s="15"/>
      <c r="J122" s="16"/>
      <c r="K122" s="17"/>
      <c r="L122" s="17"/>
      <c r="M122" s="18"/>
      <c r="N122" s="18"/>
    </row>
    <row r="123" s="1" customFormat="1" ht="15.75" customHeight="1" spans="1:14">
      <c r="A123" s="6"/>
      <c r="B123" s="7"/>
      <c r="C123" s="8"/>
      <c r="D123" s="6"/>
      <c r="E123" s="6"/>
      <c r="F123" s="9"/>
      <c r="G123" s="10"/>
      <c r="H123" s="11"/>
      <c r="I123" s="15"/>
      <c r="J123" s="16"/>
      <c r="K123" s="17"/>
      <c r="L123" s="17"/>
      <c r="M123" s="18"/>
      <c r="N123" s="18"/>
    </row>
    <row r="124" s="1" customFormat="1" ht="15.75" customHeight="1" spans="1:14">
      <c r="A124" s="6"/>
      <c r="B124" s="7"/>
      <c r="C124" s="8"/>
      <c r="D124" s="6"/>
      <c r="E124" s="6"/>
      <c r="F124" s="9"/>
      <c r="G124" s="10"/>
      <c r="H124" s="11"/>
      <c r="I124" s="15"/>
      <c r="J124" s="16"/>
      <c r="K124" s="17"/>
      <c r="L124" s="17"/>
      <c r="M124" s="18"/>
      <c r="N124" s="18"/>
    </row>
    <row r="125" s="1" customFormat="1" ht="15.75" customHeight="1" spans="1:14">
      <c r="A125" s="6"/>
      <c r="B125" s="7"/>
      <c r="C125" s="8"/>
      <c r="D125" s="6"/>
      <c r="E125" s="6"/>
      <c r="F125" s="9"/>
      <c r="G125" s="10"/>
      <c r="H125" s="11"/>
      <c r="I125" s="15"/>
      <c r="J125" s="16"/>
      <c r="K125" s="17"/>
      <c r="L125" s="17"/>
      <c r="M125" s="18"/>
      <c r="N125" s="18"/>
    </row>
    <row r="126" s="1" customFormat="1" ht="15.75" customHeight="1" spans="1:14">
      <c r="A126" s="6"/>
      <c r="B126" s="7"/>
      <c r="C126" s="8"/>
      <c r="D126" s="6"/>
      <c r="E126" s="6"/>
      <c r="F126" s="9"/>
      <c r="G126" s="10"/>
      <c r="H126" s="11"/>
      <c r="I126" s="15"/>
      <c r="J126" s="16"/>
      <c r="K126" s="17"/>
      <c r="L126" s="17"/>
      <c r="M126" s="18"/>
      <c r="N126" s="18"/>
    </row>
    <row r="127" s="1" customFormat="1" ht="15.75" customHeight="1" spans="1:14">
      <c r="A127" s="6"/>
      <c r="B127" s="7"/>
      <c r="C127" s="8"/>
      <c r="D127" s="6"/>
      <c r="E127" s="6"/>
      <c r="F127" s="9"/>
      <c r="G127" s="10"/>
      <c r="H127" s="11"/>
      <c r="I127" s="15"/>
      <c r="J127" s="16"/>
      <c r="K127" s="17"/>
      <c r="L127" s="17"/>
      <c r="M127" s="18"/>
      <c r="N127" s="18"/>
    </row>
    <row r="128" s="1" customFormat="1" ht="15.75" customHeight="1" spans="1:14">
      <c r="A128" s="6"/>
      <c r="B128" s="7"/>
      <c r="C128" s="8"/>
      <c r="D128" s="6"/>
      <c r="E128" s="6"/>
      <c r="F128" s="9"/>
      <c r="G128" s="10"/>
      <c r="H128" s="11"/>
      <c r="I128" s="15"/>
      <c r="J128" s="16"/>
      <c r="K128" s="17"/>
      <c r="L128" s="17"/>
      <c r="M128" s="18"/>
      <c r="N128" s="18"/>
    </row>
    <row r="129" s="1" customFormat="1" ht="15.75" customHeight="1" spans="1:14">
      <c r="A129" s="6"/>
      <c r="B129" s="7"/>
      <c r="C129" s="8"/>
      <c r="D129" s="6"/>
      <c r="E129" s="6"/>
      <c r="F129" s="9"/>
      <c r="G129" s="10"/>
      <c r="H129" s="11"/>
      <c r="I129" s="15"/>
      <c r="J129" s="16"/>
      <c r="K129" s="17"/>
      <c r="L129" s="17"/>
      <c r="M129" s="18"/>
      <c r="N129" s="18"/>
    </row>
    <row r="130" s="1" customFormat="1" ht="15.75" customHeight="1" spans="1:14">
      <c r="A130" s="6"/>
      <c r="B130" s="7"/>
      <c r="C130" s="8"/>
      <c r="D130" s="6"/>
      <c r="E130" s="6"/>
      <c r="F130" s="9"/>
      <c r="G130" s="10"/>
      <c r="H130" s="11"/>
      <c r="I130" s="15"/>
      <c r="J130" s="16"/>
      <c r="K130" s="17"/>
      <c r="L130" s="17"/>
      <c r="M130" s="18"/>
      <c r="N130" s="18"/>
    </row>
    <row r="131" s="1" customFormat="1" ht="15.75" customHeight="1" spans="1:14">
      <c r="A131" s="6"/>
      <c r="B131" s="7"/>
      <c r="C131" s="8"/>
      <c r="D131" s="6"/>
      <c r="E131" s="6"/>
      <c r="F131" s="9"/>
      <c r="G131" s="10"/>
      <c r="H131" s="11"/>
      <c r="I131" s="15"/>
      <c r="J131" s="16"/>
      <c r="K131" s="17"/>
      <c r="L131" s="17"/>
      <c r="M131" s="18"/>
      <c r="N131" s="18"/>
    </row>
    <row r="132" s="1" customFormat="1" ht="15.75" customHeight="1" spans="1:14">
      <c r="A132" s="6"/>
      <c r="B132" s="7"/>
      <c r="C132" s="8"/>
      <c r="D132" s="6"/>
      <c r="E132" s="6"/>
      <c r="F132" s="9"/>
      <c r="G132" s="10"/>
      <c r="H132" s="11"/>
      <c r="I132" s="15"/>
      <c r="J132" s="16"/>
      <c r="K132" s="17"/>
      <c r="L132" s="17"/>
      <c r="M132" s="18"/>
      <c r="N132" s="18"/>
    </row>
    <row r="133" s="1" customFormat="1" ht="15.75" customHeight="1" spans="1:14">
      <c r="A133" s="6"/>
      <c r="B133" s="7"/>
      <c r="C133" s="8"/>
      <c r="D133" s="6"/>
      <c r="E133" s="6"/>
      <c r="F133" s="9"/>
      <c r="G133" s="10"/>
      <c r="H133" s="11"/>
      <c r="I133" s="15"/>
      <c r="J133" s="16"/>
      <c r="K133" s="17"/>
      <c r="L133" s="17"/>
      <c r="M133" s="18"/>
      <c r="N133" s="18"/>
    </row>
    <row r="134" s="1" customFormat="1" ht="15.75" customHeight="1" spans="1:14">
      <c r="A134" s="6"/>
      <c r="B134" s="7"/>
      <c r="C134" s="8"/>
      <c r="D134" s="6"/>
      <c r="E134" s="6"/>
      <c r="F134" s="9"/>
      <c r="G134" s="10"/>
      <c r="H134" s="11"/>
      <c r="I134" s="15"/>
      <c r="J134" s="16"/>
      <c r="K134" s="17"/>
      <c r="L134" s="17"/>
      <c r="M134" s="18"/>
      <c r="N134" s="18"/>
    </row>
    <row r="135" s="1" customFormat="1" ht="15.75" customHeight="1" spans="1:14">
      <c r="A135" s="6"/>
      <c r="B135" s="7"/>
      <c r="C135" s="8"/>
      <c r="D135" s="6"/>
      <c r="E135" s="6"/>
      <c r="F135" s="9"/>
      <c r="G135" s="10"/>
      <c r="H135" s="11"/>
      <c r="I135" s="15"/>
      <c r="J135" s="16"/>
      <c r="K135" s="17"/>
      <c r="L135" s="17"/>
      <c r="M135" s="18"/>
      <c r="N135" s="18"/>
    </row>
    <row r="137" s="19" customFormat="1" spans="11:13">
      <c r="K137" s="122"/>
      <c r="L137" s="116"/>
      <c r="M137" s="126"/>
    </row>
    <row r="142" s="19" customFormat="1" spans="11:14">
      <c r="K142" t="s">
        <v>20</v>
      </c>
      <c r="L142" t="s">
        <v>20</v>
      </c>
      <c r="M142" t="s">
        <v>20</v>
      </c>
      <c r="N142" t="s">
        <v>20</v>
      </c>
    </row>
  </sheetData>
  <autoFilter xmlns:etc="http://www.wps.cn/officeDocument/2017/etCustomData" ref="A2:N117" etc:filterBottomFollowUsedRange="0">
    <extLst/>
  </autoFilter>
  <mergeCells count="1">
    <mergeCell ref="A1:H1"/>
  </mergeCells>
  <conditionalFormatting sqref="I1:L1">
    <cfRule type="containsText" dxfId="0" priority="190" operator="between" text="待">
      <formula>NOT(ISERROR(SEARCH("待",I1)))</formula>
    </cfRule>
  </conditionalFormatting>
  <conditionalFormatting sqref="I3:K3">
    <cfRule type="containsText" dxfId="0" priority="126" operator="between" text="待">
      <formula>NOT(ISERROR(SEARCH("待",I3)))</formula>
    </cfRule>
  </conditionalFormatting>
  <conditionalFormatting sqref="J3">
    <cfRule type="containsText" dxfId="1" priority="136" operator="between" text="/">
      <formula>NOT(ISERROR(SEARCH("/",J3)))</formula>
    </cfRule>
  </conditionalFormatting>
  <conditionalFormatting sqref="L3">
    <cfRule type="containsText" dxfId="0" priority="146" operator="between" text="待附件">
      <formula>NOT(ISERROR(SEARCH("待附件",L3)))</formula>
    </cfRule>
    <cfRule type="containsText" dxfId="0" priority="156" operator="between" text="待提单">
      <formula>NOT(ISERROR(SEARCH("待提单",L3)))</formula>
    </cfRule>
  </conditionalFormatting>
  <conditionalFormatting sqref="I4:K4">
    <cfRule type="containsText" dxfId="0" priority="125" operator="between" text="待">
      <formula>NOT(ISERROR(SEARCH("待",I4)))</formula>
    </cfRule>
  </conditionalFormatting>
  <conditionalFormatting sqref="J4">
    <cfRule type="containsText" dxfId="1" priority="135" operator="between" text="/">
      <formula>NOT(ISERROR(SEARCH("/",J4)))</formula>
    </cfRule>
  </conditionalFormatting>
  <conditionalFormatting sqref="L4">
    <cfRule type="containsText" dxfId="0" priority="23" operator="between" text="待提单">
      <formula>NOT(ISERROR(SEARCH("待提单",L4)))</formula>
    </cfRule>
    <cfRule type="containsText" dxfId="0" priority="22" operator="between" text="待附件">
      <formula>NOT(ISERROR(SEARCH("待附件",L4)))</formula>
    </cfRule>
  </conditionalFormatting>
  <conditionalFormatting sqref="I5:K5">
    <cfRule type="containsText" dxfId="0" priority="124" operator="between" text="待">
      <formula>NOT(ISERROR(SEARCH("待",I5)))</formula>
    </cfRule>
  </conditionalFormatting>
  <conditionalFormatting sqref="J5">
    <cfRule type="containsText" dxfId="1" priority="134" operator="between" text="/">
      <formula>NOT(ISERROR(SEARCH("/",J5)))</formula>
    </cfRule>
  </conditionalFormatting>
  <conditionalFormatting sqref="L5">
    <cfRule type="containsText" dxfId="0" priority="144" operator="between" text="待附件">
      <formula>NOT(ISERROR(SEARCH("待附件",L5)))</formula>
    </cfRule>
    <cfRule type="containsText" dxfId="0" priority="154" operator="between" text="待提单">
      <formula>NOT(ISERROR(SEARCH("待提单",L5)))</formula>
    </cfRule>
  </conditionalFormatting>
  <conditionalFormatting sqref="I6:K6">
    <cfRule type="containsText" dxfId="0" priority="123" operator="between" text="待">
      <formula>NOT(ISERROR(SEARCH("待",I6)))</formula>
    </cfRule>
  </conditionalFormatting>
  <conditionalFormatting sqref="J6">
    <cfRule type="containsText" dxfId="1" priority="133" operator="between" text="/">
      <formula>NOT(ISERROR(SEARCH("/",J6)))</formula>
    </cfRule>
  </conditionalFormatting>
  <conditionalFormatting sqref="L6">
    <cfRule type="containsText" dxfId="0" priority="143" operator="between" text="待附件">
      <formula>NOT(ISERROR(SEARCH("待附件",L6)))</formula>
    </cfRule>
    <cfRule type="containsText" dxfId="0" priority="153" operator="between" text="待提单">
      <formula>NOT(ISERROR(SEARCH("待提单",L6)))</formula>
    </cfRule>
  </conditionalFormatting>
  <conditionalFormatting sqref="I7:K7">
    <cfRule type="containsText" dxfId="0" priority="122" operator="between" text="待">
      <formula>NOT(ISERROR(SEARCH("待",I7)))</formula>
    </cfRule>
  </conditionalFormatting>
  <conditionalFormatting sqref="J7">
    <cfRule type="containsText" dxfId="1" priority="132" operator="between" text="/">
      <formula>NOT(ISERROR(SEARCH("/",J7)))</formula>
    </cfRule>
  </conditionalFormatting>
  <conditionalFormatting sqref="L7">
    <cfRule type="containsText" dxfId="0" priority="142" operator="between" text="待附件">
      <formula>NOT(ISERROR(SEARCH("待附件",L7)))</formula>
    </cfRule>
    <cfRule type="containsText" dxfId="0" priority="152" operator="between" text="待提单">
      <formula>NOT(ISERROR(SEARCH("待提单",L7)))</formula>
    </cfRule>
  </conditionalFormatting>
  <conditionalFormatting sqref="I8:K8">
    <cfRule type="containsText" dxfId="0" priority="121" operator="between" text="待">
      <formula>NOT(ISERROR(SEARCH("待",I8)))</formula>
    </cfRule>
  </conditionalFormatting>
  <conditionalFormatting sqref="J8">
    <cfRule type="containsText" dxfId="1" priority="131" operator="between" text="/">
      <formula>NOT(ISERROR(SEARCH("/",J8)))</formula>
    </cfRule>
  </conditionalFormatting>
  <conditionalFormatting sqref="L8">
    <cfRule type="containsText" dxfId="0" priority="141" operator="between" text="待附件">
      <formula>NOT(ISERROR(SEARCH("待附件",L8)))</formula>
    </cfRule>
    <cfRule type="containsText" dxfId="0" priority="151" operator="between" text="待提单">
      <formula>NOT(ISERROR(SEARCH("待提单",L8)))</formula>
    </cfRule>
  </conditionalFormatting>
  <conditionalFormatting sqref="I9:K9">
    <cfRule type="containsText" dxfId="0" priority="120" operator="between" text="待">
      <formula>NOT(ISERROR(SEARCH("待",I9)))</formula>
    </cfRule>
  </conditionalFormatting>
  <conditionalFormatting sqref="J9">
    <cfRule type="containsText" dxfId="1" priority="130" operator="between" text="/">
      <formula>NOT(ISERROR(SEARCH("/",J9)))</formula>
    </cfRule>
  </conditionalFormatting>
  <conditionalFormatting sqref="L9">
    <cfRule type="containsText" dxfId="0" priority="140" operator="between" text="待附件">
      <formula>NOT(ISERROR(SEARCH("待附件",L9)))</formula>
    </cfRule>
    <cfRule type="containsText" dxfId="0" priority="150" operator="between" text="待提单">
      <formula>NOT(ISERROR(SEARCH("待提单",L9)))</formula>
    </cfRule>
  </conditionalFormatting>
  <conditionalFormatting sqref="I10:K10">
    <cfRule type="containsText" dxfId="0" priority="119" operator="between" text="待">
      <formula>NOT(ISERROR(SEARCH("待",I10)))</formula>
    </cfRule>
  </conditionalFormatting>
  <conditionalFormatting sqref="J10">
    <cfRule type="containsText" dxfId="1" priority="129" operator="between" text="/">
      <formula>NOT(ISERROR(SEARCH("/",J10)))</formula>
    </cfRule>
  </conditionalFormatting>
  <conditionalFormatting sqref="L10">
    <cfRule type="containsText" dxfId="0" priority="139" operator="between" text="待附件">
      <formula>NOT(ISERROR(SEARCH("待附件",L10)))</formula>
    </cfRule>
    <cfRule type="containsText" dxfId="0" priority="149" operator="between" text="待提单">
      <formula>NOT(ISERROR(SEARCH("待提单",L10)))</formula>
    </cfRule>
  </conditionalFormatting>
  <conditionalFormatting sqref="I11:K11">
    <cfRule type="containsText" dxfId="0" priority="118" operator="between" text="待">
      <formula>NOT(ISERROR(SEARCH("待",I11)))</formula>
    </cfRule>
  </conditionalFormatting>
  <conditionalFormatting sqref="J11">
    <cfRule type="containsText" dxfId="1" priority="128" operator="between" text="/">
      <formula>NOT(ISERROR(SEARCH("/",J11)))</formula>
    </cfRule>
  </conditionalFormatting>
  <conditionalFormatting sqref="L11">
    <cfRule type="containsText" dxfId="0" priority="138" operator="between" text="待附件">
      <formula>NOT(ISERROR(SEARCH("待附件",L11)))</formula>
    </cfRule>
    <cfRule type="containsText" dxfId="0" priority="148" operator="between" text="待提单">
      <formula>NOT(ISERROR(SEARCH("待提单",L11)))</formula>
    </cfRule>
  </conditionalFormatting>
  <conditionalFormatting sqref="I12:K12">
    <cfRule type="containsText" dxfId="0" priority="117" operator="between" text="待">
      <formula>NOT(ISERROR(SEARCH("待",I12)))</formula>
    </cfRule>
  </conditionalFormatting>
  <conditionalFormatting sqref="J12">
    <cfRule type="containsText" dxfId="1" priority="127" operator="between" text="/">
      <formula>NOT(ISERROR(SEARCH("/",J12)))</formula>
    </cfRule>
  </conditionalFormatting>
  <conditionalFormatting sqref="L12">
    <cfRule type="containsText" dxfId="0" priority="137" operator="between" text="待附件">
      <formula>NOT(ISERROR(SEARCH("待附件",L12)))</formula>
    </cfRule>
    <cfRule type="containsText" dxfId="0" priority="147" operator="between" text="待提单">
      <formula>NOT(ISERROR(SEARCH("待提单",L12)))</formula>
    </cfRule>
  </conditionalFormatting>
  <conditionalFormatting sqref="L13">
    <cfRule type="containsText" dxfId="0" priority="21" operator="between" text="待提单">
      <formula>NOT(ISERROR(SEARCH("待提单",L13)))</formula>
    </cfRule>
    <cfRule type="containsText" dxfId="0" priority="20" operator="between" text="待附件">
      <formula>NOT(ISERROR(SEARCH("待附件",L13)))</formula>
    </cfRule>
  </conditionalFormatting>
  <conditionalFormatting sqref="I15:J15">
    <cfRule type="containsText" dxfId="0" priority="171" operator="between" text="待">
      <formula>NOT(ISERROR(SEARCH("待",I15)))</formula>
    </cfRule>
  </conditionalFormatting>
  <conditionalFormatting sqref="J15">
    <cfRule type="containsText" dxfId="1" priority="172" operator="between" text="/">
      <formula>NOT(ISERROR(SEARCH("/",J15)))</formula>
    </cfRule>
  </conditionalFormatting>
  <conditionalFormatting sqref="I18">
    <cfRule type="containsText" dxfId="0" priority="173" operator="between" text="待">
      <formula>NOT(ISERROR(SEARCH("待",I18)))</formula>
    </cfRule>
    <cfRule type="containsText" dxfId="1" priority="174" operator="between" text="/">
      <formula>NOT(ISERROR(SEARCH("/",I18)))</formula>
    </cfRule>
  </conditionalFormatting>
  <conditionalFormatting sqref="J18">
    <cfRule type="containsText" dxfId="0" priority="175" operator="between" text="待">
      <formula>NOT(ISERROR(SEARCH("待",J18)))</formula>
    </cfRule>
    <cfRule type="containsText" dxfId="1" priority="176" operator="between" text="/">
      <formula>NOT(ISERROR(SEARCH("/",J18)))</formula>
    </cfRule>
  </conditionalFormatting>
  <conditionalFormatting sqref="I19">
    <cfRule type="containsText" dxfId="0" priority="177" operator="between" text="待">
      <formula>NOT(ISERROR(SEARCH("待",I19)))</formula>
    </cfRule>
    <cfRule type="containsText" dxfId="1" priority="178" operator="between" text="/">
      <formula>NOT(ISERROR(SEARCH("/",I19)))</formula>
    </cfRule>
  </conditionalFormatting>
  <conditionalFormatting sqref="J19">
    <cfRule type="containsText" dxfId="0" priority="179" operator="between" text="待">
      <formula>NOT(ISERROR(SEARCH("待",J19)))</formula>
    </cfRule>
    <cfRule type="containsText" dxfId="1" priority="180" operator="between" text="/">
      <formula>NOT(ISERROR(SEARCH("/",J19)))</formula>
    </cfRule>
  </conditionalFormatting>
  <conditionalFormatting sqref="I20">
    <cfRule type="containsText" dxfId="0" priority="181" operator="between" text="待">
      <formula>NOT(ISERROR(SEARCH("待",I20)))</formula>
    </cfRule>
    <cfRule type="containsText" dxfId="1" priority="182" operator="between" text="/">
      <formula>NOT(ISERROR(SEARCH("/",I20)))</formula>
    </cfRule>
  </conditionalFormatting>
  <conditionalFormatting sqref="J20">
    <cfRule type="containsText" dxfId="0" priority="183" operator="between" text="待">
      <formula>NOT(ISERROR(SEARCH("待",J20)))</formula>
    </cfRule>
    <cfRule type="containsText" dxfId="1" priority="184" operator="between" text="/">
      <formula>NOT(ISERROR(SEARCH("/",J20)))</formula>
    </cfRule>
  </conditionalFormatting>
  <conditionalFormatting sqref="L26">
    <cfRule type="containsText" dxfId="0" priority="159" operator="between" text="待附件">
      <formula>NOT(ISERROR(SEARCH("待附件",L26)))</formula>
    </cfRule>
    <cfRule type="containsText" dxfId="0" priority="160" operator="between" text="待提单">
      <formula>NOT(ISERROR(SEARCH("待提单",L26)))</formula>
    </cfRule>
  </conditionalFormatting>
  <conditionalFormatting sqref="I27">
    <cfRule type="containsText" dxfId="0" priority="163" operator="between" text="待">
      <formula>NOT(ISERROR(SEARCH("待",I27)))</formula>
    </cfRule>
    <cfRule type="containsText" dxfId="1" priority="164" operator="between" text="/">
      <formula>NOT(ISERROR(SEARCH("/",I27)))</formula>
    </cfRule>
  </conditionalFormatting>
  <conditionalFormatting sqref="J27">
    <cfRule type="containsText" dxfId="0" priority="165" operator="between" text="待">
      <formula>NOT(ISERROR(SEARCH("待",J27)))</formula>
    </cfRule>
    <cfRule type="containsText" dxfId="1" priority="166" operator="between" text="/">
      <formula>NOT(ISERROR(SEARCH("/",J27)))</formula>
    </cfRule>
  </conditionalFormatting>
  <conditionalFormatting sqref="I31:J31">
    <cfRule type="containsText" dxfId="0" priority="168" operator="between" text="待">
      <formula>NOT(ISERROR(SEARCH("待",I31)))</formula>
    </cfRule>
  </conditionalFormatting>
  <conditionalFormatting sqref="J31">
    <cfRule type="containsText" dxfId="1" priority="167" operator="between" text="/">
      <formula>NOT(ISERROR(SEARCH("/",J31)))</formula>
    </cfRule>
  </conditionalFormatting>
  <conditionalFormatting sqref="K31">
    <cfRule type="containsText" dxfId="0" priority="116" operator="between" text="待">
      <formula>NOT(ISERROR(SEARCH("待",K31)))</formula>
    </cfRule>
  </conditionalFormatting>
  <conditionalFormatting sqref="I33">
    <cfRule type="containsText" dxfId="0" priority="104" operator="between" text="待">
      <formula>NOT(ISERROR(SEARCH("待",I33)))</formula>
    </cfRule>
    <cfRule type="containsText" dxfId="1" priority="105" operator="between" text="/">
      <formula>NOT(ISERROR(SEARCH("/",I33)))</formula>
    </cfRule>
  </conditionalFormatting>
  <conditionalFormatting sqref="J33">
    <cfRule type="containsText" dxfId="0" priority="106" operator="between" text="待">
      <formula>NOT(ISERROR(SEARCH("待",J33)))</formula>
    </cfRule>
    <cfRule type="containsText" dxfId="1" priority="107" operator="between" text="/">
      <formula>NOT(ISERROR(SEARCH("/",J33)))</formula>
    </cfRule>
  </conditionalFormatting>
  <conditionalFormatting sqref="I34:J34">
    <cfRule type="containsText" dxfId="0" priority="79" operator="between" text="待">
      <formula>NOT(ISERROR(SEARCH("待",I34)))</formula>
    </cfRule>
  </conditionalFormatting>
  <conditionalFormatting sqref="J34">
    <cfRule type="containsText" dxfId="1" priority="78" operator="between" text="/">
      <formula>NOT(ISERROR(SEARCH("/",J34)))</formula>
    </cfRule>
  </conditionalFormatting>
  <conditionalFormatting sqref="I37">
    <cfRule type="containsText" dxfId="0" priority="108" operator="between" text="待">
      <formula>NOT(ISERROR(SEARCH("待",I37)))</formula>
    </cfRule>
    <cfRule type="containsText" dxfId="1" priority="109" operator="between" text="/">
      <formula>NOT(ISERROR(SEARCH("/",I37)))</formula>
    </cfRule>
  </conditionalFormatting>
  <conditionalFormatting sqref="J37">
    <cfRule type="containsText" dxfId="0" priority="110" operator="between" text="待">
      <formula>NOT(ISERROR(SEARCH("待",J37)))</formula>
    </cfRule>
    <cfRule type="containsText" dxfId="1" priority="111" operator="between" text="/">
      <formula>NOT(ISERROR(SEARCH("/",J37)))</formula>
    </cfRule>
  </conditionalFormatting>
  <conditionalFormatting sqref="I40">
    <cfRule type="containsText" dxfId="0" priority="96" operator="between" text="待">
      <formula>NOT(ISERROR(SEARCH("待",I40)))</formula>
    </cfRule>
    <cfRule type="containsText" dxfId="1" priority="97" operator="between" text="/">
      <formula>NOT(ISERROR(SEARCH("/",I40)))</formula>
    </cfRule>
  </conditionalFormatting>
  <conditionalFormatting sqref="J40">
    <cfRule type="containsText" dxfId="0" priority="98" operator="between" text="待">
      <formula>NOT(ISERROR(SEARCH("待",J40)))</formula>
    </cfRule>
    <cfRule type="containsText" dxfId="1" priority="99" operator="between" text="/">
      <formula>NOT(ISERROR(SEARCH("/",J40)))</formula>
    </cfRule>
  </conditionalFormatting>
  <conditionalFormatting sqref="K41">
    <cfRule type="containsText" dxfId="0" priority="49" operator="between" text="待">
      <formula>NOT(ISERROR(SEARCH("待",K41)))</formula>
    </cfRule>
  </conditionalFormatting>
  <conditionalFormatting sqref="I42">
    <cfRule type="containsText" dxfId="0" priority="88" operator="between" text="待">
      <formula>NOT(ISERROR(SEARCH("待",I42)))</formula>
    </cfRule>
    <cfRule type="containsText" dxfId="1" priority="89" operator="between" text="/">
      <formula>NOT(ISERROR(SEARCH("/",I42)))</formula>
    </cfRule>
  </conditionalFormatting>
  <conditionalFormatting sqref="J42">
    <cfRule type="containsText" dxfId="0" priority="90" operator="between" text="待">
      <formula>NOT(ISERROR(SEARCH("待",J42)))</formula>
    </cfRule>
    <cfRule type="containsText" dxfId="1" priority="91" operator="between" text="/">
      <formula>NOT(ISERROR(SEARCH("/",J42)))</formula>
    </cfRule>
  </conditionalFormatting>
  <conditionalFormatting sqref="I43">
    <cfRule type="containsText" dxfId="0" priority="92" operator="between" text="待">
      <formula>NOT(ISERROR(SEARCH("待",I43)))</formula>
    </cfRule>
    <cfRule type="containsText" dxfId="1" priority="93" operator="between" text="/">
      <formula>NOT(ISERROR(SEARCH("/",I43)))</formula>
    </cfRule>
  </conditionalFormatting>
  <conditionalFormatting sqref="J43">
    <cfRule type="containsText" dxfId="0" priority="94" operator="between" text="待">
      <formula>NOT(ISERROR(SEARCH("待",J43)))</formula>
    </cfRule>
    <cfRule type="containsText" dxfId="1" priority="95" operator="between" text="/">
      <formula>NOT(ISERROR(SEARCH("/",J43)))</formula>
    </cfRule>
  </conditionalFormatting>
  <conditionalFormatting sqref="I48:J48">
    <cfRule type="containsText" dxfId="0" priority="103" operator="between" text="待">
      <formula>NOT(ISERROR(SEARCH("待",I48)))</formula>
    </cfRule>
  </conditionalFormatting>
  <conditionalFormatting sqref="J48">
    <cfRule type="containsText" dxfId="1" priority="100" operator="between" text="/">
      <formula>NOT(ISERROR(SEARCH("/",J48)))</formula>
    </cfRule>
  </conditionalFormatting>
  <conditionalFormatting sqref="K48">
    <cfRule type="containsText" dxfId="0" priority="47" operator="between" text="待提单">
      <formula>NOT(ISERROR(SEARCH("待提单",K48)))</formula>
    </cfRule>
    <cfRule type="containsText" dxfId="0" priority="46" operator="between" text="待附件">
      <formula>NOT(ISERROR(SEARCH("待附件",K48)))</formula>
    </cfRule>
  </conditionalFormatting>
  <conditionalFormatting sqref="L48">
    <cfRule type="containsText" dxfId="0" priority="101" operator="between" text="待附件">
      <formula>NOT(ISERROR(SEARCH("待附件",L48)))</formula>
    </cfRule>
    <cfRule type="containsText" dxfId="0" priority="102" operator="between" text="待提单">
      <formula>NOT(ISERROR(SEARCH("待提单",L48)))</formula>
    </cfRule>
  </conditionalFormatting>
  <conditionalFormatting sqref="I49:J49">
    <cfRule type="containsText" dxfId="0" priority="83" operator="between" text="待">
      <formula>NOT(ISERROR(SEARCH("待",I49)))</formula>
    </cfRule>
  </conditionalFormatting>
  <conditionalFormatting sqref="J49">
    <cfRule type="containsText" dxfId="1" priority="84" operator="between" text="/">
      <formula>NOT(ISERROR(SEARCH("/",J49)))</formula>
    </cfRule>
  </conditionalFormatting>
  <conditionalFormatting sqref="K50">
    <cfRule type="containsText" dxfId="0" priority="82" operator="between" text="待">
      <formula>NOT(ISERROR(SEARCH("待",K50)))</formula>
    </cfRule>
  </conditionalFormatting>
  <conditionalFormatting sqref="J52">
    <cfRule type="containsText" dxfId="1" priority="86" operator="between" text="/">
      <formula>NOT(ISERROR(SEARCH("/",J52)))</formula>
    </cfRule>
  </conditionalFormatting>
  <conditionalFormatting sqref="J53">
    <cfRule type="containsText" dxfId="1" priority="85" operator="between" text="/">
      <formula>NOT(ISERROR(SEARCH("/",J53)))</formula>
    </cfRule>
  </conditionalFormatting>
  <conditionalFormatting sqref="I54:J54">
    <cfRule type="containsText" dxfId="0" priority="80" operator="between" text="待">
      <formula>NOT(ISERROR(SEARCH("待",I54)))</formula>
    </cfRule>
  </conditionalFormatting>
  <conditionalFormatting sqref="J54">
    <cfRule type="containsText" dxfId="1" priority="81" operator="between" text="/">
      <formula>NOT(ISERROR(SEARCH("/",J54)))</formula>
    </cfRule>
  </conditionalFormatting>
  <conditionalFormatting sqref="I57:J57">
    <cfRule type="containsText" dxfId="0" priority="77" operator="between" text="待">
      <formula>NOT(ISERROR(SEARCH("待",I57)))</formula>
    </cfRule>
  </conditionalFormatting>
  <conditionalFormatting sqref="J57">
    <cfRule type="containsText" dxfId="1" priority="76" operator="between" text="/">
      <formula>NOT(ISERROR(SEARCH("/",J57)))</formula>
    </cfRule>
  </conditionalFormatting>
  <conditionalFormatting sqref="I58:J58">
    <cfRule type="containsText" dxfId="0" priority="75" operator="between" text="待">
      <formula>NOT(ISERROR(SEARCH("待",I58)))</formula>
    </cfRule>
  </conditionalFormatting>
  <conditionalFormatting sqref="J58">
    <cfRule type="containsText" dxfId="1" priority="74" operator="between" text="/">
      <formula>NOT(ISERROR(SEARCH("/",J58)))</formula>
    </cfRule>
  </conditionalFormatting>
  <conditionalFormatting sqref="I65">
    <cfRule type="containsText" dxfId="0" priority="71" operator="between" text="待">
      <formula>NOT(ISERROR(SEARCH("待",I65)))</formula>
    </cfRule>
  </conditionalFormatting>
  <conditionalFormatting sqref="L65">
    <cfRule type="containsText" dxfId="0" priority="45" operator="between" text="待提单">
      <formula>NOT(ISERROR(SEARCH("待提单",L65)))</formula>
    </cfRule>
    <cfRule type="containsText" dxfId="0" priority="44" operator="between" text="待附件">
      <formula>NOT(ISERROR(SEARCH("待附件",L65)))</formula>
    </cfRule>
  </conditionalFormatting>
  <conditionalFormatting sqref="J66">
    <cfRule type="containsText" dxfId="1" priority="72" operator="between" text="/">
      <formula>NOT(ISERROR(SEARCH("/",J66)))</formula>
    </cfRule>
  </conditionalFormatting>
  <conditionalFormatting sqref="J69">
    <cfRule type="containsText" dxfId="1" priority="55" operator="between" text="/">
      <formula>NOT(ISERROR(SEARCH("/",J69)))</formula>
    </cfRule>
  </conditionalFormatting>
  <conditionalFormatting sqref="I70:K70">
    <cfRule type="containsText" dxfId="0" priority="58" operator="between" text="待">
      <formula>NOT(ISERROR(SEARCH("待",I70)))</formula>
    </cfRule>
  </conditionalFormatting>
  <conditionalFormatting sqref="J70">
    <cfRule type="containsText" dxfId="1" priority="59" operator="between" text="/">
      <formula>NOT(ISERROR(SEARCH("/",J70)))</formula>
    </cfRule>
  </conditionalFormatting>
  <conditionalFormatting sqref="L70">
    <cfRule type="containsText" dxfId="0" priority="57" operator="between" text="待提单">
      <formula>NOT(ISERROR(SEARCH("待提单",L70)))</formula>
    </cfRule>
    <cfRule type="containsText" dxfId="0" priority="56" operator="between" text="待附件">
      <formula>NOT(ISERROR(SEARCH("待附件",L70)))</formula>
    </cfRule>
  </conditionalFormatting>
  <conditionalFormatting sqref="J71">
    <cfRule type="containsText" dxfId="1" priority="54" operator="between" text="/">
      <formula>NOT(ISERROR(SEARCH("/",J71)))</formula>
    </cfRule>
  </conditionalFormatting>
  <conditionalFormatting sqref="J72">
    <cfRule type="containsText" dxfId="1" priority="53" operator="between" text="/">
      <formula>NOT(ISERROR(SEARCH("/",J72)))</formula>
    </cfRule>
  </conditionalFormatting>
  <conditionalFormatting sqref="I73:J73">
    <cfRule type="containsText" dxfId="0" priority="51" operator="between" text="待">
      <formula>NOT(ISERROR(SEARCH("待",I73)))</formula>
    </cfRule>
  </conditionalFormatting>
  <conditionalFormatting sqref="J73">
    <cfRule type="containsText" dxfId="1" priority="50" operator="between" text="/">
      <formula>NOT(ISERROR(SEARCH("/",J73)))</formula>
    </cfRule>
  </conditionalFormatting>
  <conditionalFormatting sqref="J74">
    <cfRule type="containsText" dxfId="1" priority="70" operator="between" text="/">
      <formula>NOT(ISERROR(SEARCH("/",J74)))</formula>
    </cfRule>
  </conditionalFormatting>
  <conditionalFormatting sqref="J75">
    <cfRule type="containsText" dxfId="1" priority="69" operator="between" text="/">
      <formula>NOT(ISERROR(SEARCH("/",J75)))</formula>
    </cfRule>
  </conditionalFormatting>
  <conditionalFormatting sqref="I76:J76">
    <cfRule type="containsText" dxfId="0" priority="65" operator="between" text="待">
      <formula>NOT(ISERROR(SEARCH("待",I76)))</formula>
    </cfRule>
  </conditionalFormatting>
  <conditionalFormatting sqref="J76">
    <cfRule type="containsText" dxfId="1" priority="64" operator="between" text="/">
      <formula>NOT(ISERROR(SEARCH("/",J76)))</formula>
    </cfRule>
  </conditionalFormatting>
  <conditionalFormatting sqref="J77">
    <cfRule type="containsText" dxfId="1" priority="68" operator="between" text="/">
      <formula>NOT(ISERROR(SEARCH("/",J77)))</formula>
    </cfRule>
  </conditionalFormatting>
  <conditionalFormatting sqref="J78">
    <cfRule type="containsText" dxfId="1" priority="67" operator="between" text="/">
      <formula>NOT(ISERROR(SEARCH("/",J78)))</formula>
    </cfRule>
  </conditionalFormatting>
  <conditionalFormatting sqref="I79:K79">
    <cfRule type="containsText" dxfId="0" priority="60" operator="between" text="待">
      <formula>NOT(ISERROR(SEARCH("待",I79)))</formula>
    </cfRule>
  </conditionalFormatting>
  <conditionalFormatting sqref="J79">
    <cfRule type="containsText" dxfId="1" priority="61" operator="between" text="/">
      <formula>NOT(ISERROR(SEARCH("/",J79)))</formula>
    </cfRule>
  </conditionalFormatting>
  <conditionalFormatting sqref="L79">
    <cfRule type="containsText" dxfId="0" priority="63" operator="between" text="待提单">
      <formula>NOT(ISERROR(SEARCH("待提单",L79)))</formula>
    </cfRule>
    <cfRule type="containsText" dxfId="0" priority="62" operator="between" text="待附件">
      <formula>NOT(ISERROR(SEARCH("待附件",L79)))</formula>
    </cfRule>
  </conditionalFormatting>
  <conditionalFormatting sqref="I80:J80">
    <cfRule type="containsText" dxfId="0" priority="42" operator="between" text="待">
      <formula>NOT(ISERROR(SEARCH("待",I80)))</formula>
    </cfRule>
  </conditionalFormatting>
  <conditionalFormatting sqref="J80">
    <cfRule type="containsText" dxfId="1" priority="43" operator="between" text="/">
      <formula>NOT(ISERROR(SEARCH("/",J80)))</formula>
    </cfRule>
  </conditionalFormatting>
  <conditionalFormatting sqref="J84">
    <cfRule type="containsText" dxfId="1" priority="37" operator="between" text="/">
      <formula>NOT(ISERROR(SEARCH("/",J84)))</formula>
    </cfRule>
  </conditionalFormatting>
  <conditionalFormatting sqref="J85">
    <cfRule type="containsText" dxfId="1" priority="36" operator="between" text="/">
      <formula>NOT(ISERROR(SEARCH("/",J85)))</formula>
    </cfRule>
  </conditionalFormatting>
  <conditionalFormatting sqref="J86">
    <cfRule type="containsText" dxfId="1" priority="35" operator="between" text="/">
      <formula>NOT(ISERROR(SEARCH("/",J86)))</formula>
    </cfRule>
  </conditionalFormatting>
  <conditionalFormatting sqref="I90:J90">
    <cfRule type="containsText" dxfId="0" priority="32" operator="between" text="待">
      <formula>NOT(ISERROR(SEARCH("待",I90)))</formula>
    </cfRule>
  </conditionalFormatting>
  <conditionalFormatting sqref="J90">
    <cfRule type="containsText" dxfId="1" priority="31" operator="between" text="/">
      <formula>NOT(ISERROR(SEARCH("/",J90)))</formula>
    </cfRule>
  </conditionalFormatting>
  <conditionalFormatting sqref="L95">
    <cfRule type="containsText" dxfId="0" priority="30" operator="between" text="待提单">
      <formula>NOT(ISERROR(SEARCH("待提单",L95)))</formula>
    </cfRule>
    <cfRule type="containsText" dxfId="0" priority="29" operator="between" text="待附件">
      <formula>NOT(ISERROR(SEARCH("待附件",L95)))</formula>
    </cfRule>
  </conditionalFormatting>
  <conditionalFormatting sqref="J96">
    <cfRule type="containsText" dxfId="1" priority="25" operator="between" text="/">
      <formula>NOT(ISERROR(SEARCH("/",J96)))</formula>
    </cfRule>
  </conditionalFormatting>
  <conditionalFormatting sqref="J97">
    <cfRule type="containsText" dxfId="1" priority="24" operator="between" text="/">
      <formula>NOT(ISERROR(SEARCH("/",J97)))</formula>
    </cfRule>
  </conditionalFormatting>
  <conditionalFormatting sqref="I98:J98">
    <cfRule type="containsText" dxfId="0" priority="28" operator="between" text="待">
      <formula>NOT(ISERROR(SEARCH("待",I98)))</formula>
    </cfRule>
  </conditionalFormatting>
  <conditionalFormatting sqref="J98">
    <cfRule type="containsText" dxfId="1" priority="27" operator="between" text="/">
      <formula>NOT(ISERROR(SEARCH("/",J98)))</formula>
    </cfRule>
  </conditionalFormatting>
  <conditionalFormatting sqref="J101">
    <cfRule type="containsText" dxfId="1" priority="12" operator="between" text="/">
      <formula>NOT(ISERROR(SEARCH("/",J101)))</formula>
    </cfRule>
  </conditionalFormatting>
  <conditionalFormatting sqref="I104:J104">
    <cfRule type="containsText" dxfId="0" priority="10" operator="between" text="待">
      <formula>NOT(ISERROR(SEARCH("待",I104)))</formula>
    </cfRule>
  </conditionalFormatting>
  <conditionalFormatting sqref="J104">
    <cfRule type="containsText" dxfId="1" priority="9" operator="between" text="/">
      <formula>NOT(ISERROR(SEARCH("/",J104)))</formula>
    </cfRule>
  </conditionalFormatting>
  <conditionalFormatting sqref="J105">
    <cfRule type="containsText" dxfId="1" priority="14" operator="between" text="/">
      <formula>NOT(ISERROR(SEARCH("/",J105)))</formula>
    </cfRule>
  </conditionalFormatting>
  <conditionalFormatting sqref="J106">
    <cfRule type="containsText" dxfId="1" priority="13" operator="between" text="/">
      <formula>NOT(ISERROR(SEARCH("/",J106)))</formula>
    </cfRule>
  </conditionalFormatting>
  <conditionalFormatting sqref="J107">
    <cfRule type="containsText" dxfId="1" priority="19" operator="between" text="/">
      <formula>NOT(ISERROR(SEARCH("/",J107)))</formula>
    </cfRule>
  </conditionalFormatting>
  <conditionalFormatting sqref="J108">
    <cfRule type="containsText" dxfId="1" priority="18" operator="between" text="/">
      <formula>NOT(ISERROR(SEARCH("/",J108)))</formula>
    </cfRule>
  </conditionalFormatting>
  <conditionalFormatting sqref="I109:J109">
    <cfRule type="containsText" dxfId="0" priority="16" operator="between" text="待">
      <formula>NOT(ISERROR(SEARCH("待",I109)))</formula>
    </cfRule>
  </conditionalFormatting>
  <conditionalFormatting sqref="J109">
    <cfRule type="containsText" dxfId="1" priority="15" operator="between" text="/">
      <formula>NOT(ISERROR(SEARCH("/",J109)))</formula>
    </cfRule>
  </conditionalFormatting>
  <conditionalFormatting sqref="J110">
    <cfRule type="containsText" dxfId="1" priority="17" operator="between" text="/">
      <formula>NOT(ISERROR(SEARCH("/",J110)))</formula>
    </cfRule>
  </conditionalFormatting>
  <conditionalFormatting sqref="I112">
    <cfRule type="containsText" dxfId="1" priority="11" operator="between" text="/">
      <formula>NOT(ISERROR(SEARCH("/",I112)))</formula>
    </cfRule>
  </conditionalFormatting>
  <conditionalFormatting sqref="I113:J113">
    <cfRule type="containsText" dxfId="0" priority="5" operator="between" text="待">
      <formula>NOT(ISERROR(SEARCH("待",I113)))</formula>
    </cfRule>
  </conditionalFormatting>
  <conditionalFormatting sqref="J113">
    <cfRule type="containsText" dxfId="1" priority="6" operator="between" text="/">
      <formula>NOT(ISERROR(SEARCH("/",J113)))</formula>
    </cfRule>
  </conditionalFormatting>
  <conditionalFormatting sqref="J114">
    <cfRule type="containsText" dxfId="1" priority="4" operator="between" text="/">
      <formula>NOT(ISERROR(SEARCH("/",J114)))</formula>
    </cfRule>
  </conditionalFormatting>
  <conditionalFormatting sqref="I115:J115">
    <cfRule type="containsText" dxfId="0" priority="3" operator="between" text="待">
      <formula>NOT(ISERROR(SEARCH("待",I115)))</formula>
    </cfRule>
  </conditionalFormatting>
  <conditionalFormatting sqref="J115">
    <cfRule type="containsText" dxfId="1" priority="2" operator="between" text="/">
      <formula>NOT(ISERROR(SEARCH("/",J115)))</formula>
    </cfRule>
  </conditionalFormatting>
  <conditionalFormatting sqref="J116">
    <cfRule type="containsText" dxfId="1" priority="1" operator="between" text="/">
      <formula>NOT(ISERROR(SEARCH("/",J116)))</formula>
    </cfRule>
  </conditionalFormatting>
  <conditionalFormatting sqref="I117:J117">
    <cfRule type="containsText" dxfId="0" priority="7" operator="between" text="待">
      <formula>NOT(ISERROR(SEARCH("待",I117)))</formula>
    </cfRule>
  </conditionalFormatting>
  <conditionalFormatting sqref="J117">
    <cfRule type="containsText" dxfId="1" priority="8" operator="between" text="/">
      <formula>NOT(ISERROR(SEARCH("/",J117)))</formula>
    </cfRule>
  </conditionalFormatting>
  <conditionalFormatting sqref="J16:J17">
    <cfRule type="containsText" dxfId="1" priority="170" operator="between" text="/">
      <formula>NOT(ISERROR(SEARCH("/",J16)))</formula>
    </cfRule>
  </conditionalFormatting>
  <conditionalFormatting sqref="J67:J68">
    <cfRule type="containsText" dxfId="1" priority="73" operator="between" text="/">
      <formula>NOT(ISERROR(SEARCH("/",J67)))</formula>
    </cfRule>
  </conditionalFormatting>
  <conditionalFormatting sqref="J87:J89">
    <cfRule type="containsText" dxfId="1" priority="33" operator="between" text="/">
      <formula>NOT(ISERROR(SEARCH("/",J87)))</formula>
    </cfRule>
  </conditionalFormatting>
  <conditionalFormatting sqref="J99:J100">
    <cfRule type="containsText" dxfId="1" priority="26" operator="between" text="/">
      <formula>NOT(ISERROR(SEARCH("/",J99)))</formula>
    </cfRule>
  </conditionalFormatting>
  <conditionalFormatting sqref="I2 I136:L1048576">
    <cfRule type="containsText" dxfId="0" priority="189" operator="between" text="待">
      <formula>NOT(ISERROR(SEARCH("待",I2)))</formula>
    </cfRule>
  </conditionalFormatting>
  <conditionalFormatting sqref="I13:K14 I50:J50 I51:K53 K54 I55:K56 K57:K58 I59:K64 J65:K65 I66:K69 I71:K72 K73 I74:K75 K76 I77:K78 K80 I81:K83 K84:K86 I87:K89 K90 I91:K97 K98 I99:K103 I105:K108 I32:K32 K109 I110:K112 K113 I114:K114 K115 I116:K116 K117 I118:K135 I35:K36 I21:K26 I28:K30 K49 K27 K15:K20 K33 K37 I44:K47 K42:K43 I41:J41 K40 I38:K39">
    <cfRule type="containsText" dxfId="0" priority="185" operator="between" text="待">
      <formula>NOT(ISERROR(SEARCH("待",I13)))</formula>
    </cfRule>
  </conditionalFormatting>
  <conditionalFormatting sqref="J13:J14 J21:J26 J28:J30 J50:J51 J44:J47 J41 J38:J39 J35:J36 J32 J55:J56 J59:J65 J81:J83 J91:J95 J102:J103 J111 J118:J135">
    <cfRule type="containsText" dxfId="1" priority="186" operator="between" text="/">
      <formula>NOT(ISERROR(SEARCH("/",J13)))</formula>
    </cfRule>
  </conditionalFormatting>
  <conditionalFormatting sqref="L14:L25 L49:L64 L66:L69 L71:L78 L80:L94 L96:L135 L27:L47">
    <cfRule type="containsText" dxfId="0" priority="187" operator="between" text="待附件">
      <formula>NOT(ISERROR(SEARCH("待附件",L14)))</formula>
    </cfRule>
    <cfRule type="containsText" dxfId="0" priority="188" operator="between" text="待提单">
      <formula>NOT(ISERROR(SEARCH("待提单",L14)))</formula>
    </cfRule>
  </conditionalFormatting>
  <conditionalFormatting sqref="I16:J17">
    <cfRule type="containsText" dxfId="0" priority="169" operator="between" text="待">
      <formula>NOT(ISERROR(SEARCH("待",I16)))</formula>
    </cfRule>
  </conditionalFormatting>
  <conditionalFormatting sqref="I84:J86">
    <cfRule type="containsText" dxfId="0" priority="34" operator="between" text="待">
      <formula>NOT(ISERROR(SEARCH("待",I84)))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6"/>
  <sheetViews>
    <sheetView zoomScale="85" zoomScaleNormal="85" workbookViewId="0">
      <pane xSplit="2" ySplit="2" topLeftCell="C115" activePane="bottomRight" state="frozen"/>
      <selection/>
      <selection pane="topRight"/>
      <selection pane="bottomLeft"/>
      <selection pane="bottomRight" activeCell="I137" sqref="I137:J137"/>
    </sheetView>
  </sheetViews>
  <sheetFormatPr defaultColWidth="9" defaultRowHeight="15"/>
  <cols>
    <col min="1" max="1" width="15.2857142857143" style="19" customWidth="1"/>
    <col min="2" max="2" width="2.28571428571429" style="19" customWidth="1"/>
    <col min="3" max="3" width="29.2857142857143" style="19" customWidth="1"/>
    <col min="4" max="4" width="23.1428571428571" style="19" customWidth="1"/>
    <col min="5" max="5" width="18.2857142857143" style="19" customWidth="1"/>
    <col min="6" max="7" width="13" style="19" customWidth="1"/>
    <col min="8" max="8" width="34.5714285714286" style="19" customWidth="1"/>
    <col min="9" max="9" width="11" style="19" customWidth="1"/>
    <col min="10" max="10" width="25.8571428571429" style="19" customWidth="1"/>
    <col min="11" max="11" width="17.4285714285714" style="116" customWidth="1"/>
    <col min="12" max="12" width="13.1428571428571" style="116" customWidth="1"/>
    <col min="13" max="13" width="11.1428571428571" style="124" customWidth="1"/>
    <col min="14" max="14" width="11.7142857142857" style="19" customWidth="1"/>
    <col min="15" max="16384" width="9" style="19" customWidth="1"/>
  </cols>
  <sheetData>
    <row r="1" spans="1:12">
      <c r="A1" s="47" t="s">
        <v>302</v>
      </c>
      <c r="B1" s="48"/>
      <c r="C1" s="48"/>
      <c r="D1" s="48"/>
      <c r="E1" s="48"/>
      <c r="F1" s="48"/>
      <c r="G1" s="48"/>
      <c r="H1" s="49"/>
      <c r="I1" s="36"/>
      <c r="J1" s="36"/>
      <c r="K1" s="118"/>
      <c r="L1" s="118"/>
    </row>
    <row r="2" s="123" customFormat="1" ht="15.75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</row>
    <row r="3" s="1" customFormat="1" ht="29.25" spans="1:14">
      <c r="A3" s="6" t="s">
        <v>14</v>
      </c>
      <c r="B3" s="7"/>
      <c r="C3" s="8" t="s">
        <v>23</v>
      </c>
      <c r="D3" s="6" t="s">
        <v>20</v>
      </c>
      <c r="E3" s="6" t="s">
        <v>20</v>
      </c>
      <c r="F3" s="9">
        <v>534.72</v>
      </c>
      <c r="G3" s="10" t="s">
        <v>20</v>
      </c>
      <c r="H3" s="11" t="s">
        <v>303</v>
      </c>
      <c r="I3" s="15" t="s">
        <v>26</v>
      </c>
      <c r="J3" s="16" t="s">
        <v>27</v>
      </c>
      <c r="K3" s="17" t="s">
        <v>20</v>
      </c>
      <c r="L3" s="17" t="s">
        <v>20</v>
      </c>
      <c r="M3" s="18">
        <v>45870</v>
      </c>
      <c r="N3" s="18" t="s">
        <v>20</v>
      </c>
    </row>
    <row r="4" s="1" customFormat="1" ht="29.25" spans="1:14">
      <c r="A4" s="6" t="s">
        <v>14</v>
      </c>
      <c r="B4" s="7"/>
      <c r="C4" s="8" t="s">
        <v>15</v>
      </c>
      <c r="D4" s="6" t="s">
        <v>304</v>
      </c>
      <c r="E4" s="6" t="s">
        <v>20</v>
      </c>
      <c r="F4" s="9">
        <v>4.23</v>
      </c>
      <c r="G4" s="10" t="s">
        <v>20</v>
      </c>
      <c r="H4" s="11" t="s">
        <v>305</v>
      </c>
      <c r="I4" s="15" t="s">
        <v>38</v>
      </c>
      <c r="J4" s="16" t="s">
        <v>39</v>
      </c>
      <c r="K4" s="17" t="s">
        <v>20</v>
      </c>
      <c r="L4" s="17" t="s">
        <v>102</v>
      </c>
      <c r="M4" s="18">
        <v>45875</v>
      </c>
      <c r="N4" s="18" t="s">
        <v>20</v>
      </c>
    </row>
    <row r="5" s="1" customFormat="1" ht="29.25" spans="1:14">
      <c r="A5" s="6" t="s">
        <v>14</v>
      </c>
      <c r="B5" s="7"/>
      <c r="C5" s="8" t="s">
        <v>15</v>
      </c>
      <c r="D5" s="6" t="s">
        <v>304</v>
      </c>
      <c r="E5" s="6" t="s">
        <v>20</v>
      </c>
      <c r="F5" s="9">
        <v>104.65</v>
      </c>
      <c r="G5" s="10" t="s">
        <v>20</v>
      </c>
      <c r="H5" s="11" t="s">
        <v>306</v>
      </c>
      <c r="I5" s="15" t="s">
        <v>38</v>
      </c>
      <c r="J5" s="16" t="s">
        <v>39</v>
      </c>
      <c r="K5" s="17" t="s">
        <v>20</v>
      </c>
      <c r="L5" s="17" t="s">
        <v>102</v>
      </c>
      <c r="M5" s="18">
        <v>45875</v>
      </c>
      <c r="N5" s="18" t="s">
        <v>20</v>
      </c>
    </row>
    <row r="6" s="1" customFormat="1" ht="29.25" spans="1:14">
      <c r="A6" s="6" t="s">
        <v>14</v>
      </c>
      <c r="B6" s="7"/>
      <c r="C6" s="8" t="s">
        <v>15</v>
      </c>
      <c r="D6" s="6" t="s">
        <v>304</v>
      </c>
      <c r="E6" s="6" t="s">
        <v>20</v>
      </c>
      <c r="F6" s="9">
        <v>0.1</v>
      </c>
      <c r="G6" s="10" t="s">
        <v>20</v>
      </c>
      <c r="H6" s="11" t="s">
        <v>307</v>
      </c>
      <c r="I6" s="15" t="s">
        <v>38</v>
      </c>
      <c r="J6" s="16" t="s">
        <v>39</v>
      </c>
      <c r="K6" s="17" t="s">
        <v>20</v>
      </c>
      <c r="L6" s="17" t="s">
        <v>102</v>
      </c>
      <c r="M6" s="18">
        <v>45875</v>
      </c>
      <c r="N6" s="18" t="s">
        <v>20</v>
      </c>
    </row>
    <row r="7" s="1" customFormat="1" ht="29.25" spans="1:14">
      <c r="A7" s="6" t="s">
        <v>14</v>
      </c>
      <c r="B7" s="7"/>
      <c r="C7" s="8" t="s">
        <v>15</v>
      </c>
      <c r="D7" s="6" t="s">
        <v>304</v>
      </c>
      <c r="E7" s="6" t="s">
        <v>20</v>
      </c>
      <c r="F7" s="9">
        <v>1.52</v>
      </c>
      <c r="G7" s="10" t="s">
        <v>20</v>
      </c>
      <c r="H7" s="11" t="s">
        <v>308</v>
      </c>
      <c r="I7" s="15" t="s">
        <v>38</v>
      </c>
      <c r="J7" s="16" t="s">
        <v>39</v>
      </c>
      <c r="K7" s="17" t="s">
        <v>20</v>
      </c>
      <c r="L7" s="17" t="s">
        <v>102</v>
      </c>
      <c r="M7" s="18">
        <v>45875</v>
      </c>
      <c r="N7" s="18" t="s">
        <v>20</v>
      </c>
    </row>
    <row r="8" s="1" customFormat="1" ht="29.25" spans="1:14">
      <c r="A8" s="6" t="s">
        <v>14</v>
      </c>
      <c r="B8" s="7"/>
      <c r="C8" s="8" t="s">
        <v>15</v>
      </c>
      <c r="D8" s="6" t="s">
        <v>304</v>
      </c>
      <c r="E8" s="6" t="s">
        <v>20</v>
      </c>
      <c r="F8" s="9">
        <v>2.36</v>
      </c>
      <c r="G8" s="10" t="s">
        <v>20</v>
      </c>
      <c r="H8" s="11" t="s">
        <v>309</v>
      </c>
      <c r="I8" s="15" t="s">
        <v>38</v>
      </c>
      <c r="J8" s="16" t="s">
        <v>39</v>
      </c>
      <c r="K8" s="17" t="s">
        <v>20</v>
      </c>
      <c r="L8" s="17" t="s">
        <v>102</v>
      </c>
      <c r="M8" s="18">
        <v>45875</v>
      </c>
      <c r="N8" s="18" t="s">
        <v>20</v>
      </c>
    </row>
    <row r="9" s="1" customFormat="1" ht="29.25" spans="1:14">
      <c r="A9" s="6" t="s">
        <v>14</v>
      </c>
      <c r="B9" s="7"/>
      <c r="C9" s="8" t="s">
        <v>15</v>
      </c>
      <c r="D9" s="6" t="s">
        <v>310</v>
      </c>
      <c r="E9" s="6" t="s">
        <v>20</v>
      </c>
      <c r="F9" s="9">
        <v>96.76</v>
      </c>
      <c r="G9" s="10" t="s">
        <v>20</v>
      </c>
      <c r="H9" s="11" t="s">
        <v>288</v>
      </c>
      <c r="I9" s="15" t="s">
        <v>202</v>
      </c>
      <c r="J9" s="16" t="s">
        <v>311</v>
      </c>
      <c r="K9" s="17" t="s">
        <v>20</v>
      </c>
      <c r="L9" s="17" t="s">
        <v>295</v>
      </c>
      <c r="M9" s="18">
        <v>45875</v>
      </c>
      <c r="N9" s="18" t="s">
        <v>20</v>
      </c>
    </row>
    <row r="10" s="1" customFormat="1" ht="15.75" spans="1:14">
      <c r="A10" s="6" t="s">
        <v>14</v>
      </c>
      <c r="B10" s="7"/>
      <c r="C10" s="8" t="s">
        <v>58</v>
      </c>
      <c r="D10" s="6" t="s">
        <v>20</v>
      </c>
      <c r="E10" s="6" t="s">
        <v>20</v>
      </c>
      <c r="F10" s="9" t="s">
        <v>20</v>
      </c>
      <c r="G10" s="10">
        <v>6286</v>
      </c>
      <c r="H10" s="11" t="s">
        <v>312</v>
      </c>
      <c r="I10" s="15" t="s">
        <v>31</v>
      </c>
      <c r="J10" s="16" t="s">
        <v>62</v>
      </c>
      <c r="K10" s="17" t="s">
        <v>20</v>
      </c>
      <c r="L10" s="17" t="s">
        <v>20</v>
      </c>
      <c r="M10" s="18" t="s">
        <v>20</v>
      </c>
      <c r="N10" s="18" t="s">
        <v>20</v>
      </c>
    </row>
    <row r="11" s="1" customFormat="1" ht="15.75" spans="1:14">
      <c r="A11" s="6" t="s">
        <v>14</v>
      </c>
      <c r="B11" s="7"/>
      <c r="C11" s="8" t="s">
        <v>28</v>
      </c>
      <c r="D11" s="6" t="s">
        <v>313</v>
      </c>
      <c r="E11" s="6" t="s">
        <v>20</v>
      </c>
      <c r="F11" s="9" t="s">
        <v>20</v>
      </c>
      <c r="G11" s="10">
        <v>2732.51</v>
      </c>
      <c r="H11" s="11" t="s">
        <v>30</v>
      </c>
      <c r="I11" s="15" t="s">
        <v>31</v>
      </c>
      <c r="J11" s="16" t="s">
        <v>32</v>
      </c>
      <c r="K11" s="17" t="s">
        <v>20</v>
      </c>
      <c r="L11" s="17" t="s">
        <v>20</v>
      </c>
      <c r="M11" s="18" t="s">
        <v>20</v>
      </c>
      <c r="N11" s="18" t="s">
        <v>20</v>
      </c>
    </row>
    <row r="12" s="1" customFormat="1" ht="15.75" spans="1:14">
      <c r="A12" s="6" t="s">
        <v>14</v>
      </c>
      <c r="B12" s="7"/>
      <c r="C12" s="8" t="s">
        <v>28</v>
      </c>
      <c r="D12" s="6" t="s">
        <v>314</v>
      </c>
      <c r="E12" s="6" t="s">
        <v>20</v>
      </c>
      <c r="F12" s="9" t="s">
        <v>20</v>
      </c>
      <c r="G12" s="10">
        <v>28265.42</v>
      </c>
      <c r="H12" s="11" t="s">
        <v>315</v>
      </c>
      <c r="I12" s="15" t="s">
        <v>31</v>
      </c>
      <c r="J12" s="16" t="s">
        <v>35</v>
      </c>
      <c r="K12" s="17" t="s">
        <v>20</v>
      </c>
      <c r="L12" s="17" t="s">
        <v>20</v>
      </c>
      <c r="M12" s="18" t="s">
        <v>20</v>
      </c>
      <c r="N12" s="18" t="s">
        <v>20</v>
      </c>
    </row>
    <row r="13" s="1" customFormat="1" ht="29.25" spans="1:14">
      <c r="A13" s="6" t="s">
        <v>14</v>
      </c>
      <c r="B13" s="7"/>
      <c r="C13" s="8" t="s">
        <v>15</v>
      </c>
      <c r="D13" s="6" t="s">
        <v>314</v>
      </c>
      <c r="E13" s="6" t="s">
        <v>20</v>
      </c>
      <c r="F13" s="9">
        <v>12653.57</v>
      </c>
      <c r="G13" s="10" t="s">
        <v>20</v>
      </c>
      <c r="H13" s="11" t="s">
        <v>316</v>
      </c>
      <c r="I13" s="15" t="s">
        <v>38</v>
      </c>
      <c r="J13" s="16" t="s">
        <v>48</v>
      </c>
      <c r="K13" s="17" t="s">
        <v>20</v>
      </c>
      <c r="L13" s="17" t="s">
        <v>21</v>
      </c>
      <c r="M13" s="18">
        <v>45875</v>
      </c>
      <c r="N13" s="18" t="s">
        <v>20</v>
      </c>
    </row>
    <row r="14" s="1" customFormat="1" ht="15.75" spans="1:14">
      <c r="A14" s="6" t="s">
        <v>14</v>
      </c>
      <c r="B14" s="7"/>
      <c r="C14" s="8" t="s">
        <v>58</v>
      </c>
      <c r="D14" s="6" t="s">
        <v>20</v>
      </c>
      <c r="E14" s="6" t="s">
        <v>20</v>
      </c>
      <c r="F14" s="9" t="s">
        <v>20</v>
      </c>
      <c r="G14" s="10">
        <v>5018.4</v>
      </c>
      <c r="H14" s="11" t="s">
        <v>317</v>
      </c>
      <c r="I14" s="68" t="s">
        <v>31</v>
      </c>
      <c r="J14" s="16" t="s">
        <v>62</v>
      </c>
      <c r="K14" s="17" t="s">
        <v>20</v>
      </c>
      <c r="L14" s="17" t="s">
        <v>20</v>
      </c>
      <c r="M14" s="18" t="s">
        <v>20</v>
      </c>
      <c r="N14" s="18" t="s">
        <v>20</v>
      </c>
    </row>
    <row r="15" s="1" customFormat="1" ht="29.25" spans="1:14">
      <c r="A15" s="6" t="s">
        <v>14</v>
      </c>
      <c r="B15" s="7"/>
      <c r="C15" s="8" t="s">
        <v>23</v>
      </c>
      <c r="D15" s="6" t="s">
        <v>20</v>
      </c>
      <c r="E15" s="6" t="s">
        <v>20</v>
      </c>
      <c r="F15" s="9">
        <v>113.25</v>
      </c>
      <c r="G15" s="10" t="s">
        <v>20</v>
      </c>
      <c r="H15" s="11" t="s">
        <v>318</v>
      </c>
      <c r="I15" s="15" t="s">
        <v>26</v>
      </c>
      <c r="J15" s="16" t="s">
        <v>27</v>
      </c>
      <c r="K15" s="17" t="s">
        <v>20</v>
      </c>
      <c r="L15" s="17" t="s">
        <v>20</v>
      </c>
      <c r="M15" s="18" t="s">
        <v>20</v>
      </c>
      <c r="N15" s="18" t="s">
        <v>20</v>
      </c>
    </row>
    <row r="16" s="1" customFormat="1" ht="15.75" spans="1:14">
      <c r="A16" s="6" t="s">
        <v>14</v>
      </c>
      <c r="B16" s="7"/>
      <c r="C16" s="8" t="s">
        <v>63</v>
      </c>
      <c r="D16" s="6" t="s">
        <v>20</v>
      </c>
      <c r="E16" s="6" t="s">
        <v>20</v>
      </c>
      <c r="F16" s="9">
        <v>500000</v>
      </c>
      <c r="G16" s="10" t="s">
        <v>20</v>
      </c>
      <c r="H16" s="11" t="s">
        <v>229</v>
      </c>
      <c r="I16" s="15" t="s">
        <v>65</v>
      </c>
      <c r="J16" s="16" t="s">
        <v>66</v>
      </c>
      <c r="K16" s="17" t="s">
        <v>20</v>
      </c>
      <c r="L16" s="17" t="s">
        <v>20</v>
      </c>
      <c r="M16" s="18" t="s">
        <v>20</v>
      </c>
      <c r="N16" s="18" t="s">
        <v>20</v>
      </c>
    </row>
    <row r="17" s="1" customFormat="1" ht="29.25" spans="1:14">
      <c r="A17" s="6" t="s">
        <v>69</v>
      </c>
      <c r="B17" s="7"/>
      <c r="C17" s="8" t="s">
        <v>15</v>
      </c>
      <c r="D17" s="6" t="s">
        <v>304</v>
      </c>
      <c r="E17" s="6" t="s">
        <v>20</v>
      </c>
      <c r="F17" s="9">
        <v>11.3</v>
      </c>
      <c r="G17" s="10" t="s">
        <v>20</v>
      </c>
      <c r="H17" s="11" t="s">
        <v>306</v>
      </c>
      <c r="I17" s="15" t="s">
        <v>38</v>
      </c>
      <c r="J17" s="16" t="s">
        <v>39</v>
      </c>
      <c r="K17" s="17" t="s">
        <v>20</v>
      </c>
      <c r="L17" s="17" t="s">
        <v>102</v>
      </c>
      <c r="M17" s="18">
        <v>45875</v>
      </c>
      <c r="N17" s="18" t="s">
        <v>20</v>
      </c>
    </row>
    <row r="18" s="1" customFormat="1" ht="29.25" spans="1:14">
      <c r="A18" s="6" t="s">
        <v>69</v>
      </c>
      <c r="B18" s="7"/>
      <c r="C18" s="8" t="s">
        <v>15</v>
      </c>
      <c r="D18" s="6" t="s">
        <v>319</v>
      </c>
      <c r="E18" s="6" t="s">
        <v>20</v>
      </c>
      <c r="F18" s="9">
        <v>477.52</v>
      </c>
      <c r="G18" s="10" t="s">
        <v>20</v>
      </c>
      <c r="H18" s="11" t="s">
        <v>288</v>
      </c>
      <c r="I18" s="15" t="s">
        <v>202</v>
      </c>
      <c r="J18" s="16" t="s">
        <v>320</v>
      </c>
      <c r="K18" s="17" t="s">
        <v>20</v>
      </c>
      <c r="L18" s="17" t="s">
        <v>21</v>
      </c>
      <c r="M18" s="18">
        <v>45875</v>
      </c>
      <c r="N18" s="18" t="s">
        <v>20</v>
      </c>
    </row>
    <row r="19" s="1" customFormat="1" ht="15.75" spans="1:14">
      <c r="A19" s="6" t="s">
        <v>69</v>
      </c>
      <c r="B19" s="7"/>
      <c r="C19" s="8" t="s">
        <v>28</v>
      </c>
      <c r="D19" s="6" t="s">
        <v>20</v>
      </c>
      <c r="E19" s="6" t="s">
        <v>20</v>
      </c>
      <c r="F19" s="9" t="s">
        <v>20</v>
      </c>
      <c r="G19" s="10">
        <v>243.39</v>
      </c>
      <c r="H19" s="11" t="s">
        <v>80</v>
      </c>
      <c r="I19" s="15" t="s">
        <v>31</v>
      </c>
      <c r="J19" s="16" t="s">
        <v>81</v>
      </c>
      <c r="K19" s="17" t="s">
        <v>20</v>
      </c>
      <c r="L19" s="17" t="s">
        <v>20</v>
      </c>
      <c r="M19" s="18" t="s">
        <v>20</v>
      </c>
      <c r="N19" s="18" t="s">
        <v>20</v>
      </c>
    </row>
    <row r="20" s="1" customFormat="1" ht="15.75" spans="1:14">
      <c r="A20" s="6" t="s">
        <v>69</v>
      </c>
      <c r="B20" s="7"/>
      <c r="C20" s="8" t="s">
        <v>28</v>
      </c>
      <c r="D20" s="6" t="s">
        <v>20</v>
      </c>
      <c r="E20" s="6" t="s">
        <v>20</v>
      </c>
      <c r="F20" s="9" t="s">
        <v>20</v>
      </c>
      <c r="G20" s="10">
        <v>2769.27</v>
      </c>
      <c r="H20" s="11" t="s">
        <v>80</v>
      </c>
      <c r="I20" s="15" t="s">
        <v>31</v>
      </c>
      <c r="J20" s="16" t="s">
        <v>81</v>
      </c>
      <c r="K20" s="17" t="s">
        <v>20</v>
      </c>
      <c r="L20" s="17" t="s">
        <v>20</v>
      </c>
      <c r="M20" s="18" t="s">
        <v>20</v>
      </c>
      <c r="N20" s="18" t="s">
        <v>20</v>
      </c>
    </row>
    <row r="21" s="1" customFormat="1" ht="15.75" spans="1:14">
      <c r="A21" s="6" t="s">
        <v>69</v>
      </c>
      <c r="B21" s="7"/>
      <c r="C21" s="8" t="s">
        <v>28</v>
      </c>
      <c r="D21" s="6" t="s">
        <v>20</v>
      </c>
      <c r="E21" s="6" t="s">
        <v>20</v>
      </c>
      <c r="F21" s="9" t="s">
        <v>20</v>
      </c>
      <c r="G21" s="10">
        <v>4366.17</v>
      </c>
      <c r="H21" s="11" t="s">
        <v>80</v>
      </c>
      <c r="I21" s="15" t="s">
        <v>31</v>
      </c>
      <c r="J21" s="16" t="s">
        <v>81</v>
      </c>
      <c r="K21" s="17" t="s">
        <v>20</v>
      </c>
      <c r="L21" s="17" t="s">
        <v>20</v>
      </c>
      <c r="M21" s="18" t="s">
        <v>20</v>
      </c>
      <c r="N21" s="18" t="s">
        <v>20</v>
      </c>
    </row>
    <row r="22" s="1" customFormat="1" ht="15.75" spans="1:14">
      <c r="A22" s="6" t="s">
        <v>69</v>
      </c>
      <c r="B22" s="7"/>
      <c r="C22" s="8" t="s">
        <v>28</v>
      </c>
      <c r="D22" s="6" t="s">
        <v>20</v>
      </c>
      <c r="E22" s="6" t="s">
        <v>20</v>
      </c>
      <c r="F22" s="9" t="s">
        <v>20</v>
      </c>
      <c r="G22" s="10">
        <v>2733.02</v>
      </c>
      <c r="H22" s="11" t="s">
        <v>30</v>
      </c>
      <c r="I22" s="15" t="s">
        <v>31</v>
      </c>
      <c r="J22" s="16" t="s">
        <v>32</v>
      </c>
      <c r="K22" s="17" t="s">
        <v>20</v>
      </c>
      <c r="L22" s="17" t="s">
        <v>20</v>
      </c>
      <c r="M22" s="18" t="s">
        <v>20</v>
      </c>
      <c r="N22" s="18" t="s">
        <v>20</v>
      </c>
    </row>
    <row r="23" s="1" customFormat="1" ht="15.75" spans="1:14">
      <c r="A23" s="6" t="s">
        <v>69</v>
      </c>
      <c r="B23" s="7"/>
      <c r="C23" s="8" t="s">
        <v>28</v>
      </c>
      <c r="D23" s="6" t="s">
        <v>20</v>
      </c>
      <c r="E23" s="6" t="s">
        <v>20</v>
      </c>
      <c r="F23" s="9" t="s">
        <v>20</v>
      </c>
      <c r="G23" s="10">
        <v>3295.16</v>
      </c>
      <c r="H23" s="11" t="s">
        <v>30</v>
      </c>
      <c r="I23" s="15" t="s">
        <v>31</v>
      </c>
      <c r="J23" s="16" t="s">
        <v>32</v>
      </c>
      <c r="K23" s="17" t="s">
        <v>20</v>
      </c>
      <c r="L23" s="17" t="s">
        <v>20</v>
      </c>
      <c r="M23" s="18" t="s">
        <v>20</v>
      </c>
      <c r="N23" s="18" t="s">
        <v>20</v>
      </c>
    </row>
    <row r="24" s="1" customFormat="1" ht="15.75" spans="1:14">
      <c r="A24" s="6" t="s">
        <v>69</v>
      </c>
      <c r="B24" s="7"/>
      <c r="C24" s="8" t="s">
        <v>28</v>
      </c>
      <c r="D24" s="6" t="s">
        <v>20</v>
      </c>
      <c r="E24" s="6" t="s">
        <v>20</v>
      </c>
      <c r="F24" s="9" t="s">
        <v>20</v>
      </c>
      <c r="G24" s="10">
        <v>1174.93</v>
      </c>
      <c r="H24" s="11" t="s">
        <v>30</v>
      </c>
      <c r="I24" s="15" t="s">
        <v>31</v>
      </c>
      <c r="J24" s="16" t="s">
        <v>32</v>
      </c>
      <c r="K24" s="17" t="s">
        <v>20</v>
      </c>
      <c r="L24" s="17" t="s">
        <v>20</v>
      </c>
      <c r="M24" s="18" t="s">
        <v>20</v>
      </c>
      <c r="N24" s="18" t="s">
        <v>20</v>
      </c>
    </row>
    <row r="25" s="1" customFormat="1" ht="15.75" spans="1:14">
      <c r="A25" s="6" t="s">
        <v>69</v>
      </c>
      <c r="B25" s="7"/>
      <c r="C25" s="8" t="s">
        <v>28</v>
      </c>
      <c r="D25" s="6" t="s">
        <v>20</v>
      </c>
      <c r="E25" s="6" t="s">
        <v>20</v>
      </c>
      <c r="F25" s="9" t="s">
        <v>20</v>
      </c>
      <c r="G25" s="10">
        <v>1695.23</v>
      </c>
      <c r="H25" s="11" t="s">
        <v>30</v>
      </c>
      <c r="I25" s="15" t="s">
        <v>31</v>
      </c>
      <c r="J25" s="16" t="s">
        <v>32</v>
      </c>
      <c r="K25" s="17" t="s">
        <v>20</v>
      </c>
      <c r="L25" s="17" t="s">
        <v>20</v>
      </c>
      <c r="M25" s="18" t="s">
        <v>20</v>
      </c>
      <c r="N25" s="18" t="s">
        <v>20</v>
      </c>
    </row>
    <row r="26" s="1" customFormat="1" ht="15.75" spans="1:14">
      <c r="A26" s="6" t="s">
        <v>69</v>
      </c>
      <c r="B26" s="7"/>
      <c r="C26" s="8" t="s">
        <v>28</v>
      </c>
      <c r="D26" s="6" t="s">
        <v>20</v>
      </c>
      <c r="E26" s="6" t="s">
        <v>20</v>
      </c>
      <c r="F26" s="9" t="s">
        <v>20</v>
      </c>
      <c r="G26" s="10">
        <v>167018.78</v>
      </c>
      <c r="H26" s="11" t="s">
        <v>315</v>
      </c>
      <c r="I26" s="15" t="s">
        <v>31</v>
      </c>
      <c r="J26" s="16" t="s">
        <v>35</v>
      </c>
      <c r="K26" s="17" t="s">
        <v>20</v>
      </c>
      <c r="L26" s="17" t="s">
        <v>20</v>
      </c>
      <c r="M26" s="18" t="s">
        <v>20</v>
      </c>
      <c r="N26" s="18" t="s">
        <v>20</v>
      </c>
    </row>
    <row r="27" s="1" customFormat="1" ht="15.75" spans="1:14">
      <c r="A27" s="6" t="s">
        <v>69</v>
      </c>
      <c r="B27" s="7"/>
      <c r="C27" s="8" t="s">
        <v>58</v>
      </c>
      <c r="D27" s="6" t="s">
        <v>20</v>
      </c>
      <c r="E27" s="6" t="s">
        <v>20</v>
      </c>
      <c r="F27" s="9" t="s">
        <v>20</v>
      </c>
      <c r="G27" s="10">
        <v>7081.7</v>
      </c>
      <c r="H27" s="11" t="s">
        <v>312</v>
      </c>
      <c r="I27" s="68" t="s">
        <v>31</v>
      </c>
      <c r="J27" s="16" t="s">
        <v>62</v>
      </c>
      <c r="K27" s="17" t="s">
        <v>20</v>
      </c>
      <c r="L27" s="17" t="s">
        <v>20</v>
      </c>
      <c r="M27" s="18" t="s">
        <v>20</v>
      </c>
      <c r="N27" s="18" t="s">
        <v>20</v>
      </c>
    </row>
    <row r="28" s="1" customFormat="1" ht="15.75" spans="1:14">
      <c r="A28" s="6" t="s">
        <v>69</v>
      </c>
      <c r="B28" s="7"/>
      <c r="C28" s="8" t="s">
        <v>58</v>
      </c>
      <c r="D28" s="6" t="s">
        <v>20</v>
      </c>
      <c r="E28" s="6" t="s">
        <v>20</v>
      </c>
      <c r="F28" s="9" t="s">
        <v>20</v>
      </c>
      <c r="G28" s="10">
        <v>7247.5</v>
      </c>
      <c r="H28" s="11" t="s">
        <v>312</v>
      </c>
      <c r="I28" s="68" t="s">
        <v>31</v>
      </c>
      <c r="J28" s="16" t="s">
        <v>62</v>
      </c>
      <c r="K28" s="17" t="s">
        <v>20</v>
      </c>
      <c r="L28" s="17" t="s">
        <v>20</v>
      </c>
      <c r="M28" s="18" t="s">
        <v>20</v>
      </c>
      <c r="N28" s="18" t="s">
        <v>20</v>
      </c>
    </row>
    <row r="29" s="1" customFormat="1" ht="29.25" spans="1:14">
      <c r="A29" s="6" t="s">
        <v>90</v>
      </c>
      <c r="B29" s="7"/>
      <c r="C29" s="8" t="s">
        <v>15</v>
      </c>
      <c r="D29" s="6" t="s">
        <v>20</v>
      </c>
      <c r="E29" s="6" t="s">
        <v>20</v>
      </c>
      <c r="F29" s="9">
        <v>172493.71</v>
      </c>
      <c r="G29" s="10" t="s">
        <v>20</v>
      </c>
      <c r="H29" s="11" t="s">
        <v>321</v>
      </c>
      <c r="I29" s="15" t="s">
        <v>52</v>
      </c>
      <c r="J29" s="16" t="s">
        <v>211</v>
      </c>
      <c r="K29" s="17" t="s">
        <v>20</v>
      </c>
      <c r="L29" s="17" t="s">
        <v>21</v>
      </c>
      <c r="M29" s="18">
        <v>45875</v>
      </c>
      <c r="N29" s="18" t="s">
        <v>20</v>
      </c>
    </row>
    <row r="30" s="1" customFormat="1" ht="15.75" spans="1:14">
      <c r="A30" s="6" t="s">
        <v>90</v>
      </c>
      <c r="B30" s="7"/>
      <c r="C30" s="8" t="s">
        <v>58</v>
      </c>
      <c r="D30" s="6" t="s">
        <v>20</v>
      </c>
      <c r="E30" s="6" t="s">
        <v>20</v>
      </c>
      <c r="F30" s="9" t="s">
        <v>20</v>
      </c>
      <c r="G30" s="10">
        <v>6536.1</v>
      </c>
      <c r="H30" s="11" t="s">
        <v>317</v>
      </c>
      <c r="I30" s="68" t="s">
        <v>31</v>
      </c>
      <c r="J30" s="16" t="s">
        <v>62</v>
      </c>
      <c r="K30" s="17" t="s">
        <v>20</v>
      </c>
      <c r="L30" s="17" t="s">
        <v>20</v>
      </c>
      <c r="M30" s="18" t="s">
        <v>20</v>
      </c>
      <c r="N30" s="18" t="s">
        <v>20</v>
      </c>
    </row>
    <row r="31" s="1" customFormat="1" ht="15.75" spans="1:14">
      <c r="A31" s="6" t="s">
        <v>90</v>
      </c>
      <c r="B31" s="7"/>
      <c r="C31" s="8" t="s">
        <v>58</v>
      </c>
      <c r="D31" s="6" t="s">
        <v>20</v>
      </c>
      <c r="E31" s="6" t="s">
        <v>20</v>
      </c>
      <c r="F31" s="9" t="s">
        <v>20</v>
      </c>
      <c r="G31" s="10">
        <v>114.08</v>
      </c>
      <c r="H31" s="11" t="s">
        <v>317</v>
      </c>
      <c r="I31" s="15" t="s">
        <v>31</v>
      </c>
      <c r="J31" s="16" t="s">
        <v>322</v>
      </c>
      <c r="K31" s="17" t="s">
        <v>20</v>
      </c>
      <c r="L31" s="17" t="s">
        <v>20</v>
      </c>
      <c r="M31" s="18" t="s">
        <v>20</v>
      </c>
      <c r="N31" s="18" t="s">
        <v>20</v>
      </c>
    </row>
    <row r="32" s="1" customFormat="1" ht="15.75" spans="1:14">
      <c r="A32" s="6" t="s">
        <v>90</v>
      </c>
      <c r="B32" s="7"/>
      <c r="C32" s="8" t="s">
        <v>28</v>
      </c>
      <c r="D32" s="6" t="s">
        <v>20</v>
      </c>
      <c r="E32" s="6" t="s">
        <v>20</v>
      </c>
      <c r="F32" s="9" t="s">
        <v>20</v>
      </c>
      <c r="G32" s="10">
        <v>3321.41</v>
      </c>
      <c r="H32" s="11" t="s">
        <v>30</v>
      </c>
      <c r="I32" s="15" t="s">
        <v>31</v>
      </c>
      <c r="J32" s="16" t="s">
        <v>32</v>
      </c>
      <c r="K32" s="17" t="s">
        <v>20</v>
      </c>
      <c r="L32" s="17" t="s">
        <v>20</v>
      </c>
      <c r="M32" s="18" t="s">
        <v>20</v>
      </c>
      <c r="N32" s="18" t="s">
        <v>20</v>
      </c>
    </row>
    <row r="33" s="1" customFormat="1" ht="15.75" spans="1:14">
      <c r="A33" s="6" t="s">
        <v>90</v>
      </c>
      <c r="B33" s="7"/>
      <c r="C33" s="8" t="s">
        <v>28</v>
      </c>
      <c r="D33" s="6" t="s">
        <v>20</v>
      </c>
      <c r="E33" s="6" t="s">
        <v>20</v>
      </c>
      <c r="F33" s="9" t="s">
        <v>20</v>
      </c>
      <c r="G33" s="10">
        <v>21573.58</v>
      </c>
      <c r="H33" s="11" t="s">
        <v>315</v>
      </c>
      <c r="I33" s="15" t="s">
        <v>31</v>
      </c>
      <c r="J33" s="16" t="s">
        <v>35</v>
      </c>
      <c r="K33" s="17" t="s">
        <v>20</v>
      </c>
      <c r="L33" s="17" t="s">
        <v>20</v>
      </c>
      <c r="M33" s="18" t="s">
        <v>20</v>
      </c>
      <c r="N33" s="18" t="s">
        <v>20</v>
      </c>
    </row>
    <row r="34" s="1" customFormat="1" ht="15.75" spans="1:14">
      <c r="A34" s="6" t="s">
        <v>90</v>
      </c>
      <c r="B34" s="7"/>
      <c r="C34" s="8" t="s">
        <v>58</v>
      </c>
      <c r="D34" s="6" t="s">
        <v>20</v>
      </c>
      <c r="E34" s="6" t="s">
        <v>20</v>
      </c>
      <c r="F34" s="9" t="s">
        <v>20</v>
      </c>
      <c r="G34" s="10">
        <v>8450.5</v>
      </c>
      <c r="H34" s="11" t="s">
        <v>312</v>
      </c>
      <c r="I34" s="68" t="s">
        <v>31</v>
      </c>
      <c r="J34" s="16" t="s">
        <v>62</v>
      </c>
      <c r="K34" s="17" t="s">
        <v>20</v>
      </c>
      <c r="L34" s="17" t="s">
        <v>20</v>
      </c>
      <c r="M34" s="18" t="s">
        <v>20</v>
      </c>
      <c r="N34" s="18" t="s">
        <v>20</v>
      </c>
    </row>
    <row r="35" s="1" customFormat="1" ht="15.75" spans="1:14">
      <c r="A35" s="6" t="s">
        <v>90</v>
      </c>
      <c r="B35" s="7"/>
      <c r="C35" s="8" t="s">
        <v>58</v>
      </c>
      <c r="D35" s="6" t="s">
        <v>20</v>
      </c>
      <c r="E35" s="6" t="s">
        <v>20</v>
      </c>
      <c r="F35" s="9" t="s">
        <v>20</v>
      </c>
      <c r="G35" s="10">
        <v>9055.55</v>
      </c>
      <c r="H35" s="11" t="s">
        <v>312</v>
      </c>
      <c r="I35" s="68" t="s">
        <v>31</v>
      </c>
      <c r="J35" s="16" t="s">
        <v>62</v>
      </c>
      <c r="K35" s="17" t="s">
        <v>20</v>
      </c>
      <c r="L35" s="17" t="s">
        <v>20</v>
      </c>
      <c r="M35" s="18" t="s">
        <v>20</v>
      </c>
      <c r="N35" s="18" t="s">
        <v>20</v>
      </c>
    </row>
    <row r="36" s="1" customFormat="1" ht="29.25" spans="1:14">
      <c r="A36" s="6" t="s">
        <v>90</v>
      </c>
      <c r="B36" s="7"/>
      <c r="C36" s="8" t="s">
        <v>15</v>
      </c>
      <c r="D36" s="6" t="s">
        <v>20</v>
      </c>
      <c r="E36" s="6" t="s">
        <v>20</v>
      </c>
      <c r="F36" s="9">
        <v>427.14</v>
      </c>
      <c r="G36" s="10" t="s">
        <v>20</v>
      </c>
      <c r="H36" s="11" t="s">
        <v>109</v>
      </c>
      <c r="I36" s="15" t="s">
        <v>110</v>
      </c>
      <c r="J36" s="16" t="s">
        <v>111</v>
      </c>
      <c r="K36" s="17" t="s">
        <v>46</v>
      </c>
      <c r="L36" s="17" t="s">
        <v>20</v>
      </c>
      <c r="M36" s="18">
        <v>45875</v>
      </c>
      <c r="N36" s="18" t="s">
        <v>20</v>
      </c>
    </row>
    <row r="37" s="1" customFormat="1" ht="15.75" spans="1:14">
      <c r="A37" s="6" t="s">
        <v>90</v>
      </c>
      <c r="B37" s="7"/>
      <c r="C37" s="8" t="s">
        <v>238</v>
      </c>
      <c r="D37" s="6" t="s">
        <v>20</v>
      </c>
      <c r="E37" s="6" t="s">
        <v>323</v>
      </c>
      <c r="F37" s="9">
        <v>80199.68</v>
      </c>
      <c r="G37" s="10" t="s">
        <v>20</v>
      </c>
      <c r="H37" s="11" t="s">
        <v>20</v>
      </c>
      <c r="I37" s="15" t="s">
        <v>324</v>
      </c>
      <c r="J37" s="16" t="s">
        <v>325</v>
      </c>
      <c r="K37" s="132" t="s">
        <v>326</v>
      </c>
      <c r="L37" s="17" t="s">
        <v>20</v>
      </c>
      <c r="M37" s="18" t="s">
        <v>20</v>
      </c>
      <c r="N37" s="18" t="s">
        <v>146</v>
      </c>
    </row>
    <row r="38" s="1" customFormat="1" ht="15.75" spans="1:14">
      <c r="A38" s="6" t="s">
        <v>113</v>
      </c>
      <c r="B38" s="7"/>
      <c r="C38" s="8" t="s">
        <v>28</v>
      </c>
      <c r="D38" s="6" t="s">
        <v>20</v>
      </c>
      <c r="E38" s="6" t="s">
        <v>20</v>
      </c>
      <c r="F38" s="9" t="s">
        <v>20</v>
      </c>
      <c r="G38" s="10">
        <v>62.48</v>
      </c>
      <c r="H38" s="11" t="s">
        <v>114</v>
      </c>
      <c r="I38" s="15" t="s">
        <v>31</v>
      </c>
      <c r="J38" s="16" t="s">
        <v>115</v>
      </c>
      <c r="K38" s="17" t="s">
        <v>20</v>
      </c>
      <c r="L38" s="17" t="s">
        <v>20</v>
      </c>
      <c r="M38" s="18" t="s">
        <v>20</v>
      </c>
      <c r="N38" s="18" t="s">
        <v>20</v>
      </c>
    </row>
    <row r="39" s="1" customFormat="1" ht="15.75" spans="1:14">
      <c r="A39" s="6" t="s">
        <v>113</v>
      </c>
      <c r="B39" s="7"/>
      <c r="C39" s="8" t="s">
        <v>28</v>
      </c>
      <c r="D39" s="6" t="s">
        <v>20</v>
      </c>
      <c r="E39" s="6" t="s">
        <v>20</v>
      </c>
      <c r="F39" s="9" t="s">
        <v>20</v>
      </c>
      <c r="G39" s="10">
        <v>215.05</v>
      </c>
      <c r="H39" s="11" t="s">
        <v>114</v>
      </c>
      <c r="I39" s="15" t="s">
        <v>31</v>
      </c>
      <c r="J39" s="16" t="s">
        <v>115</v>
      </c>
      <c r="K39" s="17" t="s">
        <v>20</v>
      </c>
      <c r="L39" s="17" t="s">
        <v>20</v>
      </c>
      <c r="M39" s="18" t="s">
        <v>20</v>
      </c>
      <c r="N39" s="18" t="s">
        <v>20</v>
      </c>
    </row>
    <row r="40" s="1" customFormat="1" ht="15.75" spans="1:14">
      <c r="A40" s="6" t="s">
        <v>113</v>
      </c>
      <c r="B40" s="7"/>
      <c r="C40" s="8" t="s">
        <v>28</v>
      </c>
      <c r="D40" s="6" t="s">
        <v>20</v>
      </c>
      <c r="E40" s="6" t="s">
        <v>20</v>
      </c>
      <c r="F40" s="9" t="s">
        <v>20</v>
      </c>
      <c r="G40" s="10">
        <v>285.96</v>
      </c>
      <c r="H40" s="11" t="s">
        <v>114</v>
      </c>
      <c r="I40" s="15" t="s">
        <v>31</v>
      </c>
      <c r="J40" s="16" t="s">
        <v>115</v>
      </c>
      <c r="K40" s="17" t="s">
        <v>20</v>
      </c>
      <c r="L40" s="17" t="s">
        <v>20</v>
      </c>
      <c r="M40" s="18" t="s">
        <v>20</v>
      </c>
      <c r="N40" s="18" t="s">
        <v>20</v>
      </c>
    </row>
    <row r="41" s="1" customFormat="1" ht="15.75" spans="1:14">
      <c r="A41" s="6" t="s">
        <v>113</v>
      </c>
      <c r="B41" s="7"/>
      <c r="C41" s="8" t="s">
        <v>28</v>
      </c>
      <c r="D41" s="6" t="s">
        <v>20</v>
      </c>
      <c r="E41" s="6" t="s">
        <v>20</v>
      </c>
      <c r="F41" s="9" t="s">
        <v>20</v>
      </c>
      <c r="G41" s="10">
        <v>1154.13</v>
      </c>
      <c r="H41" s="11" t="s">
        <v>114</v>
      </c>
      <c r="I41" s="15" t="s">
        <v>31</v>
      </c>
      <c r="J41" s="16" t="s">
        <v>115</v>
      </c>
      <c r="K41" s="17" t="s">
        <v>20</v>
      </c>
      <c r="L41" s="17" t="s">
        <v>20</v>
      </c>
      <c r="M41" s="18" t="s">
        <v>20</v>
      </c>
      <c r="N41" s="18" t="s">
        <v>20</v>
      </c>
    </row>
    <row r="42" s="1" customFormat="1" ht="15.75" spans="1:14">
      <c r="A42" s="6" t="s">
        <v>113</v>
      </c>
      <c r="B42" s="7"/>
      <c r="C42" s="8" t="s">
        <v>28</v>
      </c>
      <c r="D42" s="6" t="s">
        <v>20</v>
      </c>
      <c r="E42" s="6" t="s">
        <v>20</v>
      </c>
      <c r="F42" s="9" t="s">
        <v>20</v>
      </c>
      <c r="G42" s="10">
        <v>1994.62</v>
      </c>
      <c r="H42" s="11" t="s">
        <v>114</v>
      </c>
      <c r="I42" s="15" t="s">
        <v>31</v>
      </c>
      <c r="J42" s="16" t="s">
        <v>115</v>
      </c>
      <c r="K42" s="17" t="s">
        <v>20</v>
      </c>
      <c r="L42" s="17" t="s">
        <v>20</v>
      </c>
      <c r="M42" s="18" t="s">
        <v>20</v>
      </c>
      <c r="N42" s="18" t="s">
        <v>20</v>
      </c>
    </row>
    <row r="43" s="1" customFormat="1" ht="15.75" spans="1:14">
      <c r="A43" s="6" t="s">
        <v>113</v>
      </c>
      <c r="B43" s="7"/>
      <c r="C43" s="8" t="s">
        <v>28</v>
      </c>
      <c r="D43" s="6" t="s">
        <v>20</v>
      </c>
      <c r="E43" s="6" t="s">
        <v>20</v>
      </c>
      <c r="F43" s="9" t="s">
        <v>20</v>
      </c>
      <c r="G43" s="10">
        <v>16.55</v>
      </c>
      <c r="H43" s="11" t="s">
        <v>327</v>
      </c>
      <c r="I43" s="15" t="s">
        <v>31</v>
      </c>
      <c r="J43" s="16" t="s">
        <v>328</v>
      </c>
      <c r="K43" s="17" t="s">
        <v>20</v>
      </c>
      <c r="L43" s="17" t="s">
        <v>20</v>
      </c>
      <c r="M43" s="18" t="s">
        <v>20</v>
      </c>
      <c r="N43" s="18" t="s">
        <v>20</v>
      </c>
    </row>
    <row r="44" s="1" customFormat="1" ht="15.75" spans="1:14">
      <c r="A44" s="6" t="s">
        <v>113</v>
      </c>
      <c r="B44" s="7"/>
      <c r="C44" s="8" t="s">
        <v>28</v>
      </c>
      <c r="D44" s="6" t="s">
        <v>20</v>
      </c>
      <c r="E44" s="6" t="s">
        <v>20</v>
      </c>
      <c r="F44" s="9" t="s">
        <v>20</v>
      </c>
      <c r="G44" s="10">
        <v>25.6</v>
      </c>
      <c r="H44" s="11" t="s">
        <v>329</v>
      </c>
      <c r="I44" s="15" t="s">
        <v>31</v>
      </c>
      <c r="J44" s="16" t="s">
        <v>125</v>
      </c>
      <c r="K44" s="17" t="s">
        <v>20</v>
      </c>
      <c r="L44" s="17" t="s">
        <v>20</v>
      </c>
      <c r="M44" s="18" t="s">
        <v>20</v>
      </c>
      <c r="N44" s="18" t="s">
        <v>20</v>
      </c>
    </row>
    <row r="45" s="1" customFormat="1" ht="15.75" spans="1:14">
      <c r="A45" s="6" t="s">
        <v>113</v>
      </c>
      <c r="B45" s="7"/>
      <c r="C45" s="8" t="s">
        <v>28</v>
      </c>
      <c r="D45" s="6" t="s">
        <v>20</v>
      </c>
      <c r="E45" s="6" t="s">
        <v>20</v>
      </c>
      <c r="F45" s="9" t="s">
        <v>20</v>
      </c>
      <c r="G45" s="10">
        <v>1492.52</v>
      </c>
      <c r="H45" s="11" t="s">
        <v>30</v>
      </c>
      <c r="I45" s="15" t="s">
        <v>31</v>
      </c>
      <c r="J45" s="16" t="s">
        <v>32</v>
      </c>
      <c r="K45" s="17" t="s">
        <v>20</v>
      </c>
      <c r="L45" s="17" t="s">
        <v>20</v>
      </c>
      <c r="M45" s="18" t="s">
        <v>20</v>
      </c>
      <c r="N45" s="18" t="s">
        <v>20</v>
      </c>
    </row>
    <row r="46" s="1" customFormat="1" ht="15.75" spans="1:14">
      <c r="A46" s="6" t="s">
        <v>113</v>
      </c>
      <c r="B46" s="7"/>
      <c r="C46" s="8" t="s">
        <v>28</v>
      </c>
      <c r="D46" s="6" t="s">
        <v>20</v>
      </c>
      <c r="E46" s="6" t="s">
        <v>20</v>
      </c>
      <c r="F46" s="9" t="s">
        <v>20</v>
      </c>
      <c r="G46" s="10">
        <v>11.76</v>
      </c>
      <c r="H46" s="11" t="s">
        <v>329</v>
      </c>
      <c r="I46" s="15" t="s">
        <v>31</v>
      </c>
      <c r="J46" s="16" t="s">
        <v>125</v>
      </c>
      <c r="K46" s="17" t="s">
        <v>20</v>
      </c>
      <c r="L46" s="17" t="s">
        <v>20</v>
      </c>
      <c r="M46" s="18" t="s">
        <v>20</v>
      </c>
      <c r="N46" s="18" t="s">
        <v>20</v>
      </c>
    </row>
    <row r="47" s="1" customFormat="1" ht="15.75" spans="1:14">
      <c r="A47" s="6" t="s">
        <v>113</v>
      </c>
      <c r="B47" s="7"/>
      <c r="C47" s="8" t="s">
        <v>28</v>
      </c>
      <c r="D47" s="6" t="s">
        <v>20</v>
      </c>
      <c r="E47" s="6" t="s">
        <v>20</v>
      </c>
      <c r="F47" s="9" t="s">
        <v>20</v>
      </c>
      <c r="G47" s="10">
        <v>22180.56</v>
      </c>
      <c r="H47" s="11" t="s">
        <v>315</v>
      </c>
      <c r="I47" s="15" t="s">
        <v>31</v>
      </c>
      <c r="J47" s="16" t="s">
        <v>35</v>
      </c>
      <c r="K47" s="17" t="s">
        <v>20</v>
      </c>
      <c r="L47" s="17" t="s">
        <v>20</v>
      </c>
      <c r="M47" s="18" t="s">
        <v>20</v>
      </c>
      <c r="N47" s="18" t="s">
        <v>20</v>
      </c>
    </row>
    <row r="48" s="1" customFormat="1" ht="15.75" spans="1:14">
      <c r="A48" s="6" t="s">
        <v>113</v>
      </c>
      <c r="B48" s="7"/>
      <c r="C48" s="8" t="s">
        <v>28</v>
      </c>
      <c r="D48" s="6" t="s">
        <v>20</v>
      </c>
      <c r="E48" s="6" t="s">
        <v>20</v>
      </c>
      <c r="F48" s="9" t="s">
        <v>20</v>
      </c>
      <c r="G48" s="10">
        <v>46.12</v>
      </c>
      <c r="H48" s="11" t="s">
        <v>329</v>
      </c>
      <c r="I48" s="15" t="s">
        <v>31</v>
      </c>
      <c r="J48" s="16" t="s">
        <v>125</v>
      </c>
      <c r="K48" s="17"/>
      <c r="L48" s="17" t="s">
        <v>20</v>
      </c>
      <c r="M48" s="18" t="s">
        <v>20</v>
      </c>
      <c r="N48" s="18" t="s">
        <v>20</v>
      </c>
    </row>
    <row r="49" s="1" customFormat="1" ht="15.75" spans="1:14">
      <c r="A49" s="6" t="s">
        <v>128</v>
      </c>
      <c r="B49" s="7"/>
      <c r="C49" s="8" t="s">
        <v>58</v>
      </c>
      <c r="D49" s="6" t="s">
        <v>20</v>
      </c>
      <c r="E49" s="6" t="s">
        <v>20</v>
      </c>
      <c r="F49" s="9" t="s">
        <v>20</v>
      </c>
      <c r="G49" s="10">
        <v>5973.5</v>
      </c>
      <c r="H49" s="11" t="s">
        <v>317</v>
      </c>
      <c r="I49" s="68" t="s">
        <v>31</v>
      </c>
      <c r="J49" s="16" t="s">
        <v>62</v>
      </c>
      <c r="K49" s="17" t="s">
        <v>20</v>
      </c>
      <c r="L49" s="17" t="s">
        <v>20</v>
      </c>
      <c r="M49" s="18" t="s">
        <v>20</v>
      </c>
      <c r="N49" s="18" t="s">
        <v>20</v>
      </c>
    </row>
    <row r="50" s="1" customFormat="1" ht="15.75" spans="1:14">
      <c r="A50" s="6" t="s">
        <v>128</v>
      </c>
      <c r="B50" s="7"/>
      <c r="C50" s="8" t="s">
        <v>58</v>
      </c>
      <c r="D50" s="6" t="s">
        <v>20</v>
      </c>
      <c r="E50" s="6" t="s">
        <v>20</v>
      </c>
      <c r="F50" s="9" t="s">
        <v>20</v>
      </c>
      <c r="G50" s="10">
        <v>4716.35</v>
      </c>
      <c r="H50" s="11" t="s">
        <v>317</v>
      </c>
      <c r="I50" s="68" t="s">
        <v>31</v>
      </c>
      <c r="J50" s="16" t="s">
        <v>62</v>
      </c>
      <c r="K50" s="17" t="s">
        <v>20</v>
      </c>
      <c r="L50" s="17" t="s">
        <v>20</v>
      </c>
      <c r="M50" s="18" t="s">
        <v>20</v>
      </c>
      <c r="N50" s="18" t="s">
        <v>20</v>
      </c>
    </row>
    <row r="51" s="1" customFormat="1" ht="15.75" spans="1:14">
      <c r="A51" s="6" t="s">
        <v>128</v>
      </c>
      <c r="B51" s="7"/>
      <c r="C51" s="8" t="s">
        <v>58</v>
      </c>
      <c r="D51" s="6" t="s">
        <v>20</v>
      </c>
      <c r="E51" s="6" t="s">
        <v>20</v>
      </c>
      <c r="F51" s="9" t="s">
        <v>20</v>
      </c>
      <c r="G51" s="10">
        <v>362</v>
      </c>
      <c r="H51" s="11" t="s">
        <v>317</v>
      </c>
      <c r="I51" s="68" t="s">
        <v>31</v>
      </c>
      <c r="J51" s="34" t="s">
        <v>60</v>
      </c>
      <c r="K51" s="17" t="s">
        <v>20</v>
      </c>
      <c r="L51" s="17" t="s">
        <v>20</v>
      </c>
      <c r="M51" s="18" t="s">
        <v>20</v>
      </c>
      <c r="N51" s="18" t="s">
        <v>20</v>
      </c>
    </row>
    <row r="52" s="1" customFormat="1" ht="15.75" spans="1:14">
      <c r="A52" s="6" t="s">
        <v>128</v>
      </c>
      <c r="B52" s="7"/>
      <c r="C52" s="8" t="s">
        <v>28</v>
      </c>
      <c r="D52" s="6" t="s">
        <v>20</v>
      </c>
      <c r="E52" s="6" t="s">
        <v>20</v>
      </c>
      <c r="F52" s="9" t="s">
        <v>20</v>
      </c>
      <c r="G52" s="10">
        <v>23.82</v>
      </c>
      <c r="H52" s="11" t="s">
        <v>329</v>
      </c>
      <c r="I52" s="15" t="s">
        <v>31</v>
      </c>
      <c r="J52" s="16" t="s">
        <v>125</v>
      </c>
      <c r="K52" s="17" t="s">
        <v>20</v>
      </c>
      <c r="L52" s="17" t="s">
        <v>20</v>
      </c>
      <c r="M52" s="18" t="s">
        <v>20</v>
      </c>
      <c r="N52" s="18" t="s">
        <v>20</v>
      </c>
    </row>
    <row r="53" s="1" customFormat="1" ht="15.75" spans="1:14">
      <c r="A53" s="6" t="s">
        <v>128</v>
      </c>
      <c r="B53" s="7"/>
      <c r="C53" s="8" t="s">
        <v>28</v>
      </c>
      <c r="D53" s="6" t="s">
        <v>20</v>
      </c>
      <c r="E53" s="6" t="s">
        <v>20</v>
      </c>
      <c r="F53" s="9" t="s">
        <v>20</v>
      </c>
      <c r="G53" s="10">
        <v>1086.89</v>
      </c>
      <c r="H53" s="11" t="s">
        <v>30</v>
      </c>
      <c r="I53" s="15" t="s">
        <v>31</v>
      </c>
      <c r="J53" s="16" t="s">
        <v>32</v>
      </c>
      <c r="K53" s="17" t="s">
        <v>20</v>
      </c>
      <c r="L53" s="17" t="s">
        <v>20</v>
      </c>
      <c r="M53" s="18" t="s">
        <v>20</v>
      </c>
      <c r="N53" s="18" t="s">
        <v>20</v>
      </c>
    </row>
    <row r="54" s="1" customFormat="1" ht="15.75" spans="1:14">
      <c r="A54" s="6" t="s">
        <v>128</v>
      </c>
      <c r="B54" s="7"/>
      <c r="C54" s="8" t="s">
        <v>28</v>
      </c>
      <c r="D54" s="6" t="s">
        <v>20</v>
      </c>
      <c r="E54" s="6" t="s">
        <v>20</v>
      </c>
      <c r="F54" s="9" t="s">
        <v>20</v>
      </c>
      <c r="G54" s="10">
        <v>20123.89</v>
      </c>
      <c r="H54" s="11" t="s">
        <v>315</v>
      </c>
      <c r="I54" s="15" t="s">
        <v>31</v>
      </c>
      <c r="J54" s="16" t="s">
        <v>35</v>
      </c>
      <c r="K54" s="17" t="s">
        <v>20</v>
      </c>
      <c r="L54" s="17" t="s">
        <v>20</v>
      </c>
      <c r="M54" s="18" t="s">
        <v>20</v>
      </c>
      <c r="N54" s="18" t="s">
        <v>20</v>
      </c>
    </row>
    <row r="55" s="1" customFormat="1" ht="29.25" spans="1:14">
      <c r="A55" s="6" t="s">
        <v>130</v>
      </c>
      <c r="B55" s="7"/>
      <c r="C55" s="8" t="s">
        <v>15</v>
      </c>
      <c r="D55" s="6" t="s">
        <v>20</v>
      </c>
      <c r="E55" s="6" t="s">
        <v>20</v>
      </c>
      <c r="F55" s="9">
        <v>145.35</v>
      </c>
      <c r="G55" s="10" t="s">
        <v>20</v>
      </c>
      <c r="H55" s="11" t="s">
        <v>330</v>
      </c>
      <c r="I55" s="119" t="s">
        <v>179</v>
      </c>
      <c r="J55" s="120" t="s">
        <v>331</v>
      </c>
      <c r="K55" s="132" t="s">
        <v>332</v>
      </c>
      <c r="L55" s="17" t="s">
        <v>20</v>
      </c>
      <c r="M55" s="18" t="s">
        <v>20</v>
      </c>
      <c r="N55" s="18" t="s">
        <v>20</v>
      </c>
    </row>
    <row r="56" s="1" customFormat="1" ht="15.75" spans="1:14">
      <c r="A56" s="6" t="s">
        <v>130</v>
      </c>
      <c r="B56" s="7"/>
      <c r="C56" s="8" t="s">
        <v>28</v>
      </c>
      <c r="D56" s="6" t="s">
        <v>20</v>
      </c>
      <c r="E56" s="6" t="s">
        <v>20</v>
      </c>
      <c r="F56" s="9" t="s">
        <v>20</v>
      </c>
      <c r="G56" s="10">
        <v>1819.76</v>
      </c>
      <c r="H56" s="11" t="s">
        <v>30</v>
      </c>
      <c r="I56" s="15" t="s">
        <v>31</v>
      </c>
      <c r="J56" s="16" t="s">
        <v>32</v>
      </c>
      <c r="K56" s="17" t="s">
        <v>20</v>
      </c>
      <c r="L56" s="17" t="s">
        <v>20</v>
      </c>
      <c r="M56" s="18" t="s">
        <v>20</v>
      </c>
      <c r="N56" s="18" t="s">
        <v>20</v>
      </c>
    </row>
    <row r="57" s="1" customFormat="1" ht="15.75" spans="1:14">
      <c r="A57" s="6" t="s">
        <v>130</v>
      </c>
      <c r="B57" s="7"/>
      <c r="C57" s="8" t="s">
        <v>28</v>
      </c>
      <c r="D57" s="6" t="s">
        <v>20</v>
      </c>
      <c r="E57" s="6" t="s">
        <v>20</v>
      </c>
      <c r="F57" s="9" t="s">
        <v>20</v>
      </c>
      <c r="G57" s="10">
        <v>2796.51</v>
      </c>
      <c r="H57" s="11" t="s">
        <v>30</v>
      </c>
      <c r="I57" s="15" t="s">
        <v>31</v>
      </c>
      <c r="J57" s="16" t="s">
        <v>32</v>
      </c>
      <c r="K57" s="17" t="s">
        <v>20</v>
      </c>
      <c r="L57" s="17" t="s">
        <v>20</v>
      </c>
      <c r="M57" s="18" t="s">
        <v>20</v>
      </c>
      <c r="N57" s="18" t="s">
        <v>20</v>
      </c>
    </row>
    <row r="58" s="1" customFormat="1" ht="15.75" spans="1:14">
      <c r="A58" s="6" t="s">
        <v>130</v>
      </c>
      <c r="B58" s="7"/>
      <c r="C58" s="8" t="s">
        <v>28</v>
      </c>
      <c r="D58" s="6" t="s">
        <v>20</v>
      </c>
      <c r="E58" s="6" t="s">
        <v>20</v>
      </c>
      <c r="F58" s="9" t="s">
        <v>20</v>
      </c>
      <c r="G58" s="10">
        <v>13.45</v>
      </c>
      <c r="H58" s="11" t="s">
        <v>329</v>
      </c>
      <c r="I58" s="15" t="s">
        <v>31</v>
      </c>
      <c r="J58" s="16" t="s">
        <v>125</v>
      </c>
      <c r="K58" s="17" t="s">
        <v>20</v>
      </c>
      <c r="L58" s="17" t="s">
        <v>20</v>
      </c>
      <c r="M58" s="18" t="s">
        <v>20</v>
      </c>
      <c r="N58" s="18" t="s">
        <v>20</v>
      </c>
    </row>
    <row r="59" s="1" customFormat="1" ht="15.75" spans="1:14">
      <c r="A59" s="6" t="s">
        <v>130</v>
      </c>
      <c r="B59" s="7"/>
      <c r="C59" s="8" t="s">
        <v>28</v>
      </c>
      <c r="D59" s="6" t="s">
        <v>20</v>
      </c>
      <c r="E59" s="6" t="s">
        <v>20</v>
      </c>
      <c r="F59" s="9" t="s">
        <v>20</v>
      </c>
      <c r="G59" s="10">
        <v>858.76</v>
      </c>
      <c r="H59" s="11" t="s">
        <v>30</v>
      </c>
      <c r="I59" s="15" t="s">
        <v>31</v>
      </c>
      <c r="J59" s="16" t="s">
        <v>32</v>
      </c>
      <c r="K59" s="17" t="s">
        <v>20</v>
      </c>
      <c r="L59" s="17" t="s">
        <v>20</v>
      </c>
      <c r="M59" s="18" t="s">
        <v>20</v>
      </c>
      <c r="N59" s="18" t="s">
        <v>20</v>
      </c>
    </row>
    <row r="60" s="1" customFormat="1" ht="15.75" spans="1:14">
      <c r="A60" s="6" t="s">
        <v>130</v>
      </c>
      <c r="B60" s="7"/>
      <c r="C60" s="8" t="s">
        <v>28</v>
      </c>
      <c r="D60" s="6" t="s">
        <v>20</v>
      </c>
      <c r="E60" s="6" t="s">
        <v>20</v>
      </c>
      <c r="F60" s="9" t="s">
        <v>20</v>
      </c>
      <c r="G60" s="10">
        <v>124137.17</v>
      </c>
      <c r="H60" s="11" t="s">
        <v>315</v>
      </c>
      <c r="I60" s="15" t="s">
        <v>31</v>
      </c>
      <c r="J60" s="16" t="s">
        <v>35</v>
      </c>
      <c r="K60" s="17" t="s">
        <v>20</v>
      </c>
      <c r="L60" s="17" t="s">
        <v>20</v>
      </c>
      <c r="M60" s="18" t="s">
        <v>20</v>
      </c>
      <c r="N60" s="18" t="s">
        <v>20</v>
      </c>
    </row>
    <row r="61" s="1" customFormat="1" ht="15.75" spans="1:14">
      <c r="A61" s="6" t="s">
        <v>130</v>
      </c>
      <c r="B61" s="7"/>
      <c r="C61" s="8" t="s">
        <v>58</v>
      </c>
      <c r="D61" s="6" t="s">
        <v>20</v>
      </c>
      <c r="E61" s="6" t="s">
        <v>20</v>
      </c>
      <c r="F61" s="9" t="s">
        <v>20</v>
      </c>
      <c r="G61" s="10">
        <v>7692.05</v>
      </c>
      <c r="H61" s="11" t="s">
        <v>312</v>
      </c>
      <c r="I61" s="68" t="s">
        <v>31</v>
      </c>
      <c r="J61" s="16" t="s">
        <v>62</v>
      </c>
      <c r="K61" s="17" t="s">
        <v>20</v>
      </c>
      <c r="L61" s="17" t="s">
        <v>20</v>
      </c>
      <c r="M61" s="18" t="s">
        <v>20</v>
      </c>
      <c r="N61" s="18" t="s">
        <v>20</v>
      </c>
    </row>
    <row r="62" s="1" customFormat="1" ht="15.75" spans="1:14">
      <c r="A62" s="6" t="s">
        <v>130</v>
      </c>
      <c r="B62" s="7"/>
      <c r="C62" s="8" t="s">
        <v>58</v>
      </c>
      <c r="D62" s="6" t="s">
        <v>20</v>
      </c>
      <c r="E62" s="6" t="s">
        <v>20</v>
      </c>
      <c r="F62" s="9" t="s">
        <v>20</v>
      </c>
      <c r="G62" s="10">
        <v>5826.3</v>
      </c>
      <c r="H62" s="11" t="s">
        <v>312</v>
      </c>
      <c r="I62" s="68" t="s">
        <v>31</v>
      </c>
      <c r="J62" s="16" t="s">
        <v>62</v>
      </c>
      <c r="K62" s="17" t="s">
        <v>20</v>
      </c>
      <c r="L62" s="17" t="s">
        <v>20</v>
      </c>
      <c r="M62" s="18" t="s">
        <v>20</v>
      </c>
      <c r="N62" s="18" t="s">
        <v>20</v>
      </c>
    </row>
    <row r="63" s="1" customFormat="1" ht="15.75" spans="1:14">
      <c r="A63" s="6" t="s">
        <v>141</v>
      </c>
      <c r="B63" s="7"/>
      <c r="C63" s="8" t="s">
        <v>28</v>
      </c>
      <c r="D63" s="6" t="s">
        <v>24</v>
      </c>
      <c r="E63" s="6"/>
      <c r="F63" s="9"/>
      <c r="G63" s="10">
        <v>84.62</v>
      </c>
      <c r="H63" s="11" t="s">
        <v>80</v>
      </c>
      <c r="I63" s="15" t="s">
        <v>31</v>
      </c>
      <c r="J63" s="16" t="s">
        <v>81</v>
      </c>
      <c r="K63" s="17"/>
      <c r="L63" s="17"/>
      <c r="M63" s="18"/>
      <c r="N63" s="18"/>
    </row>
    <row r="64" s="1" customFormat="1" ht="15.75" spans="1:14">
      <c r="A64" s="6" t="s">
        <v>141</v>
      </c>
      <c r="B64" s="7"/>
      <c r="C64" s="8" t="s">
        <v>28</v>
      </c>
      <c r="D64" s="6" t="s">
        <v>24</v>
      </c>
      <c r="E64" s="6"/>
      <c r="F64" s="9"/>
      <c r="G64" s="10">
        <v>2277</v>
      </c>
      <c r="H64" s="11" t="s">
        <v>80</v>
      </c>
      <c r="I64" s="15" t="s">
        <v>31</v>
      </c>
      <c r="J64" s="16" t="s">
        <v>81</v>
      </c>
      <c r="K64" s="17"/>
      <c r="L64" s="17"/>
      <c r="M64" s="18"/>
      <c r="N64" s="18"/>
    </row>
    <row r="65" s="1" customFormat="1" ht="15.75" spans="1:14">
      <c r="A65" s="6" t="s">
        <v>141</v>
      </c>
      <c r="B65" s="7"/>
      <c r="C65" s="8" t="s">
        <v>28</v>
      </c>
      <c r="D65" s="6" t="s">
        <v>24</v>
      </c>
      <c r="E65" s="6"/>
      <c r="F65" s="9"/>
      <c r="G65" s="10">
        <v>4580.58</v>
      </c>
      <c r="H65" s="11" t="s">
        <v>80</v>
      </c>
      <c r="I65" s="15" t="s">
        <v>31</v>
      </c>
      <c r="J65" s="16" t="s">
        <v>81</v>
      </c>
      <c r="K65" s="17"/>
      <c r="L65" s="17"/>
      <c r="M65" s="18"/>
      <c r="N65" s="18"/>
    </row>
    <row r="66" s="1" customFormat="1" ht="15.75" spans="1:14">
      <c r="A66" s="6" t="s">
        <v>141</v>
      </c>
      <c r="B66" s="7"/>
      <c r="C66" s="8" t="s">
        <v>28</v>
      </c>
      <c r="D66" s="6" t="s">
        <v>24</v>
      </c>
      <c r="E66" s="6"/>
      <c r="F66" s="9"/>
      <c r="G66" s="10">
        <v>3045.97</v>
      </c>
      <c r="H66" s="11" t="s">
        <v>30</v>
      </c>
      <c r="I66" s="15" t="s">
        <v>31</v>
      </c>
      <c r="J66" s="16" t="s">
        <v>32</v>
      </c>
      <c r="K66" s="17"/>
      <c r="L66" s="17"/>
      <c r="M66" s="18"/>
      <c r="N66" s="18"/>
    </row>
    <row r="67" s="1" customFormat="1" ht="15.75" spans="1:14">
      <c r="A67" s="6" t="s">
        <v>141</v>
      </c>
      <c r="B67" s="7"/>
      <c r="C67" s="8" t="s">
        <v>28</v>
      </c>
      <c r="D67" s="6" t="s">
        <v>24</v>
      </c>
      <c r="E67" s="6"/>
      <c r="F67" s="9"/>
      <c r="G67" s="10">
        <v>21415.26</v>
      </c>
      <c r="H67" s="11" t="s">
        <v>315</v>
      </c>
      <c r="I67" s="15" t="s">
        <v>31</v>
      </c>
      <c r="J67" s="16" t="s">
        <v>35</v>
      </c>
      <c r="K67" s="17"/>
      <c r="L67" s="17"/>
      <c r="M67" s="18"/>
      <c r="N67" s="18"/>
    </row>
    <row r="68" s="1" customFormat="1" ht="15.75" spans="1:14">
      <c r="A68" s="6" t="s">
        <v>141</v>
      </c>
      <c r="B68" s="7"/>
      <c r="C68" s="8" t="s">
        <v>58</v>
      </c>
      <c r="D68" s="6" t="s">
        <v>24</v>
      </c>
      <c r="E68" s="6"/>
      <c r="F68" s="9"/>
      <c r="G68" s="10">
        <v>7962.2</v>
      </c>
      <c r="H68" s="11" t="s">
        <v>312</v>
      </c>
      <c r="I68" s="15" t="s">
        <v>31</v>
      </c>
      <c r="J68" s="16" t="s">
        <v>62</v>
      </c>
      <c r="K68" s="17"/>
      <c r="L68" s="17"/>
      <c r="M68" s="18"/>
      <c r="N68" s="18"/>
    </row>
    <row r="69" s="1" customFormat="1" ht="15.75" spans="1:14">
      <c r="A69" s="6" t="s">
        <v>144</v>
      </c>
      <c r="B69" s="7"/>
      <c r="C69" s="8" t="s">
        <v>28</v>
      </c>
      <c r="D69" s="6" t="s">
        <v>24</v>
      </c>
      <c r="E69" s="6"/>
      <c r="F69" s="9"/>
      <c r="G69" s="10">
        <v>95.45</v>
      </c>
      <c r="H69" s="11" t="s">
        <v>114</v>
      </c>
      <c r="I69" s="15" t="s">
        <v>31</v>
      </c>
      <c r="J69" s="16" t="s">
        <v>115</v>
      </c>
      <c r="K69" s="17"/>
      <c r="L69" s="17"/>
      <c r="M69" s="18"/>
      <c r="N69" s="18"/>
    </row>
    <row r="70" s="1" customFormat="1" ht="15.75" spans="1:14">
      <c r="A70" s="6" t="s">
        <v>144</v>
      </c>
      <c r="B70" s="7"/>
      <c r="C70" s="8" t="s">
        <v>28</v>
      </c>
      <c r="D70" s="6" t="s">
        <v>24</v>
      </c>
      <c r="E70" s="6"/>
      <c r="F70" s="9"/>
      <c r="G70" s="10">
        <v>196.72</v>
      </c>
      <c r="H70" s="11" t="s">
        <v>114</v>
      </c>
      <c r="I70" s="15" t="s">
        <v>31</v>
      </c>
      <c r="J70" s="16" t="s">
        <v>115</v>
      </c>
      <c r="K70" s="17"/>
      <c r="L70" s="17"/>
      <c r="M70" s="18"/>
      <c r="N70" s="18"/>
    </row>
    <row r="71" s="1" customFormat="1" ht="15.75" spans="1:14">
      <c r="A71" s="6" t="s">
        <v>144</v>
      </c>
      <c r="B71" s="7"/>
      <c r="C71" s="8" t="s">
        <v>28</v>
      </c>
      <c r="D71" s="6" t="s">
        <v>24</v>
      </c>
      <c r="E71" s="6"/>
      <c r="F71" s="9"/>
      <c r="G71" s="10">
        <v>490.98</v>
      </c>
      <c r="H71" s="11" t="s">
        <v>114</v>
      </c>
      <c r="I71" s="15" t="s">
        <v>31</v>
      </c>
      <c r="J71" s="16" t="s">
        <v>115</v>
      </c>
      <c r="K71" s="17"/>
      <c r="L71" s="17"/>
      <c r="M71" s="18"/>
      <c r="N71" s="18"/>
    </row>
    <row r="72" s="1" customFormat="1" ht="15.75" spans="1:14">
      <c r="A72" s="6" t="s">
        <v>144</v>
      </c>
      <c r="B72" s="7"/>
      <c r="C72" s="8" t="s">
        <v>28</v>
      </c>
      <c r="D72" s="6" t="s">
        <v>24</v>
      </c>
      <c r="E72" s="6"/>
      <c r="F72" s="9"/>
      <c r="G72" s="10">
        <v>1663.57</v>
      </c>
      <c r="H72" s="11" t="s">
        <v>114</v>
      </c>
      <c r="I72" s="15" t="s">
        <v>31</v>
      </c>
      <c r="J72" s="16" t="s">
        <v>115</v>
      </c>
      <c r="K72" s="17"/>
      <c r="L72" s="17"/>
      <c r="M72" s="18"/>
      <c r="N72" s="18"/>
    </row>
    <row r="73" s="1" customFormat="1" ht="15.75" spans="1:14">
      <c r="A73" s="6" t="s">
        <v>144</v>
      </c>
      <c r="B73" s="7"/>
      <c r="C73" s="8" t="s">
        <v>28</v>
      </c>
      <c r="D73" s="6" t="s">
        <v>24</v>
      </c>
      <c r="E73" s="6"/>
      <c r="F73" s="9"/>
      <c r="G73" s="10">
        <v>2147.93</v>
      </c>
      <c r="H73" s="11" t="s">
        <v>114</v>
      </c>
      <c r="I73" s="15" t="s">
        <v>31</v>
      </c>
      <c r="J73" s="16" t="s">
        <v>115</v>
      </c>
      <c r="K73" s="17"/>
      <c r="L73" s="17"/>
      <c r="M73" s="18"/>
      <c r="N73" s="18"/>
    </row>
    <row r="74" s="1" customFormat="1" ht="15.75" spans="1:14">
      <c r="A74" s="6" t="s">
        <v>144</v>
      </c>
      <c r="B74" s="7"/>
      <c r="C74" s="8" t="s">
        <v>28</v>
      </c>
      <c r="D74" s="6" t="s">
        <v>24</v>
      </c>
      <c r="E74" s="6"/>
      <c r="F74" s="9"/>
      <c r="G74" s="10">
        <v>11.76</v>
      </c>
      <c r="H74" s="11" t="s">
        <v>329</v>
      </c>
      <c r="I74" s="15" t="s">
        <v>31</v>
      </c>
      <c r="J74" s="16" t="s">
        <v>125</v>
      </c>
      <c r="K74" s="17"/>
      <c r="L74" s="17"/>
      <c r="M74" s="18"/>
      <c r="N74" s="18"/>
    </row>
    <row r="75" s="1" customFormat="1" ht="15.75" spans="1:14">
      <c r="A75" s="6" t="s">
        <v>144</v>
      </c>
      <c r="B75" s="7"/>
      <c r="C75" s="8" t="s">
        <v>28</v>
      </c>
      <c r="D75" s="6" t="s">
        <v>24</v>
      </c>
      <c r="E75" s="6"/>
      <c r="F75" s="9"/>
      <c r="G75" s="10">
        <v>1147.62</v>
      </c>
      <c r="H75" s="11" t="s">
        <v>30</v>
      </c>
      <c r="I75" s="15" t="s">
        <v>31</v>
      </c>
      <c r="J75" s="16" t="s">
        <v>32</v>
      </c>
      <c r="K75" s="17"/>
      <c r="L75" s="17"/>
      <c r="M75" s="18"/>
      <c r="N75" s="18"/>
    </row>
    <row r="76" s="1" customFormat="1" ht="15.75" spans="1:14">
      <c r="A76" s="6" t="s">
        <v>144</v>
      </c>
      <c r="B76" s="7"/>
      <c r="C76" s="8" t="s">
        <v>28</v>
      </c>
      <c r="D76" s="6" t="s">
        <v>24</v>
      </c>
      <c r="E76" s="6"/>
      <c r="F76" s="9"/>
      <c r="G76" s="10">
        <v>21699.58</v>
      </c>
      <c r="H76" s="11" t="s">
        <v>315</v>
      </c>
      <c r="I76" s="15" t="s">
        <v>31</v>
      </c>
      <c r="J76" s="16" t="s">
        <v>35</v>
      </c>
      <c r="K76" s="17"/>
      <c r="L76" s="17"/>
      <c r="M76" s="18"/>
      <c r="N76" s="18"/>
    </row>
    <row r="77" s="1" customFormat="1" ht="15.75" spans="1:14">
      <c r="A77" s="6" t="s">
        <v>149</v>
      </c>
      <c r="B77" s="7"/>
      <c r="C77" s="8" t="s">
        <v>58</v>
      </c>
      <c r="D77" s="6" t="s">
        <v>24</v>
      </c>
      <c r="E77" s="6"/>
      <c r="F77" s="9"/>
      <c r="G77" s="10">
        <v>6072.55</v>
      </c>
      <c r="H77" s="15" t="s">
        <v>317</v>
      </c>
      <c r="I77" s="1" t="s">
        <v>31</v>
      </c>
      <c r="J77" s="16" t="s">
        <v>62</v>
      </c>
      <c r="K77" s="17"/>
      <c r="L77" s="17"/>
      <c r="M77" s="18"/>
      <c r="N77" s="18"/>
    </row>
    <row r="78" s="1" customFormat="1" ht="29.25" spans="1:14">
      <c r="A78" s="6" t="s">
        <v>149</v>
      </c>
      <c r="B78" s="7"/>
      <c r="C78" s="8" t="s">
        <v>28</v>
      </c>
      <c r="D78" s="6" t="s">
        <v>333</v>
      </c>
      <c r="E78" s="6"/>
      <c r="F78" s="9"/>
      <c r="G78" s="10">
        <v>42.4</v>
      </c>
      <c r="H78" s="15" t="s">
        <v>329</v>
      </c>
      <c r="I78" s="1" t="s">
        <v>31</v>
      </c>
      <c r="J78" s="16" t="s">
        <v>125</v>
      </c>
      <c r="K78" s="17"/>
      <c r="L78" s="17"/>
      <c r="M78" s="18"/>
      <c r="N78" s="18"/>
    </row>
    <row r="79" s="1" customFormat="1" ht="15.75" spans="1:14">
      <c r="A79" s="6" t="s">
        <v>149</v>
      </c>
      <c r="B79" s="7"/>
      <c r="C79" s="8" t="s">
        <v>28</v>
      </c>
      <c r="D79" s="6" t="s">
        <v>334</v>
      </c>
      <c r="E79" s="6"/>
      <c r="F79" s="9"/>
      <c r="G79" s="10">
        <v>2108.52</v>
      </c>
      <c r="H79" s="15" t="s">
        <v>30</v>
      </c>
      <c r="I79" s="1" t="s">
        <v>31</v>
      </c>
      <c r="J79" s="16" t="s">
        <v>32</v>
      </c>
      <c r="K79" s="17"/>
      <c r="L79" s="17"/>
      <c r="M79" s="18"/>
      <c r="N79" s="18"/>
    </row>
    <row r="80" s="1" customFormat="1" ht="15.75" spans="1:14">
      <c r="A80" s="6" t="s">
        <v>149</v>
      </c>
      <c r="B80" s="7"/>
      <c r="C80" s="8" t="s">
        <v>28</v>
      </c>
      <c r="D80" s="6" t="s">
        <v>314</v>
      </c>
      <c r="E80" s="6"/>
      <c r="F80" s="9"/>
      <c r="G80" s="10">
        <v>20592.02</v>
      </c>
      <c r="H80" s="15" t="s">
        <v>315</v>
      </c>
      <c r="I80" s="1" t="s">
        <v>31</v>
      </c>
      <c r="J80" s="16" t="s">
        <v>35</v>
      </c>
      <c r="K80" s="17"/>
      <c r="L80" s="17"/>
      <c r="M80" s="18"/>
      <c r="N80" s="18"/>
    </row>
    <row r="81" s="1" customFormat="1" ht="15.75" spans="1:14">
      <c r="A81" s="6" t="s">
        <v>149</v>
      </c>
      <c r="B81" s="7"/>
      <c r="C81" s="8" t="s">
        <v>63</v>
      </c>
      <c r="D81" s="6" t="s">
        <v>24</v>
      </c>
      <c r="E81" s="6"/>
      <c r="F81" s="9">
        <v>-300000</v>
      </c>
      <c r="G81" s="10"/>
      <c r="H81" s="15" t="s">
        <v>229</v>
      </c>
      <c r="I81" s="1" t="s">
        <v>65</v>
      </c>
      <c r="J81" s="16" t="s">
        <v>285</v>
      </c>
      <c r="K81" s="17"/>
      <c r="L81" s="17"/>
      <c r="M81" s="18"/>
      <c r="N81" s="18"/>
    </row>
    <row r="82" s="1" customFormat="1" ht="29.25" spans="1:14">
      <c r="A82" s="6" t="s">
        <v>158</v>
      </c>
      <c r="B82" s="7"/>
      <c r="C82" s="8" t="s">
        <v>15</v>
      </c>
      <c r="D82" s="6" t="s">
        <v>335</v>
      </c>
      <c r="E82" s="6"/>
      <c r="F82" s="9">
        <v>-30.52</v>
      </c>
      <c r="G82" s="10"/>
      <c r="H82" s="15" t="s">
        <v>160</v>
      </c>
      <c r="I82" s="15" t="s">
        <v>161</v>
      </c>
      <c r="J82" s="16" t="s">
        <v>162</v>
      </c>
      <c r="K82" s="17" t="s">
        <v>20</v>
      </c>
      <c r="L82" s="17" t="s">
        <v>20</v>
      </c>
      <c r="M82" s="18">
        <v>45888</v>
      </c>
      <c r="N82" s="18"/>
    </row>
    <row r="83" s="1" customFormat="1" ht="15.75" spans="1:14">
      <c r="A83" s="6" t="s">
        <v>158</v>
      </c>
      <c r="B83" s="7"/>
      <c r="C83" s="8" t="s">
        <v>58</v>
      </c>
      <c r="D83" s="6" t="s">
        <v>24</v>
      </c>
      <c r="E83" s="6"/>
      <c r="F83" s="9"/>
      <c r="G83" s="10">
        <v>5468.85</v>
      </c>
      <c r="H83" s="11" t="s">
        <v>312</v>
      </c>
      <c r="I83" s="1" t="s">
        <v>31</v>
      </c>
      <c r="J83" s="16" t="s">
        <v>62</v>
      </c>
      <c r="K83" s="17"/>
      <c r="L83" s="17"/>
      <c r="M83" s="18"/>
      <c r="N83" s="18"/>
    </row>
    <row r="84" s="1" customFormat="1" ht="15.75" spans="1:14">
      <c r="A84" s="6" t="s">
        <v>158</v>
      </c>
      <c r="B84" s="7"/>
      <c r="C84" s="8" t="s">
        <v>58</v>
      </c>
      <c r="D84" s="6" t="s">
        <v>24</v>
      </c>
      <c r="E84" s="6"/>
      <c r="F84" s="9"/>
      <c r="G84" s="10">
        <v>10107.65</v>
      </c>
      <c r="H84" s="11" t="s">
        <v>312</v>
      </c>
      <c r="I84" s="1" t="s">
        <v>31</v>
      </c>
      <c r="J84" s="16" t="s">
        <v>62</v>
      </c>
      <c r="K84" s="17"/>
      <c r="L84" s="17"/>
      <c r="M84" s="18"/>
      <c r="N84" s="18"/>
    </row>
    <row r="85" s="1" customFormat="1" ht="29.25" spans="1:14">
      <c r="A85" s="6" t="s">
        <v>158</v>
      </c>
      <c r="B85" s="7"/>
      <c r="C85" s="8" t="s">
        <v>28</v>
      </c>
      <c r="D85" s="6" t="s">
        <v>336</v>
      </c>
      <c r="E85" s="6"/>
      <c r="F85" s="9"/>
      <c r="G85" s="10">
        <v>15.06</v>
      </c>
      <c r="H85" s="11" t="s">
        <v>329</v>
      </c>
      <c r="I85" s="1" t="s">
        <v>31</v>
      </c>
      <c r="J85" s="16" t="s">
        <v>125</v>
      </c>
      <c r="K85" s="17"/>
      <c r="L85" s="17"/>
      <c r="M85" s="18"/>
      <c r="N85" s="18"/>
    </row>
    <row r="86" s="1" customFormat="1" ht="15.75" spans="1:14">
      <c r="A86" s="6" t="s">
        <v>158</v>
      </c>
      <c r="B86" s="7"/>
      <c r="C86" s="8" t="s">
        <v>28</v>
      </c>
      <c r="D86" s="6" t="s">
        <v>337</v>
      </c>
      <c r="E86" s="6"/>
      <c r="F86" s="9"/>
      <c r="G86" s="10">
        <v>1609</v>
      </c>
      <c r="H86" s="11" t="s">
        <v>30</v>
      </c>
      <c r="I86" s="1" t="s">
        <v>31</v>
      </c>
      <c r="J86" s="16" t="s">
        <v>32</v>
      </c>
      <c r="K86" s="17"/>
      <c r="L86" s="17"/>
      <c r="M86" s="18"/>
      <c r="N86" s="18"/>
    </row>
    <row r="87" s="1" customFormat="1" ht="15.75" spans="1:14">
      <c r="A87" s="6" t="s">
        <v>158</v>
      </c>
      <c r="B87" s="7"/>
      <c r="C87" s="8" t="s">
        <v>28</v>
      </c>
      <c r="D87" s="6" t="s">
        <v>314</v>
      </c>
      <c r="E87" s="6"/>
      <c r="F87" s="9"/>
      <c r="G87" s="10">
        <v>17399.34</v>
      </c>
      <c r="H87" s="11" t="s">
        <v>315</v>
      </c>
      <c r="I87" s="1" t="s">
        <v>31</v>
      </c>
      <c r="J87" s="16" t="s">
        <v>35</v>
      </c>
      <c r="K87" s="17"/>
      <c r="L87" s="17"/>
      <c r="M87" s="18"/>
      <c r="N87" s="18"/>
    </row>
    <row r="88" s="1" customFormat="1" ht="29.25" spans="1:14">
      <c r="A88" s="6" t="s">
        <v>166</v>
      </c>
      <c r="B88" s="7"/>
      <c r="C88" s="8" t="s">
        <v>338</v>
      </c>
      <c r="D88" s="6" t="s">
        <v>24</v>
      </c>
      <c r="E88" s="6"/>
      <c r="F88" s="9"/>
      <c r="G88" s="10">
        <v>137.88</v>
      </c>
      <c r="H88" s="11" t="s">
        <v>339</v>
      </c>
      <c r="I88" s="15" t="s">
        <v>31</v>
      </c>
      <c r="J88" s="16" t="s">
        <v>340</v>
      </c>
      <c r="K88" s="17" t="s">
        <v>20</v>
      </c>
      <c r="L88" s="17"/>
      <c r="M88" s="18"/>
      <c r="N88" s="18"/>
    </row>
    <row r="89" s="1" customFormat="1" ht="29.25" spans="1:14">
      <c r="A89" s="6" t="s">
        <v>166</v>
      </c>
      <c r="B89" s="7"/>
      <c r="C89" s="8" t="s">
        <v>338</v>
      </c>
      <c r="D89" s="6" t="s">
        <v>24</v>
      </c>
      <c r="E89" s="6"/>
      <c r="F89" s="9"/>
      <c r="G89" s="10">
        <v>62.73</v>
      </c>
      <c r="H89" s="11" t="s">
        <v>341</v>
      </c>
      <c r="I89" s="15" t="s">
        <v>38</v>
      </c>
      <c r="J89" s="16" t="s">
        <v>340</v>
      </c>
      <c r="K89" s="17" t="s">
        <v>20</v>
      </c>
      <c r="L89" s="17"/>
      <c r="M89" s="18"/>
      <c r="N89" s="18"/>
    </row>
    <row r="90" s="1" customFormat="1" ht="15.75" spans="1:14">
      <c r="A90" s="6" t="s">
        <v>166</v>
      </c>
      <c r="B90" s="7"/>
      <c r="C90" s="8" t="s">
        <v>58</v>
      </c>
      <c r="D90" s="6" t="s">
        <v>24</v>
      </c>
      <c r="E90" s="6"/>
      <c r="F90" s="9"/>
      <c r="G90" s="10">
        <v>5121.5</v>
      </c>
      <c r="H90" s="11" t="s">
        <v>312</v>
      </c>
      <c r="I90" s="1" t="s">
        <v>31</v>
      </c>
      <c r="J90" s="16" t="s">
        <v>62</v>
      </c>
      <c r="K90" s="17"/>
      <c r="L90" s="17"/>
      <c r="M90" s="18"/>
      <c r="N90" s="18"/>
    </row>
    <row r="91" s="1" customFormat="1" ht="15.75" spans="1:14">
      <c r="A91" s="6" t="s">
        <v>166</v>
      </c>
      <c r="B91" s="7"/>
      <c r="C91" s="8" t="s">
        <v>58</v>
      </c>
      <c r="D91" s="6" t="s">
        <v>24</v>
      </c>
      <c r="E91" s="6"/>
      <c r="F91" s="9"/>
      <c r="G91" s="10">
        <v>7985.25</v>
      </c>
      <c r="H91" s="11" t="s">
        <v>312</v>
      </c>
      <c r="I91" s="1" t="s">
        <v>31</v>
      </c>
      <c r="J91" s="16" t="s">
        <v>62</v>
      </c>
      <c r="K91" s="17"/>
      <c r="L91" s="17"/>
      <c r="M91" s="18"/>
      <c r="N91" s="18"/>
    </row>
    <row r="92" s="1" customFormat="1" ht="29.25" spans="1:14">
      <c r="A92" s="6" t="s">
        <v>166</v>
      </c>
      <c r="B92" s="7"/>
      <c r="C92" s="8" t="s">
        <v>15</v>
      </c>
      <c r="D92" s="6" t="s">
        <v>24</v>
      </c>
      <c r="E92" s="6"/>
      <c r="F92" s="9">
        <v>-1183.89</v>
      </c>
      <c r="G92" s="10"/>
      <c r="H92" s="11" t="s">
        <v>321</v>
      </c>
      <c r="I92" s="15" t="s">
        <v>52</v>
      </c>
      <c r="J92" s="16" t="s">
        <v>211</v>
      </c>
      <c r="K92" s="17" t="s">
        <v>20</v>
      </c>
      <c r="L92" s="17" t="s">
        <v>98</v>
      </c>
      <c r="M92" s="18">
        <v>45888</v>
      </c>
      <c r="N92" s="18"/>
    </row>
    <row r="93" s="1" customFormat="1" ht="15.75" spans="1:14">
      <c r="A93" s="6" t="s">
        <v>166</v>
      </c>
      <c r="B93" s="7"/>
      <c r="C93" s="8" t="s">
        <v>58</v>
      </c>
      <c r="D93" s="6" t="s">
        <v>24</v>
      </c>
      <c r="E93" s="6"/>
      <c r="F93" s="9"/>
      <c r="G93" s="10">
        <v>8279.15</v>
      </c>
      <c r="H93" s="11" t="s">
        <v>317</v>
      </c>
      <c r="I93" s="1" t="s">
        <v>31</v>
      </c>
      <c r="J93" s="16" t="s">
        <v>62</v>
      </c>
      <c r="K93" s="17"/>
      <c r="L93" s="17"/>
      <c r="M93" s="18"/>
      <c r="N93" s="18"/>
    </row>
    <row r="94" s="1" customFormat="1" ht="15.75" spans="1:14">
      <c r="A94" s="6" t="s">
        <v>166</v>
      </c>
      <c r="B94" s="7"/>
      <c r="C94" s="8" t="s">
        <v>58</v>
      </c>
      <c r="D94" s="6" t="s">
        <v>24</v>
      </c>
      <c r="E94" s="6"/>
      <c r="F94" s="9"/>
      <c r="G94" s="10">
        <v>8441.25</v>
      </c>
      <c r="H94" s="11" t="s">
        <v>317</v>
      </c>
      <c r="I94" s="1" t="s">
        <v>31</v>
      </c>
      <c r="J94" s="16" t="s">
        <v>62</v>
      </c>
      <c r="K94" s="17"/>
      <c r="L94" s="17"/>
      <c r="M94" s="18"/>
      <c r="N94" s="18"/>
    </row>
    <row r="95" s="1" customFormat="1" ht="15.75" spans="1:14">
      <c r="A95" s="6" t="s">
        <v>166</v>
      </c>
      <c r="B95" s="7"/>
      <c r="C95" s="8" t="s">
        <v>28</v>
      </c>
      <c r="D95" s="6" t="s">
        <v>24</v>
      </c>
      <c r="E95" s="6"/>
      <c r="F95" s="9"/>
      <c r="G95" s="10">
        <v>1903.43</v>
      </c>
      <c r="H95" s="11" t="s">
        <v>30</v>
      </c>
      <c r="I95" s="1" t="s">
        <v>31</v>
      </c>
      <c r="J95" s="16" t="s">
        <v>32</v>
      </c>
      <c r="K95" s="17"/>
      <c r="L95" s="17"/>
      <c r="M95" s="18"/>
      <c r="N95" s="18"/>
    </row>
    <row r="96" s="1" customFormat="1" ht="15.75" spans="1:14">
      <c r="A96" s="6" t="s">
        <v>166</v>
      </c>
      <c r="B96" s="7"/>
      <c r="C96" s="8" t="s">
        <v>28</v>
      </c>
      <c r="D96" s="6" t="s">
        <v>24</v>
      </c>
      <c r="E96" s="6"/>
      <c r="F96" s="9"/>
      <c r="G96" s="10">
        <v>2512.22</v>
      </c>
      <c r="H96" s="11" t="s">
        <v>30</v>
      </c>
      <c r="I96" s="1" t="s">
        <v>31</v>
      </c>
      <c r="J96" s="16" t="s">
        <v>32</v>
      </c>
      <c r="K96" s="17"/>
      <c r="L96" s="17"/>
      <c r="M96" s="18"/>
      <c r="N96" s="18"/>
    </row>
    <row r="97" s="1" customFormat="1" ht="15.75" spans="1:14">
      <c r="A97" s="6" t="s">
        <v>166</v>
      </c>
      <c r="B97" s="7"/>
      <c r="C97" s="8" t="s">
        <v>28</v>
      </c>
      <c r="D97" s="6" t="s">
        <v>24</v>
      </c>
      <c r="E97" s="6"/>
      <c r="F97" s="9"/>
      <c r="G97" s="10">
        <v>22.74</v>
      </c>
      <c r="H97" s="11" t="s">
        <v>329</v>
      </c>
      <c r="I97" s="1" t="s">
        <v>31</v>
      </c>
      <c r="J97" s="16" t="s">
        <v>125</v>
      </c>
      <c r="K97" s="17"/>
      <c r="L97" s="17"/>
      <c r="M97" s="18"/>
      <c r="N97" s="18"/>
    </row>
    <row r="98" s="1" customFormat="1" ht="15.75" spans="1:14">
      <c r="A98" s="6" t="s">
        <v>166</v>
      </c>
      <c r="B98" s="7"/>
      <c r="C98" s="8" t="s">
        <v>28</v>
      </c>
      <c r="D98" s="6" t="s">
        <v>24</v>
      </c>
      <c r="E98" s="6"/>
      <c r="F98" s="9"/>
      <c r="G98" s="10">
        <v>846.99</v>
      </c>
      <c r="H98" s="11" t="s">
        <v>30</v>
      </c>
      <c r="I98" s="1" t="s">
        <v>31</v>
      </c>
      <c r="J98" s="16" t="s">
        <v>32</v>
      </c>
      <c r="K98" s="17"/>
      <c r="L98" s="17"/>
      <c r="M98" s="18"/>
      <c r="N98" s="18"/>
    </row>
    <row r="99" s="1" customFormat="1" ht="15.75" spans="1:14">
      <c r="A99" s="6" t="s">
        <v>166</v>
      </c>
      <c r="B99" s="7"/>
      <c r="C99" s="8" t="s">
        <v>28</v>
      </c>
      <c r="D99" s="6" t="s">
        <v>24</v>
      </c>
      <c r="E99" s="6"/>
      <c r="F99" s="9"/>
      <c r="G99" s="10">
        <v>125537.47</v>
      </c>
      <c r="H99" s="11" t="s">
        <v>315</v>
      </c>
      <c r="I99" s="1" t="s">
        <v>31</v>
      </c>
      <c r="J99" s="16" t="s">
        <v>35</v>
      </c>
      <c r="K99" s="17"/>
      <c r="L99" s="17"/>
      <c r="M99" s="18"/>
      <c r="N99" s="18"/>
    </row>
    <row r="100" s="1" customFormat="1" ht="29.25" spans="1:14">
      <c r="A100" s="6" t="s">
        <v>166</v>
      </c>
      <c r="B100" s="7"/>
      <c r="C100" s="8" t="s">
        <v>15</v>
      </c>
      <c r="D100" s="6" t="s">
        <v>24</v>
      </c>
      <c r="E100" s="6"/>
      <c r="F100" s="9">
        <v>-406.8</v>
      </c>
      <c r="G100" s="10"/>
      <c r="H100" s="11" t="s">
        <v>316</v>
      </c>
      <c r="I100" s="15" t="s">
        <v>38</v>
      </c>
      <c r="J100" s="16" t="s">
        <v>48</v>
      </c>
      <c r="K100" s="17" t="s">
        <v>20</v>
      </c>
      <c r="L100" s="17" t="s">
        <v>21</v>
      </c>
      <c r="M100" s="18">
        <v>45888</v>
      </c>
      <c r="N100" s="18"/>
    </row>
    <row r="101" s="1" customFormat="1" ht="15.75" spans="1:14">
      <c r="A101" s="6" t="s">
        <v>176</v>
      </c>
      <c r="B101" s="7"/>
      <c r="C101" s="8" t="s">
        <v>28</v>
      </c>
      <c r="D101" s="6" t="s">
        <v>24</v>
      </c>
      <c r="E101" s="6"/>
      <c r="F101" s="9"/>
      <c r="G101" s="10">
        <v>2221.98</v>
      </c>
      <c r="H101" s="11" t="s">
        <v>80</v>
      </c>
      <c r="I101" s="15" t="s">
        <v>31</v>
      </c>
      <c r="J101" s="16" t="s">
        <v>81</v>
      </c>
      <c r="K101" s="17"/>
      <c r="L101" s="17"/>
      <c r="M101" s="18"/>
      <c r="N101" s="18"/>
    </row>
    <row r="102" s="1" customFormat="1" ht="15.75" spans="1:14">
      <c r="A102" s="6" t="s">
        <v>176</v>
      </c>
      <c r="B102" s="7"/>
      <c r="C102" s="8" t="s">
        <v>28</v>
      </c>
      <c r="D102" s="6" t="s">
        <v>24</v>
      </c>
      <c r="E102" s="6"/>
      <c r="F102" s="9"/>
      <c r="G102" s="10">
        <v>4333.99</v>
      </c>
      <c r="H102" s="11" t="s">
        <v>80</v>
      </c>
      <c r="I102" s="15" t="s">
        <v>31</v>
      </c>
      <c r="J102" s="16" t="s">
        <v>81</v>
      </c>
      <c r="K102" s="17"/>
      <c r="L102" s="17"/>
      <c r="M102" s="18"/>
      <c r="N102" s="18"/>
    </row>
    <row r="103" s="1" customFormat="1" ht="15.75" spans="1:14">
      <c r="A103" s="6" t="s">
        <v>176</v>
      </c>
      <c r="B103" s="7"/>
      <c r="C103" s="8" t="s">
        <v>58</v>
      </c>
      <c r="D103" s="6" t="s">
        <v>24</v>
      </c>
      <c r="E103" s="6"/>
      <c r="F103" s="9"/>
      <c r="G103" s="10">
        <v>6516.3</v>
      </c>
      <c r="H103" s="11" t="s">
        <v>317</v>
      </c>
      <c r="I103" s="15" t="s">
        <v>31</v>
      </c>
      <c r="J103" s="16" t="s">
        <v>62</v>
      </c>
      <c r="K103" s="17"/>
      <c r="L103" s="17"/>
      <c r="M103" s="18"/>
      <c r="N103" s="18"/>
    </row>
    <row r="104" s="1" customFormat="1" ht="15.75" spans="1:14">
      <c r="A104" s="6" t="s">
        <v>176</v>
      </c>
      <c r="B104" s="7"/>
      <c r="C104" s="8" t="s">
        <v>28</v>
      </c>
      <c r="D104" s="6" t="s">
        <v>24</v>
      </c>
      <c r="E104" s="6"/>
      <c r="F104" s="9"/>
      <c r="G104" s="10">
        <v>1329.99</v>
      </c>
      <c r="H104" s="11" t="s">
        <v>30</v>
      </c>
      <c r="I104" s="15" t="s">
        <v>31</v>
      </c>
      <c r="J104" s="16" t="s">
        <v>32</v>
      </c>
      <c r="K104" s="17"/>
      <c r="L104" s="17"/>
      <c r="M104" s="18"/>
      <c r="N104" s="18"/>
    </row>
    <row r="105" s="1" customFormat="1" ht="15.75" spans="1:14">
      <c r="A105" s="6" t="s">
        <v>176</v>
      </c>
      <c r="B105" s="7"/>
      <c r="C105" s="8" t="s">
        <v>28</v>
      </c>
      <c r="D105" s="6" t="s">
        <v>24</v>
      </c>
      <c r="E105" s="6"/>
      <c r="F105" s="9"/>
      <c r="G105" s="10">
        <v>26167.54</v>
      </c>
      <c r="H105" s="11" t="s">
        <v>315</v>
      </c>
      <c r="I105" s="15" t="s">
        <v>31</v>
      </c>
      <c r="J105" s="16" t="s">
        <v>35</v>
      </c>
      <c r="K105" s="17"/>
      <c r="L105" s="17"/>
      <c r="M105" s="18"/>
      <c r="N105" s="18"/>
    </row>
    <row r="106" s="1" customFormat="1" ht="15.75" spans="1:14">
      <c r="A106" s="6" t="s">
        <v>182</v>
      </c>
      <c r="B106" s="7"/>
      <c r="C106" s="8" t="s">
        <v>28</v>
      </c>
      <c r="D106" s="6" t="s">
        <v>24</v>
      </c>
      <c r="E106" s="6"/>
      <c r="F106" s="9"/>
      <c r="G106" s="10">
        <v>210.42</v>
      </c>
      <c r="H106" s="11" t="s">
        <v>114</v>
      </c>
      <c r="I106" s="15" t="s">
        <v>31</v>
      </c>
      <c r="J106" s="16" t="s">
        <v>115</v>
      </c>
      <c r="K106" s="17"/>
      <c r="L106" s="17"/>
      <c r="M106" s="18"/>
      <c r="N106" s="18"/>
    </row>
    <row r="107" s="1" customFormat="1" ht="15.75" spans="1:14">
      <c r="A107" s="6" t="s">
        <v>182</v>
      </c>
      <c r="B107" s="7"/>
      <c r="C107" s="8" t="s">
        <v>28</v>
      </c>
      <c r="D107" s="6" t="s">
        <v>24</v>
      </c>
      <c r="E107" s="6"/>
      <c r="F107" s="9"/>
      <c r="G107" s="10">
        <v>1590.5</v>
      </c>
      <c r="H107" s="11" t="s">
        <v>114</v>
      </c>
      <c r="I107" s="15" t="s">
        <v>31</v>
      </c>
      <c r="J107" s="16" t="s">
        <v>115</v>
      </c>
      <c r="K107" s="17"/>
      <c r="L107" s="17"/>
      <c r="M107" s="18"/>
      <c r="N107" s="18"/>
    </row>
    <row r="108" s="1" customFormat="1" ht="15.75" spans="1:14">
      <c r="A108" s="6" t="s">
        <v>182</v>
      </c>
      <c r="B108" s="7"/>
      <c r="C108" s="8" t="s">
        <v>28</v>
      </c>
      <c r="D108" s="6" t="s">
        <v>24</v>
      </c>
      <c r="E108" s="6"/>
      <c r="F108" s="9"/>
      <c r="G108" s="10">
        <v>2306.32</v>
      </c>
      <c r="H108" s="11" t="s">
        <v>114</v>
      </c>
      <c r="I108" s="15" t="s">
        <v>31</v>
      </c>
      <c r="J108" s="16" t="s">
        <v>115</v>
      </c>
      <c r="K108" s="17"/>
      <c r="L108" s="17"/>
      <c r="M108" s="18"/>
      <c r="N108" s="18"/>
    </row>
    <row r="109" s="1" customFormat="1" ht="15.75" spans="1:14">
      <c r="A109" s="6" t="s">
        <v>182</v>
      </c>
      <c r="B109" s="7"/>
      <c r="C109" s="8" t="s">
        <v>63</v>
      </c>
      <c r="D109" s="6" t="s">
        <v>24</v>
      </c>
      <c r="E109" s="6"/>
      <c r="F109" s="9">
        <v>-300000</v>
      </c>
      <c r="G109" s="10"/>
      <c r="H109" s="11" t="s">
        <v>229</v>
      </c>
      <c r="I109" s="15" t="s">
        <v>65</v>
      </c>
      <c r="J109" s="16" t="s">
        <v>254</v>
      </c>
      <c r="K109" s="17"/>
      <c r="L109" s="17"/>
      <c r="M109" s="18"/>
      <c r="N109" s="18"/>
    </row>
    <row r="110" s="1" customFormat="1" ht="15.75" spans="1:14">
      <c r="A110" s="6" t="s">
        <v>182</v>
      </c>
      <c r="B110" s="7"/>
      <c r="C110" s="8" t="s">
        <v>63</v>
      </c>
      <c r="D110" s="6" t="s">
        <v>24</v>
      </c>
      <c r="E110" s="6"/>
      <c r="F110" s="9"/>
      <c r="G110" s="10">
        <v>300000</v>
      </c>
      <c r="H110" s="11" t="s">
        <v>83</v>
      </c>
      <c r="I110" s="15" t="s">
        <v>65</v>
      </c>
      <c r="J110" s="16" t="s">
        <v>342</v>
      </c>
      <c r="K110" s="17"/>
      <c r="L110" s="17"/>
      <c r="M110" s="18"/>
      <c r="N110" s="18"/>
    </row>
    <row r="111" s="1" customFormat="1" ht="15.75" spans="1:14">
      <c r="A111" s="6" t="s">
        <v>182</v>
      </c>
      <c r="B111" s="7"/>
      <c r="C111" s="8" t="s">
        <v>58</v>
      </c>
      <c r="D111" s="6" t="s">
        <v>24</v>
      </c>
      <c r="E111" s="6"/>
      <c r="F111" s="9"/>
      <c r="G111" s="10">
        <v>7239.45</v>
      </c>
      <c r="H111" s="11" t="s">
        <v>343</v>
      </c>
      <c r="I111" s="15" t="s">
        <v>31</v>
      </c>
      <c r="J111" s="16" t="s">
        <v>62</v>
      </c>
      <c r="K111" s="17"/>
      <c r="L111" s="17"/>
      <c r="M111" s="18"/>
      <c r="N111" s="18"/>
    </row>
    <row r="112" s="1" customFormat="1" ht="15.75" spans="1:14">
      <c r="A112" s="6" t="s">
        <v>182</v>
      </c>
      <c r="B112" s="7"/>
      <c r="C112" s="8" t="s">
        <v>28</v>
      </c>
      <c r="D112" s="6" t="s">
        <v>24</v>
      </c>
      <c r="E112" s="6"/>
      <c r="F112" s="9"/>
      <c r="G112" s="10">
        <v>1410.42</v>
      </c>
      <c r="H112" s="11" t="s">
        <v>30</v>
      </c>
      <c r="I112" s="15" t="s">
        <v>31</v>
      </c>
      <c r="J112" s="16" t="s">
        <v>32</v>
      </c>
      <c r="K112" s="17"/>
      <c r="L112" s="17"/>
      <c r="M112" s="18"/>
      <c r="N112" s="18"/>
    </row>
    <row r="113" s="1" customFormat="1" ht="15.75" spans="1:14">
      <c r="A113" s="6" t="s">
        <v>182</v>
      </c>
      <c r="B113" s="7"/>
      <c r="C113" s="8" t="s">
        <v>28</v>
      </c>
      <c r="D113" s="6" t="s">
        <v>24</v>
      </c>
      <c r="E113" s="6"/>
      <c r="F113" s="9"/>
      <c r="G113" s="10">
        <v>24770.37</v>
      </c>
      <c r="H113" s="11" t="s">
        <v>315</v>
      </c>
      <c r="I113" s="15" t="s">
        <v>31</v>
      </c>
      <c r="J113" s="16" t="s">
        <v>35</v>
      </c>
      <c r="K113" s="17"/>
      <c r="L113" s="17"/>
      <c r="M113" s="18"/>
      <c r="N113" s="18"/>
    </row>
    <row r="114" s="1" customFormat="1" ht="15.75" spans="1:14">
      <c r="A114" s="6" t="s">
        <v>182</v>
      </c>
      <c r="B114" s="7"/>
      <c r="C114" s="8" t="s">
        <v>28</v>
      </c>
      <c r="D114" s="6" t="s">
        <v>24</v>
      </c>
      <c r="E114" s="6"/>
      <c r="F114" s="9"/>
      <c r="G114" s="10">
        <v>18.35</v>
      </c>
      <c r="H114" s="11" t="s">
        <v>329</v>
      </c>
      <c r="I114" s="1" t="s">
        <v>31</v>
      </c>
      <c r="J114" s="16" t="s">
        <v>125</v>
      </c>
      <c r="K114" s="17"/>
      <c r="L114" s="17"/>
      <c r="M114" s="18"/>
      <c r="N114" s="18"/>
    </row>
    <row r="115" s="1" customFormat="1" ht="15.75" spans="1:14">
      <c r="A115" s="6" t="s">
        <v>189</v>
      </c>
      <c r="B115" s="7"/>
      <c r="C115" s="8" t="s">
        <v>58</v>
      </c>
      <c r="D115" s="6" t="s">
        <v>24</v>
      </c>
      <c r="E115" s="6"/>
      <c r="F115" s="9"/>
      <c r="G115" s="10">
        <v>8872.55</v>
      </c>
      <c r="H115" s="11" t="s">
        <v>317</v>
      </c>
      <c r="I115" s="15" t="s">
        <v>31</v>
      </c>
      <c r="J115" s="16" t="s">
        <v>62</v>
      </c>
      <c r="K115" s="17"/>
      <c r="L115" s="17"/>
      <c r="M115" s="18"/>
      <c r="N115" s="18"/>
    </row>
    <row r="116" s="1" customFormat="1" ht="29.25" spans="1:14">
      <c r="A116" s="6" t="s">
        <v>189</v>
      </c>
      <c r="B116" s="7"/>
      <c r="C116" s="8" t="s">
        <v>15</v>
      </c>
      <c r="D116" s="6" t="s">
        <v>24</v>
      </c>
      <c r="E116" s="6"/>
      <c r="F116" s="9">
        <v>-165450.12</v>
      </c>
      <c r="G116" s="10"/>
      <c r="H116" s="11" t="s">
        <v>321</v>
      </c>
      <c r="I116" s="15" t="s">
        <v>52</v>
      </c>
      <c r="J116" s="16" t="s">
        <v>211</v>
      </c>
      <c r="K116" s="17"/>
      <c r="L116" s="17"/>
      <c r="M116" s="18"/>
      <c r="N116" s="18" t="s">
        <v>146</v>
      </c>
    </row>
    <row r="117" s="1" customFormat="1" ht="15.75" spans="1:14">
      <c r="A117" s="6" t="s">
        <v>189</v>
      </c>
      <c r="B117" s="7"/>
      <c r="C117" s="8" t="s">
        <v>28</v>
      </c>
      <c r="D117" s="6" t="s">
        <v>24</v>
      </c>
      <c r="E117" s="6"/>
      <c r="F117" s="9"/>
      <c r="G117" s="10">
        <v>1265.44</v>
      </c>
      <c r="H117" s="11" t="s">
        <v>30</v>
      </c>
      <c r="I117" s="15" t="s">
        <v>31</v>
      </c>
      <c r="J117" s="16" t="s">
        <v>32</v>
      </c>
      <c r="K117" s="17"/>
      <c r="L117" s="17"/>
      <c r="M117" s="18"/>
      <c r="N117" s="18"/>
    </row>
    <row r="118" s="1" customFormat="1" ht="15.75" spans="1:14">
      <c r="A118" s="6" t="s">
        <v>189</v>
      </c>
      <c r="B118" s="7"/>
      <c r="C118" s="8" t="s">
        <v>28</v>
      </c>
      <c r="D118" s="6" t="s">
        <v>24</v>
      </c>
      <c r="E118" s="6"/>
      <c r="F118" s="9"/>
      <c r="G118" s="10">
        <v>26421.48</v>
      </c>
      <c r="H118" s="11" t="s">
        <v>315</v>
      </c>
      <c r="I118" s="15" t="s">
        <v>31</v>
      </c>
      <c r="J118" s="16" t="s">
        <v>35</v>
      </c>
      <c r="K118" s="17"/>
      <c r="L118" s="17"/>
      <c r="M118" s="18"/>
      <c r="N118" s="18"/>
    </row>
    <row r="119" s="1" customFormat="1" ht="15.75" spans="1:14">
      <c r="A119" s="6" t="s">
        <v>189</v>
      </c>
      <c r="B119" s="7"/>
      <c r="C119" s="8" t="s">
        <v>238</v>
      </c>
      <c r="D119" s="6" t="s">
        <v>24</v>
      </c>
      <c r="E119" s="6" t="s">
        <v>344</v>
      </c>
      <c r="F119" s="9">
        <v>-72899.2</v>
      </c>
      <c r="G119" s="10"/>
      <c r="H119" s="11"/>
      <c r="I119" s="15" t="s">
        <v>52</v>
      </c>
      <c r="J119" s="16" t="s">
        <v>345</v>
      </c>
      <c r="K119" s="132" t="s">
        <v>346</v>
      </c>
      <c r="L119" s="17"/>
      <c r="M119" s="18"/>
      <c r="N119" s="18" t="s">
        <v>146</v>
      </c>
    </row>
    <row r="120" s="1" customFormat="1" ht="29.25" spans="1:13">
      <c r="A120" s="6" t="s">
        <v>196</v>
      </c>
      <c r="B120" s="7"/>
      <c r="C120" s="8" t="s">
        <v>15</v>
      </c>
      <c r="D120" s="6" t="s">
        <v>24</v>
      </c>
      <c r="E120" s="6"/>
      <c r="F120" s="9">
        <v>-870.75</v>
      </c>
      <c r="G120" s="10"/>
      <c r="H120" s="11" t="s">
        <v>321</v>
      </c>
      <c r="I120" s="15" t="s">
        <v>52</v>
      </c>
      <c r="J120" s="16" t="s">
        <v>347</v>
      </c>
      <c r="K120" s="17" t="s">
        <v>20</v>
      </c>
      <c r="L120" s="17" t="s">
        <v>106</v>
      </c>
      <c r="M120" s="18">
        <v>45891</v>
      </c>
    </row>
    <row r="121" s="1" customFormat="1" ht="15.75" spans="1:13">
      <c r="A121" s="6" t="s">
        <v>196</v>
      </c>
      <c r="B121" s="7"/>
      <c r="C121" s="8" t="s">
        <v>58</v>
      </c>
      <c r="D121" s="6" t="s">
        <v>24</v>
      </c>
      <c r="E121" s="6"/>
      <c r="F121" s="9"/>
      <c r="G121" s="10">
        <v>7311.35</v>
      </c>
      <c r="H121" s="11" t="s">
        <v>317</v>
      </c>
      <c r="I121" s="15" t="s">
        <v>31</v>
      </c>
      <c r="J121" s="16" t="s">
        <v>62</v>
      </c>
      <c r="K121" s="17"/>
      <c r="L121" s="17"/>
      <c r="M121" s="18"/>
    </row>
    <row r="122" s="1" customFormat="1" ht="15.75" spans="1:13">
      <c r="A122" s="6" t="s">
        <v>196</v>
      </c>
      <c r="B122" s="7"/>
      <c r="C122" s="8" t="s">
        <v>28</v>
      </c>
      <c r="D122" s="6" t="s">
        <v>24</v>
      </c>
      <c r="E122" s="6"/>
      <c r="F122" s="9"/>
      <c r="G122" s="10">
        <v>2068.17</v>
      </c>
      <c r="H122" s="11" t="s">
        <v>30</v>
      </c>
      <c r="I122" s="15" t="s">
        <v>31</v>
      </c>
      <c r="J122" s="16" t="s">
        <v>32</v>
      </c>
      <c r="K122" s="17"/>
      <c r="L122" s="17"/>
      <c r="M122" s="18"/>
    </row>
    <row r="123" s="1" customFormat="1" ht="15.75" spans="1:13">
      <c r="A123" s="6" t="s">
        <v>196</v>
      </c>
      <c r="B123" s="7"/>
      <c r="C123" s="8" t="s">
        <v>28</v>
      </c>
      <c r="D123" s="6" t="s">
        <v>24</v>
      </c>
      <c r="E123" s="6"/>
      <c r="F123" s="9"/>
      <c r="G123" s="10">
        <v>25678.63</v>
      </c>
      <c r="H123" s="11" t="s">
        <v>315</v>
      </c>
      <c r="I123" s="15" t="s">
        <v>31</v>
      </c>
      <c r="J123" s="16" t="s">
        <v>35</v>
      </c>
      <c r="K123" s="17"/>
      <c r="L123" s="17"/>
      <c r="M123" s="18"/>
    </row>
    <row r="124" s="1" customFormat="1" ht="15.75" spans="1:14">
      <c r="A124" s="6" t="s">
        <v>196</v>
      </c>
      <c r="B124" s="7"/>
      <c r="C124" s="8" t="s">
        <v>238</v>
      </c>
      <c r="D124" s="6" t="s">
        <v>24</v>
      </c>
      <c r="E124" s="6" t="s">
        <v>348</v>
      </c>
      <c r="F124" s="9">
        <v>-516.99</v>
      </c>
      <c r="G124" s="10"/>
      <c r="H124" s="11"/>
      <c r="I124" s="15" t="s">
        <v>52</v>
      </c>
      <c r="J124" s="16" t="s">
        <v>349</v>
      </c>
      <c r="K124" s="132" t="s">
        <v>350</v>
      </c>
      <c r="L124" s="17"/>
      <c r="M124" s="18"/>
      <c r="N124" s="18" t="s">
        <v>146</v>
      </c>
    </row>
    <row r="125" s="1" customFormat="1" ht="29.25" spans="1:13">
      <c r="A125" s="6" t="s">
        <v>196</v>
      </c>
      <c r="B125" s="7"/>
      <c r="C125" s="8" t="s">
        <v>338</v>
      </c>
      <c r="D125" s="6" t="s">
        <v>24</v>
      </c>
      <c r="E125" s="6"/>
      <c r="F125" s="9"/>
      <c r="G125" s="10">
        <v>192.4</v>
      </c>
      <c r="H125" s="11" t="s">
        <v>351</v>
      </c>
      <c r="I125" s="15" t="s">
        <v>31</v>
      </c>
      <c r="J125" s="16" t="s">
        <v>352</v>
      </c>
      <c r="K125" s="17"/>
      <c r="L125" s="17"/>
      <c r="M125" s="18"/>
    </row>
    <row r="126" s="1" customFormat="1" ht="29.25" spans="1:13">
      <c r="A126" s="6" t="s">
        <v>196</v>
      </c>
      <c r="B126" s="7"/>
      <c r="C126" s="8" t="s">
        <v>338</v>
      </c>
      <c r="D126" s="6" t="s">
        <v>24</v>
      </c>
      <c r="E126" s="6"/>
      <c r="F126" s="9"/>
      <c r="G126" s="10">
        <v>100</v>
      </c>
      <c r="H126" s="11" t="s">
        <v>353</v>
      </c>
      <c r="I126" s="15" t="s">
        <v>31</v>
      </c>
      <c r="J126" s="16" t="s">
        <v>352</v>
      </c>
      <c r="K126" s="17"/>
      <c r="L126" s="17"/>
      <c r="M126" s="18"/>
    </row>
    <row r="127" s="1" customFormat="1" ht="29.25" spans="1:14">
      <c r="A127" s="6" t="s">
        <v>196</v>
      </c>
      <c r="B127" s="7"/>
      <c r="C127" s="8" t="s">
        <v>338</v>
      </c>
      <c r="D127" s="6" t="s">
        <v>24</v>
      </c>
      <c r="E127" s="6"/>
      <c r="F127" s="9"/>
      <c r="G127" s="10">
        <v>100</v>
      </c>
      <c r="H127" s="11" t="s">
        <v>354</v>
      </c>
      <c r="I127" s="15" t="s">
        <v>31</v>
      </c>
      <c r="J127" s="16" t="s">
        <v>352</v>
      </c>
      <c r="K127" s="17"/>
      <c r="L127" s="17"/>
      <c r="M127" s="18"/>
      <c r="N127" s="18"/>
    </row>
    <row r="128" s="1" customFormat="1" ht="15.75" spans="1:14">
      <c r="A128" s="6" t="s">
        <v>200</v>
      </c>
      <c r="B128" s="7"/>
      <c r="C128" s="8" t="s">
        <v>58</v>
      </c>
      <c r="D128" s="6" t="s">
        <v>24</v>
      </c>
      <c r="E128" s="6"/>
      <c r="F128" s="9"/>
      <c r="G128" s="10">
        <v>7964.4</v>
      </c>
      <c r="H128" s="11" t="s">
        <v>312</v>
      </c>
      <c r="I128" s="15" t="s">
        <v>31</v>
      </c>
      <c r="J128" s="16" t="s">
        <v>62</v>
      </c>
      <c r="K128" s="17"/>
      <c r="L128" s="17"/>
      <c r="M128" s="18"/>
      <c r="N128" s="18"/>
    </row>
    <row r="129" s="1" customFormat="1" ht="15.75" spans="1:14">
      <c r="A129" s="6" t="s">
        <v>200</v>
      </c>
      <c r="B129" s="7"/>
      <c r="C129" s="8" t="s">
        <v>58</v>
      </c>
      <c r="D129" s="6" t="s">
        <v>24</v>
      </c>
      <c r="E129" s="6"/>
      <c r="F129" s="9"/>
      <c r="G129" s="10">
        <v>8101.6</v>
      </c>
      <c r="H129" s="11" t="s">
        <v>317</v>
      </c>
      <c r="I129" s="15" t="s">
        <v>31</v>
      </c>
      <c r="J129" s="16" t="s">
        <v>62</v>
      </c>
      <c r="K129" s="17"/>
      <c r="L129" s="17"/>
      <c r="M129" s="18"/>
      <c r="N129" s="18"/>
    </row>
    <row r="130" s="1" customFormat="1" ht="15.75" spans="1:14">
      <c r="A130" s="6" t="s">
        <v>200</v>
      </c>
      <c r="B130" s="7"/>
      <c r="C130" s="8" t="s">
        <v>58</v>
      </c>
      <c r="D130" s="6" t="s">
        <v>24</v>
      </c>
      <c r="E130" s="6"/>
      <c r="F130" s="9"/>
      <c r="G130" s="10">
        <v>11238.5</v>
      </c>
      <c r="H130" s="11" t="s">
        <v>317</v>
      </c>
      <c r="I130" s="15" t="s">
        <v>31</v>
      </c>
      <c r="J130" s="16" t="s">
        <v>62</v>
      </c>
      <c r="K130" s="17"/>
      <c r="L130" s="17"/>
      <c r="M130" s="18"/>
      <c r="N130" s="18"/>
    </row>
    <row r="131" s="1" customFormat="1" ht="15.75" spans="1:14">
      <c r="A131" s="6" t="s">
        <v>200</v>
      </c>
      <c r="B131" s="7"/>
      <c r="C131" s="8" t="s">
        <v>28</v>
      </c>
      <c r="D131" s="6" t="s">
        <v>24</v>
      </c>
      <c r="E131" s="6"/>
      <c r="F131" s="9"/>
      <c r="G131" s="10">
        <v>4628.15</v>
      </c>
      <c r="H131" s="11" t="s">
        <v>30</v>
      </c>
      <c r="I131" s="15" t="s">
        <v>31</v>
      </c>
      <c r="J131" s="16" t="s">
        <v>32</v>
      </c>
      <c r="K131" s="17"/>
      <c r="L131" s="17"/>
      <c r="M131" s="18"/>
      <c r="N131" s="18"/>
    </row>
    <row r="132" s="1" customFormat="1" ht="15.75" spans="1:14">
      <c r="A132" s="6" t="s">
        <v>200</v>
      </c>
      <c r="B132" s="7"/>
      <c r="C132" s="8" t="s">
        <v>28</v>
      </c>
      <c r="D132" s="6" t="s">
        <v>24</v>
      </c>
      <c r="E132" s="6"/>
      <c r="F132" s="9"/>
      <c r="G132" s="10">
        <v>1337.83</v>
      </c>
      <c r="H132" s="11" t="s">
        <v>30</v>
      </c>
      <c r="I132" s="15" t="s">
        <v>31</v>
      </c>
      <c r="J132" s="16" t="s">
        <v>32</v>
      </c>
      <c r="K132" s="17"/>
      <c r="L132" s="17"/>
      <c r="M132" s="18"/>
      <c r="N132" s="18"/>
    </row>
    <row r="133" s="1" customFormat="1" ht="15.75" spans="1:14">
      <c r="A133" s="6" t="s">
        <v>200</v>
      </c>
      <c r="B133" s="7"/>
      <c r="C133" s="8" t="s">
        <v>28</v>
      </c>
      <c r="D133" s="6" t="s">
        <v>24</v>
      </c>
      <c r="E133" s="6"/>
      <c r="F133" s="9"/>
      <c r="G133" s="10">
        <v>1763.75</v>
      </c>
      <c r="H133" s="11" t="s">
        <v>30</v>
      </c>
      <c r="I133" s="15" t="s">
        <v>31</v>
      </c>
      <c r="J133" s="16" t="s">
        <v>32</v>
      </c>
      <c r="K133" s="17"/>
      <c r="L133" s="17"/>
      <c r="M133" s="18"/>
      <c r="N133" s="18"/>
    </row>
    <row r="134" s="1" customFormat="1" ht="15.75" spans="1:14">
      <c r="A134" s="6" t="s">
        <v>200</v>
      </c>
      <c r="B134" s="7"/>
      <c r="C134" s="8" t="s">
        <v>28</v>
      </c>
      <c r="D134" s="6" t="s">
        <v>24</v>
      </c>
      <c r="E134" s="6"/>
      <c r="F134" s="9"/>
      <c r="G134" s="10">
        <v>125129.17</v>
      </c>
      <c r="H134" s="11" t="s">
        <v>315</v>
      </c>
      <c r="I134" s="15" t="s">
        <v>31</v>
      </c>
      <c r="J134" s="16" t="s">
        <v>35</v>
      </c>
      <c r="K134" s="17"/>
      <c r="L134" s="17"/>
      <c r="M134" s="18"/>
      <c r="N134" s="18"/>
    </row>
    <row r="135" s="1" customFormat="1" ht="15.75" spans="1:14">
      <c r="A135" s="6" t="s">
        <v>204</v>
      </c>
      <c r="B135" s="7"/>
      <c r="C135" s="8" t="s">
        <v>28</v>
      </c>
      <c r="D135" s="6" t="s">
        <v>24</v>
      </c>
      <c r="E135" s="6"/>
      <c r="F135" s="9"/>
      <c r="G135" s="10">
        <v>1538.15</v>
      </c>
      <c r="H135" s="11" t="s">
        <v>80</v>
      </c>
      <c r="I135" s="15" t="s">
        <v>31</v>
      </c>
      <c r="J135" s="16" t="s">
        <v>81</v>
      </c>
      <c r="K135" s="17"/>
      <c r="L135" s="17"/>
      <c r="M135" s="18"/>
      <c r="N135" s="18"/>
    </row>
    <row r="136" s="1" customFormat="1" ht="15.75" spans="1:14">
      <c r="A136" s="6" t="s">
        <v>204</v>
      </c>
      <c r="B136" s="7"/>
      <c r="C136" s="8" t="s">
        <v>28</v>
      </c>
      <c r="D136" s="6" t="s">
        <v>24</v>
      </c>
      <c r="E136" s="6"/>
      <c r="F136" s="9"/>
      <c r="G136" s="10">
        <v>5264.13</v>
      </c>
      <c r="H136" s="11" t="s">
        <v>80</v>
      </c>
      <c r="I136" s="15" t="s">
        <v>31</v>
      </c>
      <c r="J136" s="16" t="s">
        <v>81</v>
      </c>
      <c r="K136" s="17"/>
      <c r="L136" s="17"/>
      <c r="M136" s="18"/>
      <c r="N136" s="18"/>
    </row>
    <row r="137" s="1" customFormat="1" ht="15.75" spans="1:14">
      <c r="A137" s="6" t="s">
        <v>204</v>
      </c>
      <c r="B137" s="7"/>
      <c r="C137" s="8" t="s">
        <v>28</v>
      </c>
      <c r="D137" s="6" t="s">
        <v>24</v>
      </c>
      <c r="E137" s="6"/>
      <c r="F137" s="9"/>
      <c r="G137" s="10">
        <v>3694.9</v>
      </c>
      <c r="H137" s="11" t="s">
        <v>30</v>
      </c>
      <c r="I137" s="15" t="s">
        <v>31</v>
      </c>
      <c r="J137" s="16" t="s">
        <v>32</v>
      </c>
      <c r="K137" s="17"/>
      <c r="L137" s="17"/>
      <c r="M137" s="18"/>
      <c r="N137" s="18"/>
    </row>
    <row r="138" s="1" customFormat="1" ht="15.75" spans="1:14">
      <c r="A138" s="6" t="s">
        <v>204</v>
      </c>
      <c r="B138" s="7"/>
      <c r="C138" s="8" t="s">
        <v>28</v>
      </c>
      <c r="D138" s="6" t="s">
        <v>24</v>
      </c>
      <c r="E138" s="6"/>
      <c r="F138" s="9"/>
      <c r="G138" s="10">
        <v>27781.36</v>
      </c>
      <c r="H138" s="11" t="s">
        <v>206</v>
      </c>
      <c r="I138" s="15" t="s">
        <v>31</v>
      </c>
      <c r="J138" s="16" t="s">
        <v>207</v>
      </c>
      <c r="K138" s="17"/>
      <c r="L138" s="17"/>
      <c r="M138" s="18"/>
      <c r="N138" s="18"/>
    </row>
    <row r="139" s="1" customFormat="1" ht="15.75" spans="1:14">
      <c r="A139" s="6"/>
      <c r="B139" s="7"/>
      <c r="C139" s="8"/>
      <c r="D139" s="6"/>
      <c r="E139" s="6"/>
      <c r="F139" s="9"/>
      <c r="G139" s="10"/>
      <c r="H139" s="11"/>
      <c r="I139" s="15"/>
      <c r="J139" s="16"/>
      <c r="K139" s="17"/>
      <c r="L139" s="17"/>
      <c r="M139" s="18"/>
      <c r="N139" s="18"/>
    </row>
    <row r="140" s="1" customFormat="1" ht="15.75" spans="1:14">
      <c r="A140" s="6"/>
      <c r="B140" s="7"/>
      <c r="C140" s="8"/>
      <c r="D140" s="6"/>
      <c r="E140" s="6"/>
      <c r="F140" s="9"/>
      <c r="G140" s="10"/>
      <c r="H140" s="11"/>
      <c r="I140" s="15"/>
      <c r="J140" s="16"/>
      <c r="K140" s="17"/>
      <c r="L140" s="17"/>
      <c r="M140" s="18"/>
      <c r="N140" s="18"/>
    </row>
    <row r="141" s="1" customFormat="1" ht="15.75" spans="1:14">
      <c r="A141" s="6"/>
      <c r="B141" s="7"/>
      <c r="C141" s="8"/>
      <c r="D141" s="6"/>
      <c r="E141" s="6"/>
      <c r="F141" s="9"/>
      <c r="G141" s="10"/>
      <c r="H141" s="11"/>
      <c r="I141" s="15"/>
      <c r="J141" s="16"/>
      <c r="K141" s="17"/>
      <c r="L141" s="17"/>
      <c r="M141" s="18"/>
      <c r="N141" s="18"/>
    </row>
    <row r="142" s="1" customFormat="1" ht="15.75" spans="1:14">
      <c r="A142" s="6"/>
      <c r="B142" s="7"/>
      <c r="C142" s="8"/>
      <c r="D142" s="6"/>
      <c r="E142" s="6"/>
      <c r="F142" s="9"/>
      <c r="G142" s="10"/>
      <c r="H142" s="11"/>
      <c r="I142" s="15"/>
      <c r="J142" s="16"/>
      <c r="K142" s="17"/>
      <c r="L142" s="17"/>
      <c r="M142" s="18"/>
      <c r="N142" s="18"/>
    </row>
    <row r="143" s="1" customFormat="1" ht="15.75" spans="1:14">
      <c r="A143" s="6"/>
      <c r="B143" s="7"/>
      <c r="C143" s="8"/>
      <c r="D143" s="6"/>
      <c r="E143" s="6"/>
      <c r="F143" s="9"/>
      <c r="G143" s="10"/>
      <c r="H143" s="11"/>
      <c r="I143" s="15"/>
      <c r="J143" s="16"/>
      <c r="K143" s="17"/>
      <c r="L143" s="17"/>
      <c r="M143" s="18"/>
      <c r="N143" s="18"/>
    </row>
    <row r="144" s="1" customFormat="1" ht="15.75" spans="1:14">
      <c r="A144" s="6"/>
      <c r="B144" s="7"/>
      <c r="C144" s="8"/>
      <c r="D144" s="6"/>
      <c r="E144" s="6"/>
      <c r="F144" s="9"/>
      <c r="G144" s="10"/>
      <c r="H144" s="11"/>
      <c r="I144" s="15"/>
      <c r="J144" s="16"/>
      <c r="K144" s="17"/>
      <c r="L144" s="17"/>
      <c r="M144" s="18"/>
      <c r="N144" s="18"/>
    </row>
    <row r="145" s="1" customFormat="1" ht="15.75" spans="1:14">
      <c r="A145" s="6"/>
      <c r="B145" s="7"/>
      <c r="C145" s="8"/>
      <c r="D145" s="6"/>
      <c r="E145" s="6"/>
      <c r="F145" s="9"/>
      <c r="G145" s="10"/>
      <c r="H145" s="11"/>
      <c r="I145" s="15"/>
      <c r="J145" s="16"/>
      <c r="K145" s="17"/>
      <c r="L145" s="17"/>
      <c r="M145" s="18"/>
      <c r="N145" s="18"/>
    </row>
    <row r="146" s="1" customFormat="1" ht="15.75" spans="1:14">
      <c r="A146" s="6"/>
      <c r="B146" s="7"/>
      <c r="C146" s="8"/>
      <c r="D146" s="6"/>
      <c r="E146" s="6"/>
      <c r="F146" s="9"/>
      <c r="G146" s="10"/>
      <c r="H146" s="11"/>
      <c r="I146" s="15"/>
      <c r="J146" s="16"/>
      <c r="K146" s="17"/>
      <c r="L146" s="17"/>
      <c r="M146" s="18"/>
      <c r="N146" s="18"/>
    </row>
    <row r="147" s="1" customFormat="1" ht="15.75" spans="1:14">
      <c r="A147" s="6"/>
      <c r="B147" s="7"/>
      <c r="C147" s="8"/>
      <c r="D147" s="6"/>
      <c r="E147" s="6"/>
      <c r="F147" s="9"/>
      <c r="G147" s="10"/>
      <c r="H147" s="11"/>
      <c r="I147" s="15"/>
      <c r="J147" s="16"/>
      <c r="K147" s="17"/>
      <c r="L147" s="17"/>
      <c r="M147" s="18"/>
      <c r="N147" s="18"/>
    </row>
    <row r="148" s="1" customFormat="1" ht="15.75" spans="1:14">
      <c r="A148" s="6"/>
      <c r="B148" s="7"/>
      <c r="C148" s="8"/>
      <c r="D148" s="6"/>
      <c r="E148" s="6"/>
      <c r="F148" s="9"/>
      <c r="G148" s="10"/>
      <c r="H148" s="11"/>
      <c r="I148" s="15"/>
      <c r="J148" s="16"/>
      <c r="K148" s="17"/>
      <c r="L148" s="17"/>
      <c r="M148" s="18"/>
      <c r="N148" s="18"/>
    </row>
    <row r="149" s="1" customFormat="1" ht="15.75" spans="1:14">
      <c r="A149" s="6"/>
      <c r="B149" s="7"/>
      <c r="C149" s="8"/>
      <c r="D149" s="6"/>
      <c r="E149" s="6"/>
      <c r="F149" s="9"/>
      <c r="G149" s="10"/>
      <c r="H149" s="11"/>
      <c r="I149" s="15"/>
      <c r="J149" s="16"/>
      <c r="K149" s="17"/>
      <c r="L149" s="17"/>
      <c r="M149" s="18"/>
      <c r="N149" s="18"/>
    </row>
    <row r="150" s="1" customFormat="1" ht="15.75" spans="1:14">
      <c r="A150" s="6"/>
      <c r="B150" s="7"/>
      <c r="C150" s="8"/>
      <c r="D150" s="6"/>
      <c r="E150" s="6"/>
      <c r="F150" s="9"/>
      <c r="G150" s="10"/>
      <c r="H150" s="11"/>
      <c r="I150" s="15"/>
      <c r="J150" s="16"/>
      <c r="K150" s="17"/>
      <c r="L150" s="17"/>
      <c r="M150" s="18"/>
      <c r="N150" s="18"/>
    </row>
    <row r="151" s="1" customFormat="1" ht="15.75" spans="1:14">
      <c r="A151" s="6"/>
      <c r="B151" s="7"/>
      <c r="C151" s="8"/>
      <c r="D151" s="6"/>
      <c r="E151" s="6"/>
      <c r="F151" s="9"/>
      <c r="G151" s="10"/>
      <c r="H151" s="11"/>
      <c r="I151" s="15"/>
      <c r="J151" s="16"/>
      <c r="K151" s="17"/>
      <c r="L151" s="17"/>
      <c r="M151" s="18"/>
      <c r="N151" s="18"/>
    </row>
    <row r="152" s="1" customFormat="1" ht="15.75" spans="1:14">
      <c r="A152" s="6"/>
      <c r="B152" s="7"/>
      <c r="C152" s="8"/>
      <c r="D152" s="6"/>
      <c r="E152" s="6"/>
      <c r="F152" s="9"/>
      <c r="G152" s="10"/>
      <c r="H152" s="11"/>
      <c r="I152" s="15"/>
      <c r="J152" s="16"/>
      <c r="K152" s="17"/>
      <c r="L152" s="17"/>
      <c r="M152" s="18"/>
      <c r="N152" s="18"/>
    </row>
    <row r="153" s="1" customFormat="1" ht="15.75" spans="1:14">
      <c r="A153" s="6"/>
      <c r="B153" s="7"/>
      <c r="C153" s="8"/>
      <c r="D153" s="6"/>
      <c r="E153" s="6"/>
      <c r="F153" s="9"/>
      <c r="G153" s="10"/>
      <c r="H153" s="11"/>
      <c r="I153" s="15"/>
      <c r="J153" s="16"/>
      <c r="K153" s="17"/>
      <c r="L153" s="17"/>
      <c r="M153" s="18"/>
      <c r="N153" s="18"/>
    </row>
    <row r="154" s="1" customFormat="1" ht="15.75" spans="1:14">
      <c r="A154" s="6"/>
      <c r="B154" s="7"/>
      <c r="C154" s="8"/>
      <c r="D154" s="6"/>
      <c r="E154" s="6"/>
      <c r="F154" s="9"/>
      <c r="G154" s="10"/>
      <c r="H154" s="11"/>
      <c r="I154" s="15"/>
      <c r="J154" s="16"/>
      <c r="K154" s="17"/>
      <c r="L154" s="17"/>
      <c r="M154" s="18"/>
      <c r="N154" s="18"/>
    </row>
    <row r="155" s="1" customFormat="1" ht="15.75" spans="1:14">
      <c r="A155" s="6"/>
      <c r="B155" s="7"/>
      <c r="C155" s="8"/>
      <c r="D155" s="6"/>
      <c r="E155" s="6"/>
      <c r="F155" s="9"/>
      <c r="G155" s="10"/>
      <c r="H155" s="11"/>
      <c r="I155" s="15"/>
      <c r="J155" s="16"/>
      <c r="K155" s="17"/>
      <c r="L155" s="17"/>
      <c r="M155" s="18"/>
      <c r="N155" s="18"/>
    </row>
    <row r="156" s="1" customFormat="1" ht="15.75" spans="1:14">
      <c r="A156" s="6"/>
      <c r="B156" s="7"/>
      <c r="C156" s="8"/>
      <c r="D156" s="6"/>
      <c r="E156" s="6"/>
      <c r="F156" s="9"/>
      <c r="G156" s="10"/>
      <c r="H156" s="11"/>
      <c r="I156" s="15"/>
      <c r="J156" s="16"/>
      <c r="K156" s="17"/>
      <c r="L156" s="17"/>
      <c r="M156" s="18"/>
      <c r="N156" s="18"/>
    </row>
    <row r="157" s="1" customFormat="1" ht="15.75" spans="1:14">
      <c r="A157" s="6"/>
      <c r="B157" s="7"/>
      <c r="C157" s="8"/>
      <c r="D157" s="6"/>
      <c r="E157" s="6"/>
      <c r="F157" s="9"/>
      <c r="G157" s="10"/>
      <c r="H157" s="11"/>
      <c r="I157" s="15"/>
      <c r="J157" s="16"/>
      <c r="K157" s="17"/>
      <c r="L157" s="17"/>
      <c r="M157" s="18"/>
      <c r="N157" s="18"/>
    </row>
    <row r="158" s="1" customFormat="1" ht="15.75" spans="1:14">
      <c r="A158" s="6"/>
      <c r="B158" s="7"/>
      <c r="C158" s="8"/>
      <c r="D158" s="6"/>
      <c r="E158" s="6"/>
      <c r="F158" s="9"/>
      <c r="G158" s="10"/>
      <c r="H158" s="11"/>
      <c r="I158" s="15"/>
      <c r="J158" s="16"/>
      <c r="K158" s="17"/>
      <c r="L158" s="17"/>
      <c r="M158" s="18"/>
      <c r="N158" s="18"/>
    </row>
    <row r="159" s="1" customFormat="1" ht="15.75" spans="1:14">
      <c r="A159" s="6"/>
      <c r="B159" s="7"/>
      <c r="C159" s="8"/>
      <c r="D159" s="6"/>
      <c r="E159" s="6"/>
      <c r="F159" s="9"/>
      <c r="G159" s="10"/>
      <c r="H159" s="11"/>
      <c r="I159" s="15"/>
      <c r="J159" s="16"/>
      <c r="K159" s="17"/>
      <c r="L159" s="17"/>
      <c r="M159" s="18"/>
      <c r="N159" s="18"/>
    </row>
    <row r="160" s="1" customFormat="1" ht="15.75" spans="1:14">
      <c r="A160" s="6"/>
      <c r="B160" s="7"/>
      <c r="C160" s="8"/>
      <c r="D160" s="6"/>
      <c r="E160" s="6"/>
      <c r="F160" s="9"/>
      <c r="G160" s="10"/>
      <c r="H160" s="11"/>
      <c r="I160" s="15"/>
      <c r="J160" s="16"/>
      <c r="K160" s="17"/>
      <c r="L160" s="17"/>
      <c r="M160" s="18"/>
      <c r="N160" s="18"/>
    </row>
    <row r="161" s="1" customFormat="1" ht="15.75" spans="1:14">
      <c r="A161" s="6"/>
      <c r="B161" s="7"/>
      <c r="C161" s="8"/>
      <c r="D161" s="6"/>
      <c r="E161" s="6"/>
      <c r="F161" s="9"/>
      <c r="G161" s="10"/>
      <c r="H161" s="11"/>
      <c r="I161" s="15"/>
      <c r="J161" s="16"/>
      <c r="K161" s="17"/>
      <c r="L161" s="17"/>
      <c r="M161" s="18"/>
      <c r="N161" s="18"/>
    </row>
    <row r="162" s="1" customFormat="1" ht="15.75" spans="1:14">
      <c r="A162" s="6"/>
      <c r="B162" s="7"/>
      <c r="C162" s="8"/>
      <c r="D162" s="6"/>
      <c r="E162" s="6"/>
      <c r="F162" s="9"/>
      <c r="G162" s="10"/>
      <c r="H162" s="11"/>
      <c r="I162" s="15"/>
      <c r="J162" s="16"/>
      <c r="K162" s="17"/>
      <c r="L162" s="17"/>
      <c r="M162" s="18"/>
      <c r="N162" s="18"/>
    </row>
    <row r="168" spans="9:9">
      <c r="I168" s="125"/>
    </row>
    <row r="169" spans="11:11">
      <c r="K169" s="122"/>
    </row>
    <row r="176" spans="11:11">
      <c r="K176" s="122"/>
    </row>
  </sheetData>
  <autoFilter xmlns:etc="http://www.wps.cn/officeDocument/2017/etCustomData" ref="A2:N177" etc:filterBottomFollowUsedRange="0">
    <extLst/>
  </autoFilter>
  <mergeCells count="1">
    <mergeCell ref="A1:H1"/>
  </mergeCells>
  <conditionalFormatting sqref="I1:L1">
    <cfRule type="containsText" dxfId="0" priority="1208" operator="between" text="待">
      <formula>NOT(ISERROR(SEARCH("待",I1)))</formula>
    </cfRule>
  </conditionalFormatting>
  <conditionalFormatting sqref="I3:K3">
    <cfRule type="containsText" dxfId="0" priority="159" operator="between" text="待">
      <formula>NOT(ISERROR(SEARCH("待",I3)))</formula>
    </cfRule>
  </conditionalFormatting>
  <conditionalFormatting sqref="J3">
    <cfRule type="containsText" dxfId="1" priority="169" operator="between" text="/">
      <formula>NOT(ISERROR(SEARCH("/",J3)))</formula>
    </cfRule>
  </conditionalFormatting>
  <conditionalFormatting sqref="L3">
    <cfRule type="containsText" dxfId="0" priority="179" operator="between" text="待附件">
      <formula>NOT(ISERROR(SEARCH("待附件",L3)))</formula>
    </cfRule>
    <cfRule type="containsText" dxfId="0" priority="189" operator="between" text="待提单">
      <formula>NOT(ISERROR(SEARCH("待提单",L3)))</formula>
    </cfRule>
  </conditionalFormatting>
  <conditionalFormatting sqref="I4:K4">
    <cfRule type="containsText" dxfId="0" priority="158" operator="between" text="待">
      <formula>NOT(ISERROR(SEARCH("待",I4)))</formula>
    </cfRule>
  </conditionalFormatting>
  <conditionalFormatting sqref="J4">
    <cfRule type="containsText" dxfId="1" priority="168" operator="between" text="/">
      <formula>NOT(ISERROR(SEARCH("/",J4)))</formula>
    </cfRule>
  </conditionalFormatting>
  <conditionalFormatting sqref="L4">
    <cfRule type="containsText" dxfId="0" priority="26" operator="between" text="待提单">
      <formula>NOT(ISERROR(SEARCH("待提单",L4)))</formula>
    </cfRule>
    <cfRule type="containsText" dxfId="0" priority="25" operator="between" text="待附件">
      <formula>NOT(ISERROR(SEARCH("待附件",L4)))</formula>
    </cfRule>
  </conditionalFormatting>
  <conditionalFormatting sqref="I5:K5">
    <cfRule type="containsText" dxfId="0" priority="157" operator="between" text="待">
      <formula>NOT(ISERROR(SEARCH("待",I5)))</formula>
    </cfRule>
  </conditionalFormatting>
  <conditionalFormatting sqref="J5">
    <cfRule type="containsText" dxfId="1" priority="167" operator="between" text="/">
      <formula>NOT(ISERROR(SEARCH("/",J5)))</formula>
    </cfRule>
  </conditionalFormatting>
  <conditionalFormatting sqref="L5">
    <cfRule type="containsText" dxfId="0" priority="24" operator="between" text="待提单">
      <formula>NOT(ISERROR(SEARCH("待提单",L5)))</formula>
    </cfRule>
    <cfRule type="containsText" dxfId="0" priority="23" operator="between" text="待附件">
      <formula>NOT(ISERROR(SEARCH("待附件",L5)))</formula>
    </cfRule>
  </conditionalFormatting>
  <conditionalFormatting sqref="I6:K6">
    <cfRule type="containsText" dxfId="0" priority="156" operator="between" text="待">
      <formula>NOT(ISERROR(SEARCH("待",I6)))</formula>
    </cfRule>
  </conditionalFormatting>
  <conditionalFormatting sqref="J6">
    <cfRule type="containsText" dxfId="1" priority="166" operator="between" text="/">
      <formula>NOT(ISERROR(SEARCH("/",J6)))</formula>
    </cfRule>
  </conditionalFormatting>
  <conditionalFormatting sqref="L6">
    <cfRule type="containsText" dxfId="0" priority="22" operator="between" text="待提单">
      <formula>NOT(ISERROR(SEARCH("待提单",L6)))</formula>
    </cfRule>
    <cfRule type="containsText" dxfId="0" priority="21" operator="between" text="待附件">
      <formula>NOT(ISERROR(SEARCH("待附件",L6)))</formula>
    </cfRule>
  </conditionalFormatting>
  <conditionalFormatting sqref="I7:K7">
    <cfRule type="containsText" dxfId="0" priority="155" operator="between" text="待">
      <formula>NOT(ISERROR(SEARCH("待",I7)))</formula>
    </cfRule>
  </conditionalFormatting>
  <conditionalFormatting sqref="J7">
    <cfRule type="containsText" dxfId="1" priority="165" operator="between" text="/">
      <formula>NOT(ISERROR(SEARCH("/",J7)))</formula>
    </cfRule>
  </conditionalFormatting>
  <conditionalFormatting sqref="I8:K8">
    <cfRule type="containsText" dxfId="0" priority="154" operator="between" text="待">
      <formula>NOT(ISERROR(SEARCH("待",I8)))</formula>
    </cfRule>
  </conditionalFormatting>
  <conditionalFormatting sqref="J8">
    <cfRule type="containsText" dxfId="1" priority="164" operator="between" text="/">
      <formula>NOT(ISERROR(SEARCH("/",J8)))</formula>
    </cfRule>
  </conditionalFormatting>
  <conditionalFormatting sqref="I9:K9">
    <cfRule type="containsText" dxfId="0" priority="153" operator="between" text="待">
      <formula>NOT(ISERROR(SEARCH("待",I9)))</formula>
    </cfRule>
  </conditionalFormatting>
  <conditionalFormatting sqref="J9">
    <cfRule type="containsText" dxfId="1" priority="163" operator="between" text="/">
      <formula>NOT(ISERROR(SEARCH("/",J9)))</formula>
    </cfRule>
  </conditionalFormatting>
  <conditionalFormatting sqref="L9">
    <cfRule type="containsText" dxfId="0" priority="173" operator="between" text="待附件">
      <formula>NOT(ISERROR(SEARCH("待附件",L9)))</formula>
    </cfRule>
    <cfRule type="containsText" dxfId="0" priority="183" operator="between" text="待提单">
      <formula>NOT(ISERROR(SEARCH("待提单",L9)))</formula>
    </cfRule>
  </conditionalFormatting>
  <conditionalFormatting sqref="I10:K10">
    <cfRule type="containsText" dxfId="0" priority="152" operator="between" text="待">
      <formula>NOT(ISERROR(SEARCH("待",I10)))</formula>
    </cfRule>
  </conditionalFormatting>
  <conditionalFormatting sqref="J10">
    <cfRule type="containsText" dxfId="1" priority="162" operator="between" text="/">
      <formula>NOT(ISERROR(SEARCH("/",J10)))</formula>
    </cfRule>
  </conditionalFormatting>
  <conditionalFormatting sqref="L10">
    <cfRule type="containsText" dxfId="0" priority="172" operator="between" text="待附件">
      <formula>NOT(ISERROR(SEARCH("待附件",L10)))</formula>
    </cfRule>
    <cfRule type="containsText" dxfId="0" priority="182" operator="between" text="待提单">
      <formula>NOT(ISERROR(SEARCH("待提单",L10)))</formula>
    </cfRule>
  </conditionalFormatting>
  <conditionalFormatting sqref="I11:K11">
    <cfRule type="containsText" dxfId="0" priority="151" operator="between" text="待">
      <formula>NOT(ISERROR(SEARCH("待",I11)))</formula>
    </cfRule>
  </conditionalFormatting>
  <conditionalFormatting sqref="J11">
    <cfRule type="containsText" dxfId="1" priority="161" operator="between" text="/">
      <formula>NOT(ISERROR(SEARCH("/",J11)))</formula>
    </cfRule>
  </conditionalFormatting>
  <conditionalFormatting sqref="L11">
    <cfRule type="containsText" dxfId="0" priority="171" operator="between" text="待附件">
      <formula>NOT(ISERROR(SEARCH("待附件",L11)))</formula>
    </cfRule>
    <cfRule type="containsText" dxfId="0" priority="181" operator="between" text="待提单">
      <formula>NOT(ISERROR(SEARCH("待提单",L11)))</formula>
    </cfRule>
  </conditionalFormatting>
  <conditionalFormatting sqref="I12:K12">
    <cfRule type="containsText" dxfId="0" priority="150" operator="between" text="待">
      <formula>NOT(ISERROR(SEARCH("待",I12)))</formula>
    </cfRule>
  </conditionalFormatting>
  <conditionalFormatting sqref="J12">
    <cfRule type="containsText" dxfId="1" priority="160" operator="between" text="/">
      <formula>NOT(ISERROR(SEARCH("/",J12)))</formula>
    </cfRule>
  </conditionalFormatting>
  <conditionalFormatting sqref="L12">
    <cfRule type="containsText" dxfId="0" priority="170" operator="between" text="待附件">
      <formula>NOT(ISERROR(SEARCH("待附件",L12)))</formula>
    </cfRule>
    <cfRule type="containsText" dxfId="0" priority="180" operator="between" text="待提单">
      <formula>NOT(ISERROR(SEARCH("待提单",L12)))</formula>
    </cfRule>
  </conditionalFormatting>
  <conditionalFormatting sqref="L13">
    <cfRule type="containsText" dxfId="0" priority="205" operator="between" text="待附件">
      <formula>NOT(ISERROR(SEARCH("待附件",L13)))</formula>
    </cfRule>
    <cfRule type="containsText" dxfId="0" priority="206" operator="between" text="待提单">
      <formula>NOT(ISERROR(SEARCH("待提单",L13)))</formula>
    </cfRule>
  </conditionalFormatting>
  <conditionalFormatting sqref="I14">
    <cfRule type="containsText" dxfId="0" priority="232" operator="between" text="待">
      <formula>NOT(ISERROR(SEARCH("待",I14)))</formula>
    </cfRule>
  </conditionalFormatting>
  <conditionalFormatting sqref="J14">
    <cfRule type="containsText" dxfId="0" priority="230" operator="between" text="待">
      <formula>NOT(ISERROR(SEARCH("待",J14)))</formula>
    </cfRule>
    <cfRule type="containsText" dxfId="1" priority="231" operator="between" text="/">
      <formula>NOT(ISERROR(SEARCH("/",J14)))</formula>
    </cfRule>
  </conditionalFormatting>
  <conditionalFormatting sqref="L17">
    <cfRule type="containsText" dxfId="0" priority="18" operator="between" text="待提单">
      <formula>NOT(ISERROR(SEARCH("待提单",L17)))</formula>
    </cfRule>
    <cfRule type="containsText" dxfId="0" priority="17" operator="between" text="待附件">
      <formula>NOT(ISERROR(SEARCH("待附件",L17)))</formula>
    </cfRule>
  </conditionalFormatting>
  <conditionalFormatting sqref="L18">
    <cfRule type="containsText" dxfId="0" priority="201" operator="between" text="待附件">
      <formula>NOT(ISERROR(SEARCH("待附件",L18)))</formula>
    </cfRule>
    <cfRule type="containsText" dxfId="0" priority="203" operator="between" text="待提单">
      <formula>NOT(ISERROR(SEARCH("待提单",L18)))</formula>
    </cfRule>
  </conditionalFormatting>
  <conditionalFormatting sqref="I27">
    <cfRule type="containsText" dxfId="0" priority="221" operator="between" text="待">
      <formula>NOT(ISERROR(SEARCH("待",I27)))</formula>
    </cfRule>
  </conditionalFormatting>
  <conditionalFormatting sqref="J27">
    <cfRule type="containsText" dxfId="0" priority="219" operator="between" text="待">
      <formula>NOT(ISERROR(SEARCH("待",J27)))</formula>
    </cfRule>
    <cfRule type="containsText" dxfId="1" priority="220" operator="between" text="/">
      <formula>NOT(ISERROR(SEARCH("/",J27)))</formula>
    </cfRule>
  </conditionalFormatting>
  <conditionalFormatting sqref="I28">
    <cfRule type="containsText" dxfId="0" priority="224" operator="between" text="待">
      <formula>NOT(ISERROR(SEARCH("待",I28)))</formula>
    </cfRule>
  </conditionalFormatting>
  <conditionalFormatting sqref="J28">
    <cfRule type="containsText" dxfId="0" priority="222" operator="between" text="待">
      <formula>NOT(ISERROR(SEARCH("待",J28)))</formula>
    </cfRule>
    <cfRule type="containsText" dxfId="1" priority="223" operator="between" text="/">
      <formula>NOT(ISERROR(SEARCH("/",J28)))</formula>
    </cfRule>
  </conditionalFormatting>
  <conditionalFormatting sqref="L29">
    <cfRule type="containsText" dxfId="0" priority="199" operator="between" text="待附件">
      <formula>NOT(ISERROR(SEARCH("待附件",L29)))</formula>
    </cfRule>
    <cfRule type="containsText" dxfId="0" priority="200" operator="between" text="待提单">
      <formula>NOT(ISERROR(SEARCH("待提单",L29)))</formula>
    </cfRule>
  </conditionalFormatting>
  <conditionalFormatting sqref="I30">
    <cfRule type="containsText" dxfId="0" priority="149" operator="between" text="待">
      <formula>NOT(ISERROR(SEARCH("待",I30)))</formula>
    </cfRule>
  </conditionalFormatting>
  <conditionalFormatting sqref="J30">
    <cfRule type="containsText" dxfId="0" priority="147" operator="between" text="待">
      <formula>NOT(ISERROR(SEARCH("待",J30)))</formula>
    </cfRule>
    <cfRule type="containsText" dxfId="1" priority="148" operator="between" text="/">
      <formula>NOT(ISERROR(SEARCH("/",J30)))</formula>
    </cfRule>
  </conditionalFormatting>
  <conditionalFormatting sqref="I34">
    <cfRule type="containsText" dxfId="0" priority="215" operator="between" text="待">
      <formula>NOT(ISERROR(SEARCH("待",I34)))</formula>
    </cfRule>
  </conditionalFormatting>
  <conditionalFormatting sqref="J34">
    <cfRule type="containsText" dxfId="0" priority="213" operator="between" text="待">
      <formula>NOT(ISERROR(SEARCH("待",J34)))</formula>
    </cfRule>
    <cfRule type="containsText" dxfId="1" priority="214" operator="between" text="/">
      <formula>NOT(ISERROR(SEARCH("/",J34)))</formula>
    </cfRule>
  </conditionalFormatting>
  <conditionalFormatting sqref="I35">
    <cfRule type="containsText" dxfId="0" priority="218" operator="between" text="待">
      <formula>NOT(ISERROR(SEARCH("待",I35)))</formula>
    </cfRule>
  </conditionalFormatting>
  <conditionalFormatting sqref="J35">
    <cfRule type="containsText" dxfId="0" priority="216" operator="between" text="待">
      <formula>NOT(ISERROR(SEARCH("待",J35)))</formula>
    </cfRule>
    <cfRule type="containsText" dxfId="1" priority="217" operator="between" text="/">
      <formula>NOT(ISERROR(SEARCH("/",J35)))</formula>
    </cfRule>
  </conditionalFormatting>
  <conditionalFormatting sqref="I36:J36">
    <cfRule type="containsText" dxfId="0" priority="226" operator="between" text="待">
      <formula>NOT(ISERROR(SEARCH("待",I36)))</formula>
    </cfRule>
  </conditionalFormatting>
  <conditionalFormatting sqref="J36">
    <cfRule type="containsText" dxfId="1" priority="225" operator="between" text="/">
      <formula>NOT(ISERROR(SEARCH("/",J36)))</formula>
    </cfRule>
  </conditionalFormatting>
  <conditionalFormatting sqref="I43:J43">
    <cfRule type="containsText" dxfId="0" priority="191" operator="between" text="待">
      <formula>NOT(ISERROR(SEARCH("待",I43)))</formula>
    </cfRule>
  </conditionalFormatting>
  <conditionalFormatting sqref="J43">
    <cfRule type="containsText" dxfId="1" priority="192" operator="between" text="/">
      <formula>NOT(ISERROR(SEARCH("/",J43)))</formula>
    </cfRule>
  </conditionalFormatting>
  <conditionalFormatting sqref="I44:J44">
    <cfRule type="containsText" dxfId="0" priority="111" operator="between" text="待">
      <formula>NOT(ISERROR(SEARCH("待",I44)))</formula>
    </cfRule>
  </conditionalFormatting>
  <conditionalFormatting sqref="J44">
    <cfRule type="containsText" dxfId="1" priority="110" operator="between" text="/">
      <formula>NOT(ISERROR(SEARCH("/",J44)))</formula>
    </cfRule>
  </conditionalFormatting>
  <conditionalFormatting sqref="I46:J46">
    <cfRule type="containsText" dxfId="0" priority="109" operator="between" text="待">
      <formula>NOT(ISERROR(SEARCH("待",I46)))</formula>
    </cfRule>
  </conditionalFormatting>
  <conditionalFormatting sqref="J46">
    <cfRule type="containsText" dxfId="1" priority="108" operator="between" text="/">
      <formula>NOT(ISERROR(SEARCH("/",J46)))</formula>
    </cfRule>
  </conditionalFormatting>
  <conditionalFormatting sqref="I48:J48">
    <cfRule type="containsText" dxfId="0" priority="107" operator="between" text="待">
      <formula>NOT(ISERROR(SEARCH("待",I48)))</formula>
    </cfRule>
  </conditionalFormatting>
  <conditionalFormatting sqref="J48">
    <cfRule type="containsText" dxfId="1" priority="106" operator="between" text="/">
      <formula>NOT(ISERROR(SEARCH("/",J48)))</formula>
    </cfRule>
  </conditionalFormatting>
  <conditionalFormatting sqref="I49">
    <cfRule type="containsText" dxfId="0" priority="141" operator="between" text="待">
      <formula>NOT(ISERROR(SEARCH("待",I49)))</formula>
    </cfRule>
  </conditionalFormatting>
  <conditionalFormatting sqref="J49">
    <cfRule type="containsText" dxfId="0" priority="139" operator="between" text="待">
      <formula>NOT(ISERROR(SEARCH("待",J49)))</formula>
    </cfRule>
    <cfRule type="containsText" dxfId="1" priority="140" operator="between" text="/">
      <formula>NOT(ISERROR(SEARCH("/",J49)))</formula>
    </cfRule>
  </conditionalFormatting>
  <conditionalFormatting sqref="I50">
    <cfRule type="containsText" dxfId="0" priority="136" operator="between" text="待">
      <formula>NOT(ISERROR(SEARCH("待",I50)))</formula>
    </cfRule>
  </conditionalFormatting>
  <conditionalFormatting sqref="J50">
    <cfRule type="containsText" dxfId="0" priority="134" operator="between" text="待">
      <formula>NOT(ISERROR(SEARCH("待",J50)))</formula>
    </cfRule>
    <cfRule type="containsText" dxfId="1" priority="135" operator="between" text="/">
      <formula>NOT(ISERROR(SEARCH("/",J50)))</formula>
    </cfRule>
  </conditionalFormatting>
  <conditionalFormatting sqref="I51">
    <cfRule type="containsText" dxfId="0" priority="132" operator="between" text="待">
      <formula>NOT(ISERROR(SEARCH("待",I51)))</formula>
    </cfRule>
  </conditionalFormatting>
  <conditionalFormatting sqref="J51">
    <cfRule type="containsText" dxfId="2" priority="133" operator="between" text="待">
      <formula>NOT(ISERROR(SEARCH("待",J51)))</formula>
    </cfRule>
  </conditionalFormatting>
  <conditionalFormatting sqref="I52:J52">
    <cfRule type="containsText" dxfId="0" priority="105" operator="between" text="待">
      <formula>NOT(ISERROR(SEARCH("待",I52)))</formula>
    </cfRule>
  </conditionalFormatting>
  <conditionalFormatting sqref="J52">
    <cfRule type="containsText" dxfId="1" priority="104" operator="between" text="/">
      <formula>NOT(ISERROR(SEARCH("/",J52)))</formula>
    </cfRule>
  </conditionalFormatting>
  <conditionalFormatting sqref="I55:J55">
    <cfRule type="containsText" dxfId="0" priority="130" operator="between" text="待">
      <formula>NOT(ISERROR(SEARCH("待",I55)))</formula>
    </cfRule>
  </conditionalFormatting>
  <conditionalFormatting sqref="J55">
    <cfRule type="containsText" dxfId="1" priority="131" operator="between" text="/">
      <formula>NOT(ISERROR(SEARCH("/",J55)))</formula>
    </cfRule>
  </conditionalFormatting>
  <conditionalFormatting sqref="K55">
    <cfRule type="containsText" dxfId="0" priority="127" operator="between" text="待">
      <formula>NOT(ISERROR(SEARCH("待",K55)))</formula>
    </cfRule>
  </conditionalFormatting>
  <conditionalFormatting sqref="I58:J58">
    <cfRule type="containsText" dxfId="0" priority="103" operator="between" text="待">
      <formula>NOT(ISERROR(SEARCH("待",I58)))</formula>
    </cfRule>
  </conditionalFormatting>
  <conditionalFormatting sqref="J58">
    <cfRule type="containsText" dxfId="1" priority="102" operator="between" text="/">
      <formula>NOT(ISERROR(SEARCH("/",J58)))</formula>
    </cfRule>
  </conditionalFormatting>
  <conditionalFormatting sqref="I61">
    <cfRule type="containsText" dxfId="0" priority="123" operator="between" text="待">
      <formula>NOT(ISERROR(SEARCH("待",I61)))</formula>
    </cfRule>
  </conditionalFormatting>
  <conditionalFormatting sqref="J61">
    <cfRule type="containsText" dxfId="0" priority="121" operator="between" text="待">
      <formula>NOT(ISERROR(SEARCH("待",J61)))</formula>
    </cfRule>
    <cfRule type="containsText" dxfId="1" priority="122" operator="between" text="/">
      <formula>NOT(ISERROR(SEARCH("/",J61)))</formula>
    </cfRule>
  </conditionalFormatting>
  <conditionalFormatting sqref="I62">
    <cfRule type="containsText" dxfId="0" priority="126" operator="between" text="待">
      <formula>NOT(ISERROR(SEARCH("待",I62)))</formula>
    </cfRule>
  </conditionalFormatting>
  <conditionalFormatting sqref="J62">
    <cfRule type="containsText" dxfId="0" priority="124" operator="between" text="待">
      <formula>NOT(ISERROR(SEARCH("待",J62)))</formula>
    </cfRule>
    <cfRule type="containsText" dxfId="1" priority="125" operator="between" text="/">
      <formula>NOT(ISERROR(SEARCH("/",J62)))</formula>
    </cfRule>
  </conditionalFormatting>
  <conditionalFormatting sqref="J66">
    <cfRule type="containsText" dxfId="1" priority="118" operator="between" text="/">
      <formula>NOT(ISERROR(SEARCH("/",J66)))</formula>
    </cfRule>
  </conditionalFormatting>
  <conditionalFormatting sqref="I67:J67">
    <cfRule type="containsText" dxfId="0" priority="119" operator="between" text="待">
      <formula>NOT(ISERROR(SEARCH("待",I67)))</formula>
    </cfRule>
  </conditionalFormatting>
  <conditionalFormatting sqref="J67">
    <cfRule type="containsText" dxfId="1" priority="120" operator="between" text="/">
      <formula>NOT(ISERROR(SEARCH("/",J67)))</formula>
    </cfRule>
  </conditionalFormatting>
  <conditionalFormatting sqref="J69">
    <cfRule type="containsText" dxfId="1" priority="117" operator="between" text="/">
      <formula>NOT(ISERROR(SEARCH("/",J69)))</formula>
    </cfRule>
  </conditionalFormatting>
  <conditionalFormatting sqref="J70">
    <cfRule type="containsText" dxfId="1" priority="116" operator="between" text="/">
      <formula>NOT(ISERROR(SEARCH("/",J70)))</formula>
    </cfRule>
  </conditionalFormatting>
  <conditionalFormatting sqref="J71">
    <cfRule type="containsText" dxfId="1" priority="115" operator="between" text="/">
      <formula>NOT(ISERROR(SEARCH("/",J71)))</formula>
    </cfRule>
  </conditionalFormatting>
  <conditionalFormatting sqref="J72">
    <cfRule type="containsText" dxfId="1" priority="114" operator="between" text="/">
      <formula>NOT(ISERROR(SEARCH("/",J72)))</formula>
    </cfRule>
  </conditionalFormatting>
  <conditionalFormatting sqref="J73">
    <cfRule type="containsText" dxfId="1" priority="113" operator="between" text="/">
      <formula>NOT(ISERROR(SEARCH("/",J73)))</formula>
    </cfRule>
  </conditionalFormatting>
  <conditionalFormatting sqref="I74:J74">
    <cfRule type="containsText" dxfId="0" priority="101" operator="between" text="待">
      <formula>NOT(ISERROR(SEARCH("待",I74)))</formula>
    </cfRule>
  </conditionalFormatting>
  <conditionalFormatting sqref="J74">
    <cfRule type="containsText" dxfId="1" priority="100" operator="between" text="/">
      <formula>NOT(ISERROR(SEARCH("/",J74)))</formula>
    </cfRule>
  </conditionalFormatting>
  <conditionalFormatting sqref="J82">
    <cfRule type="containsText" dxfId="1" priority="97" operator="between" text="/">
      <formula>NOT(ISERROR(SEARCH("/",J82)))</formula>
    </cfRule>
  </conditionalFormatting>
  <conditionalFormatting sqref="L82">
    <cfRule type="containsText" dxfId="0" priority="99" operator="between" text="待提单">
      <formula>NOT(ISERROR(SEARCH("待提单",L82)))</formula>
    </cfRule>
    <cfRule type="containsText" dxfId="0" priority="98" operator="between" text="待附件">
      <formula>NOT(ISERROR(SEARCH("待附件",L82)))</formula>
    </cfRule>
  </conditionalFormatting>
  <conditionalFormatting sqref="J83">
    <cfRule type="containsText" dxfId="1" priority="91" operator="between" text="/">
      <formula>NOT(ISERROR(SEARCH("/",J83)))</formula>
    </cfRule>
    <cfRule type="containsText" dxfId="0" priority="90" operator="between" text="待">
      <formula>NOT(ISERROR(SEARCH("待",J83)))</formula>
    </cfRule>
  </conditionalFormatting>
  <conditionalFormatting sqref="J84">
    <cfRule type="containsText" dxfId="1" priority="84" operator="between" text="/">
      <formula>NOT(ISERROR(SEARCH("/",J84)))</formula>
    </cfRule>
    <cfRule type="containsText" dxfId="0" priority="83" operator="between" text="待">
      <formula>NOT(ISERROR(SEARCH("待",J84)))</formula>
    </cfRule>
  </conditionalFormatting>
  <conditionalFormatting sqref="J85">
    <cfRule type="containsText" dxfId="1" priority="93" operator="between" text="/">
      <formula>NOT(ISERROR(SEARCH("/",J85)))</formula>
    </cfRule>
    <cfRule type="containsText" dxfId="0" priority="92" operator="between" text="待">
      <formula>NOT(ISERROR(SEARCH("待",J85)))</formula>
    </cfRule>
  </conditionalFormatting>
  <conditionalFormatting sqref="I88:K88">
    <cfRule type="containsText" dxfId="0" priority="58" operator="between" text="待">
      <formula>NOT(ISERROR(SEARCH("待",I88)))</formula>
    </cfRule>
  </conditionalFormatting>
  <conditionalFormatting sqref="J88">
    <cfRule type="containsText" dxfId="1" priority="60" operator="between" text="/">
      <formula>NOT(ISERROR(SEARCH("/",J88)))</formula>
    </cfRule>
  </conditionalFormatting>
  <conditionalFormatting sqref="L88">
    <cfRule type="containsText" dxfId="0" priority="64" operator="between" text="待提单">
      <formula>NOT(ISERROR(SEARCH("待提单",L88)))</formula>
    </cfRule>
    <cfRule type="containsText" dxfId="0" priority="62" operator="between" text="待附件">
      <formula>NOT(ISERROR(SEARCH("待附件",L88)))</formula>
    </cfRule>
  </conditionalFormatting>
  <conditionalFormatting sqref="J89">
    <cfRule type="containsText" dxfId="1" priority="49" operator="between" text="/">
      <formula>NOT(ISERROR(SEARCH("/",J89)))</formula>
    </cfRule>
    <cfRule type="containsText" dxfId="0" priority="48" operator="between" text="待">
      <formula>NOT(ISERROR(SEARCH("待",J89)))</formula>
    </cfRule>
  </conditionalFormatting>
  <conditionalFormatting sqref="L89">
    <cfRule type="containsText" dxfId="0" priority="63" operator="between" text="待提单">
      <formula>NOT(ISERROR(SEARCH("待提单",L89)))</formula>
    </cfRule>
    <cfRule type="containsText" dxfId="0" priority="61" operator="between" text="待附件">
      <formula>NOT(ISERROR(SEARCH("待附件",L89)))</formula>
    </cfRule>
  </conditionalFormatting>
  <conditionalFormatting sqref="J90">
    <cfRule type="containsText" dxfId="1" priority="82" operator="between" text="/">
      <formula>NOT(ISERROR(SEARCH("/",J90)))</formula>
    </cfRule>
    <cfRule type="containsText" dxfId="0" priority="81" operator="between" text="待">
      <formula>NOT(ISERROR(SEARCH("待",J90)))</formula>
    </cfRule>
  </conditionalFormatting>
  <conditionalFormatting sqref="J91">
    <cfRule type="containsText" dxfId="1" priority="80" operator="between" text="/">
      <formula>NOT(ISERROR(SEARCH("/",J91)))</formula>
    </cfRule>
    <cfRule type="containsText" dxfId="0" priority="79" operator="between" text="待">
      <formula>NOT(ISERROR(SEARCH("待",J91)))</formula>
    </cfRule>
  </conditionalFormatting>
  <conditionalFormatting sqref="I92:K92">
    <cfRule type="containsText" dxfId="0" priority="55" operator="between" text="待">
      <formula>NOT(ISERROR(SEARCH("待",I92)))</formula>
    </cfRule>
  </conditionalFormatting>
  <conditionalFormatting sqref="J92">
    <cfRule type="containsText" dxfId="1" priority="56" operator="between" text="/">
      <formula>NOT(ISERROR(SEARCH("/",J92)))</formula>
    </cfRule>
  </conditionalFormatting>
  <conditionalFormatting sqref="L92">
    <cfRule type="containsText" dxfId="0" priority="54" operator="between" text="待提单">
      <formula>NOT(ISERROR(SEARCH("待提单",L92)))</formula>
    </cfRule>
    <cfRule type="containsText" dxfId="0" priority="53" operator="between" text="待附件">
      <formula>NOT(ISERROR(SEARCH("待附件",L92)))</formula>
    </cfRule>
  </conditionalFormatting>
  <conditionalFormatting sqref="J93">
    <cfRule type="containsText" dxfId="1" priority="76" operator="between" text="/">
      <formula>NOT(ISERROR(SEARCH("/",J93)))</formula>
    </cfRule>
    <cfRule type="containsText" dxfId="0" priority="75" operator="between" text="待">
      <formula>NOT(ISERROR(SEARCH("待",J93)))</formula>
    </cfRule>
  </conditionalFormatting>
  <conditionalFormatting sqref="J94">
    <cfRule type="containsText" dxfId="1" priority="78" operator="between" text="/">
      <formula>NOT(ISERROR(SEARCH("/",J94)))</formula>
    </cfRule>
    <cfRule type="containsText" dxfId="0" priority="77" operator="between" text="待">
      <formula>NOT(ISERROR(SEARCH("待",J94)))</formula>
    </cfRule>
  </conditionalFormatting>
  <conditionalFormatting sqref="J95">
    <cfRule type="containsText" dxfId="1" priority="74" operator="between" text="/">
      <formula>NOT(ISERROR(SEARCH("/",J95)))</formula>
    </cfRule>
    <cfRule type="containsText" dxfId="0" priority="72" operator="between" text="待">
      <formula>NOT(ISERROR(SEARCH("待",J95)))</formula>
    </cfRule>
  </conditionalFormatting>
  <conditionalFormatting sqref="J96">
    <cfRule type="containsText" dxfId="1" priority="73" operator="between" text="/">
      <formula>NOT(ISERROR(SEARCH("/",J96)))</formula>
    </cfRule>
    <cfRule type="containsText" dxfId="0" priority="71" operator="between" text="待">
      <formula>NOT(ISERROR(SEARCH("待",J96)))</formula>
    </cfRule>
  </conditionalFormatting>
  <conditionalFormatting sqref="J97">
    <cfRule type="containsText" dxfId="1" priority="68" operator="between" text="/">
      <formula>NOT(ISERROR(SEARCH("/",J97)))</formula>
    </cfRule>
    <cfRule type="containsText" dxfId="0" priority="67" operator="between" text="待">
      <formula>NOT(ISERROR(SEARCH("待",J97)))</formula>
    </cfRule>
  </conditionalFormatting>
  <conditionalFormatting sqref="J98">
    <cfRule type="containsText" dxfId="1" priority="70" operator="between" text="/">
      <formula>NOT(ISERROR(SEARCH("/",J98)))</formula>
    </cfRule>
    <cfRule type="containsText" dxfId="0" priority="69" operator="between" text="待">
      <formula>NOT(ISERROR(SEARCH("待",J98)))</formula>
    </cfRule>
  </conditionalFormatting>
  <conditionalFormatting sqref="J99">
    <cfRule type="containsText" dxfId="1" priority="66" operator="between" text="/">
      <formula>NOT(ISERROR(SEARCH("/",J99)))</formula>
    </cfRule>
    <cfRule type="containsText" dxfId="0" priority="65" operator="between" text="待">
      <formula>NOT(ISERROR(SEARCH("待",J99)))</formula>
    </cfRule>
  </conditionalFormatting>
  <conditionalFormatting sqref="I100:K100">
    <cfRule type="containsText" dxfId="0" priority="85" operator="between" text="待">
      <formula>NOT(ISERROR(SEARCH("待",I100)))</formula>
    </cfRule>
  </conditionalFormatting>
  <conditionalFormatting sqref="J100">
    <cfRule type="containsText" dxfId="1" priority="86" operator="between" text="/">
      <formula>NOT(ISERROR(SEARCH("/",J100)))</formula>
    </cfRule>
  </conditionalFormatting>
  <conditionalFormatting sqref="L100">
    <cfRule type="containsText" dxfId="0" priority="88" operator="between" text="待提单">
      <formula>NOT(ISERROR(SEARCH("待提单",L100)))</formula>
    </cfRule>
    <cfRule type="containsText" dxfId="0" priority="87" operator="between" text="待附件">
      <formula>NOT(ISERROR(SEARCH("待附件",L100)))</formula>
    </cfRule>
  </conditionalFormatting>
  <conditionalFormatting sqref="J101">
    <cfRule type="containsText" dxfId="1" priority="52" operator="between" text="/">
      <formula>NOT(ISERROR(SEARCH("/",J101)))</formula>
    </cfRule>
  </conditionalFormatting>
  <conditionalFormatting sqref="J102">
    <cfRule type="containsText" dxfId="1" priority="51" operator="between" text="/">
      <formula>NOT(ISERROR(SEARCH("/",J102)))</formula>
    </cfRule>
  </conditionalFormatting>
  <conditionalFormatting sqref="J106">
    <cfRule type="containsText" dxfId="1" priority="40" operator="between" text="/">
      <formula>NOT(ISERROR(SEARCH("/",J106)))</formula>
    </cfRule>
  </conditionalFormatting>
  <conditionalFormatting sqref="J107">
    <cfRule type="containsText" dxfId="1" priority="39" operator="between" text="/">
      <formula>NOT(ISERROR(SEARCH("/",J107)))</formula>
    </cfRule>
  </conditionalFormatting>
  <conditionalFormatting sqref="J108">
    <cfRule type="containsText" dxfId="1" priority="38" operator="between" text="/">
      <formula>NOT(ISERROR(SEARCH("/",J108)))</formula>
    </cfRule>
  </conditionalFormatting>
  <conditionalFormatting sqref="I109:J109">
    <cfRule type="containsText" dxfId="0" priority="43" operator="between" text="待">
      <formula>NOT(ISERROR(SEARCH("待",I109)))</formula>
    </cfRule>
  </conditionalFormatting>
  <conditionalFormatting sqref="J109">
    <cfRule type="containsText" dxfId="1" priority="44" operator="between" text="/">
      <formula>NOT(ISERROR(SEARCH("/",J109)))</formula>
    </cfRule>
  </conditionalFormatting>
  <conditionalFormatting sqref="I110:J110">
    <cfRule type="containsText" dxfId="0" priority="41" operator="between" text="待">
      <formula>NOT(ISERROR(SEARCH("待",I110)))</formula>
    </cfRule>
  </conditionalFormatting>
  <conditionalFormatting sqref="J110">
    <cfRule type="containsText" dxfId="1" priority="42" operator="between" text="/">
      <formula>NOT(ISERROR(SEARCH("/",J110)))</formula>
    </cfRule>
  </conditionalFormatting>
  <conditionalFormatting sqref="J111">
    <cfRule type="containsText" dxfId="1" priority="45" operator="between" text="/">
      <formula>NOT(ISERROR(SEARCH("/",J111)))</formula>
    </cfRule>
  </conditionalFormatting>
  <conditionalFormatting sqref="J112">
    <cfRule type="containsText" dxfId="1" priority="47" operator="between" text="/">
      <formula>NOT(ISERROR(SEARCH("/",J112)))</formula>
    </cfRule>
  </conditionalFormatting>
  <conditionalFormatting sqref="J113">
    <cfRule type="containsText" dxfId="1" priority="46" operator="between" text="/">
      <formula>NOT(ISERROR(SEARCH("/",J113)))</formula>
    </cfRule>
  </conditionalFormatting>
  <conditionalFormatting sqref="J114">
    <cfRule type="containsText" dxfId="1" priority="36" operator="between" text="/">
      <formula>NOT(ISERROR(SEARCH("/",J114)))</formula>
    </cfRule>
    <cfRule type="containsText" dxfId="0" priority="35" operator="between" text="待">
      <formula>NOT(ISERROR(SEARCH("待",J114)))</formula>
    </cfRule>
  </conditionalFormatting>
  <conditionalFormatting sqref="L120">
    <cfRule type="containsText" dxfId="0" priority="28" operator="between" text="待提单">
      <formula>NOT(ISERROR(SEARCH("待提单",L120)))</formula>
    </cfRule>
    <cfRule type="containsText" dxfId="0" priority="27" operator="between" text="待附件">
      <formula>NOT(ISERROR(SEARCH("待附件",L120)))</formula>
    </cfRule>
  </conditionalFormatting>
  <conditionalFormatting sqref="J127">
    <cfRule type="containsText" dxfId="1" priority="32" operator="between" text="/">
      <formula>NOT(ISERROR(SEARCH("/",J127)))</formula>
    </cfRule>
  </conditionalFormatting>
  <conditionalFormatting sqref="J128">
    <cfRule type="containsText" dxfId="1" priority="11" operator="between" text="/">
      <formula>NOT(ISERROR(SEARCH("/",J128)))</formula>
    </cfRule>
  </conditionalFormatting>
  <conditionalFormatting sqref="J129">
    <cfRule type="containsText" dxfId="1" priority="10" operator="between" text="/">
      <formula>NOT(ISERROR(SEARCH("/",J129)))</formula>
    </cfRule>
  </conditionalFormatting>
  <conditionalFormatting sqref="J130">
    <cfRule type="containsText" dxfId="1" priority="9" operator="between" text="/">
      <formula>NOT(ISERROR(SEARCH("/",J130)))</formula>
    </cfRule>
  </conditionalFormatting>
  <conditionalFormatting sqref="J131">
    <cfRule type="containsText" dxfId="1" priority="16" operator="between" text="/">
      <formula>NOT(ISERROR(SEARCH("/",J131)))</formula>
    </cfRule>
  </conditionalFormatting>
  <conditionalFormatting sqref="J132">
    <cfRule type="containsText" dxfId="1" priority="15" operator="between" text="/">
      <formula>NOT(ISERROR(SEARCH("/",J132)))</formula>
    </cfRule>
  </conditionalFormatting>
  <conditionalFormatting sqref="J133">
    <cfRule type="containsText" dxfId="1" priority="14" operator="between" text="/">
      <formula>NOT(ISERROR(SEARCH("/",J133)))</formula>
    </cfRule>
  </conditionalFormatting>
  <conditionalFormatting sqref="J134">
    <cfRule type="containsText" dxfId="1" priority="12" operator="between" text="/">
      <formula>NOT(ISERROR(SEARCH("/",J134)))</formula>
    </cfRule>
  </conditionalFormatting>
  <conditionalFormatting sqref="J135">
    <cfRule type="containsText" dxfId="1" priority="4" operator="between" text="/">
      <formula>NOT(ISERROR(SEARCH("/",J135)))</formula>
    </cfRule>
  </conditionalFormatting>
  <conditionalFormatting sqref="J136">
    <cfRule type="containsText" dxfId="1" priority="3" operator="between" text="/">
      <formula>NOT(ISERROR(SEARCH("/",J136)))</formula>
    </cfRule>
  </conditionalFormatting>
  <conditionalFormatting sqref="J137">
    <cfRule type="containsText" dxfId="1" priority="1" operator="between" text="/">
      <formula>NOT(ISERROR(SEARCH("/",J137)))</formula>
    </cfRule>
  </conditionalFormatting>
  <conditionalFormatting sqref="I138:J138">
    <cfRule type="containsText" dxfId="0" priority="5" operator="between" text="待">
      <formula>NOT(ISERROR(SEARCH("待",I138)))</formula>
    </cfRule>
  </conditionalFormatting>
  <conditionalFormatting sqref="J138">
    <cfRule type="containsText" dxfId="1" priority="6" operator="between" text="/">
      <formula>NOT(ISERROR(SEARCH("/",J138)))</formula>
    </cfRule>
  </conditionalFormatting>
  <conditionalFormatting sqref="I125:I127">
    <cfRule type="containsText" dxfId="0" priority="8" operator="between" text="待">
      <formula>NOT(ISERROR(SEARCH("待",I125)))</formula>
    </cfRule>
  </conditionalFormatting>
  <conditionalFormatting sqref="J86:J87">
    <cfRule type="containsText" dxfId="1" priority="95" operator="between" text="/">
      <formula>NOT(ISERROR(SEARCH("/",J86)))</formula>
    </cfRule>
    <cfRule type="containsText" dxfId="0" priority="94" operator="between" text="待">
      <formula>NOT(ISERROR(SEARCH("待",J86)))</formula>
    </cfRule>
  </conditionalFormatting>
  <conditionalFormatting sqref="J125:J127">
    <cfRule type="containsText" dxfId="0" priority="31" operator="between" text="待">
      <formula>NOT(ISERROR(SEARCH("待",J125)))</formula>
    </cfRule>
  </conditionalFormatting>
  <conditionalFormatting sqref="J125:J126">
    <cfRule type="containsText" dxfId="1" priority="7" operator="between" text="/">
      <formula>NOT(ISERROR(SEARCH("/",J125)))</formula>
    </cfRule>
  </conditionalFormatting>
  <conditionalFormatting sqref="L7:L8">
    <cfRule type="containsText" dxfId="0" priority="20" operator="between" text="待提单">
      <formula>NOT(ISERROR(SEARCH("待提单",L7)))</formula>
    </cfRule>
    <cfRule type="containsText" dxfId="0" priority="19" operator="between" text="待附件">
      <formula>NOT(ISERROR(SEARCH("待附件",L7)))</formula>
    </cfRule>
  </conditionalFormatting>
  <conditionalFormatting sqref="I2 I163:L173 K174:L178 I179:L1048576">
    <cfRule type="containsText" dxfId="0" priority="1175" operator="between" text="待">
      <formula>NOT(ISERROR(SEARCH("待",I2)))</formula>
    </cfRule>
  </conditionalFormatting>
  <conditionalFormatting sqref="I13:K13 K48:K52 K46 K43:K44 K34:K36 K30 K27:K28 K14 I68:K68 K69:K74 J75:K81 K83:K87 K90:K91 K93:K99 K101:K102 I103:K105 K106:K110 I111:K113 K114 I115:K124 K125:K127 I128:K134 K135:K136 I137:K137 K138 I139:K152 I75:I76 I15:K26 K67 I63:K66 K61:K62 I59:K60 K58 I56:K57 I53:K54 I47:K47 I45:K45 I37:K42 I31:K33 I29:K29 H77:H82">
    <cfRule type="containsText" dxfId="0" priority="237" operator="between" text="待">
      <formula>NOT(ISERROR(SEARCH("待",H13)))</formula>
    </cfRule>
  </conditionalFormatting>
  <conditionalFormatting sqref="J13 J68 J75:J81 J103:J105 J115:J124 J139:J162 J63:J65 J59:J60 J56:J57 J53:J54 J47 J45 J37:J42 J31:J33 J29 J15:J26">
    <cfRule type="containsText" dxfId="1" priority="239" operator="between" text="/">
      <formula>NOT(ISERROR(SEARCH("/",J13)))</formula>
    </cfRule>
  </conditionalFormatting>
  <conditionalFormatting sqref="L14:L16 L30:L81 L83:L87 L90:L91 L93:L99 L101:L119 L121:L162 L19:L28">
    <cfRule type="containsText" dxfId="0" priority="240" operator="between" text="待附件">
      <formula>NOT(ISERROR(SEARCH("待附件",L14)))</formula>
    </cfRule>
    <cfRule type="containsText" dxfId="0" priority="241" operator="between" text="待提单">
      <formula>NOT(ISERROR(SEARCH("待提单",L14)))</formula>
    </cfRule>
  </conditionalFormatting>
  <conditionalFormatting sqref="I69:J73">
    <cfRule type="containsText" dxfId="0" priority="112" operator="between" text="待">
      <formula>NOT(ISERROR(SEARCH("待",I69)))</formula>
    </cfRule>
  </conditionalFormatting>
  <conditionalFormatting sqref="J82:K82 I82">
    <cfRule type="containsText" dxfId="0" priority="96" operator="between" text="待">
      <formula>NOT(ISERROR(SEARCH("待",I82)))</formula>
    </cfRule>
  </conditionalFormatting>
  <conditionalFormatting sqref="I89 K89">
    <cfRule type="containsText" dxfId="0" priority="57" operator="between" text="待">
      <formula>NOT(ISERROR(SEARCH("待",I89)))</formula>
    </cfRule>
  </conditionalFormatting>
  <conditionalFormatting sqref="I101:J102">
    <cfRule type="containsText" dxfId="0" priority="50" operator="between" text="待">
      <formula>NOT(ISERROR(SEARCH("待",I101)))</formula>
    </cfRule>
  </conditionalFormatting>
  <conditionalFormatting sqref="I106:J108">
    <cfRule type="containsText" dxfId="0" priority="37" operator="between" text="待">
      <formula>NOT(ISERROR(SEARCH("待",I106)))</formula>
    </cfRule>
  </conditionalFormatting>
  <conditionalFormatting sqref="I135:J136">
    <cfRule type="containsText" dxfId="0" priority="2" operator="between" text="待">
      <formula>NOT(ISERROR(SEARCH("待",I135)))</formula>
    </cfRule>
  </conditionalFormatting>
  <conditionalFormatting sqref="I155:K160 K161:K162 K153:K154">
    <cfRule type="containsText" dxfId="0" priority="236" operator="between" text="待">
      <formula>NOT(ISERROR(SEARCH("待",I153)))</formula>
    </cfRule>
  </conditionalFormatting>
  <conditionalFormatting sqref="I153:J154">
    <cfRule type="containsText" dxfId="0" priority="235" operator="between" text="待">
      <formula>NOT(ISERROR(SEARCH("待",I153)))</formula>
    </cfRule>
  </conditionalFormatting>
  <conditionalFormatting sqref="I161:J162">
    <cfRule type="containsText" dxfId="0" priority="234" operator="between" text="待">
      <formula>NOT(ISERROR(SEARCH("待",I161)))</formula>
    </cfRule>
  </conditionalFormatting>
  <conditionalFormatting sqref="H174:J178">
    <cfRule type="containsText" dxfId="0" priority="233" operator="between" text="待">
      <formula>NOT(ISERROR(SEARCH("待",H174)))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zoomScale="85" zoomScaleNormal="85" workbookViewId="0">
      <pane xSplit="2" ySplit="2" topLeftCell="C85" activePane="bottomRight" state="frozen"/>
      <selection/>
      <selection pane="topRight"/>
      <selection pane="bottomLeft"/>
      <selection pane="bottomRight" activeCell="J105" sqref="I105:J105"/>
    </sheetView>
  </sheetViews>
  <sheetFormatPr defaultColWidth="9" defaultRowHeight="15"/>
  <cols>
    <col min="1" max="1" width="12.8571428571429" style="19" customWidth="1"/>
    <col min="2" max="2" width="3.28571428571429" style="19" customWidth="1"/>
    <col min="3" max="3" width="30.5714285714286" style="19" customWidth="1"/>
    <col min="4" max="4" width="22.4285714285714" style="19" customWidth="1"/>
    <col min="5" max="5" width="17.1428571428571" style="19" customWidth="1"/>
    <col min="6" max="7" width="13.4285714285714" style="19" customWidth="1"/>
    <col min="8" max="8" width="28.8571428571429" style="19" customWidth="1"/>
    <col min="9" max="9" width="10.1428571428571" style="19" customWidth="1"/>
    <col min="10" max="10" width="20.7142857142857" style="19" customWidth="1"/>
    <col min="11" max="11" width="40.9238095238095" style="116" customWidth="1"/>
    <col min="12" max="12" width="8" style="116" customWidth="1"/>
    <col min="13" max="13" width="23.7142857142857" style="116" customWidth="1"/>
    <col min="14" max="14" width="23.7142857142857" style="19" customWidth="1"/>
    <col min="15" max="16384" width="9" style="19" customWidth="1"/>
  </cols>
  <sheetData>
    <row r="1" spans="1:12">
      <c r="A1" s="47" t="s">
        <v>355</v>
      </c>
      <c r="B1" s="48"/>
      <c r="C1" s="48"/>
      <c r="D1" s="48"/>
      <c r="E1" s="48"/>
      <c r="F1" s="48"/>
      <c r="G1" s="48"/>
      <c r="H1" s="49"/>
      <c r="I1" s="36"/>
      <c r="J1" s="36"/>
      <c r="K1" s="118"/>
      <c r="L1" s="118"/>
    </row>
    <row r="2" ht="15.75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</row>
    <row r="3" s="1" customFormat="1" ht="15.75" spans="1:14">
      <c r="A3" s="6" t="s">
        <v>14</v>
      </c>
      <c r="B3" s="7"/>
      <c r="C3" s="8" t="s">
        <v>15</v>
      </c>
      <c r="D3" s="6" t="s">
        <v>356</v>
      </c>
      <c r="E3" s="6" t="s">
        <v>20</v>
      </c>
      <c r="F3" s="9">
        <v>53.8</v>
      </c>
      <c r="G3" s="10" t="s">
        <v>20</v>
      </c>
      <c r="H3" s="11" t="s">
        <v>357</v>
      </c>
      <c r="I3" s="16" t="s">
        <v>38</v>
      </c>
      <c r="J3" s="16" t="s">
        <v>39</v>
      </c>
      <c r="K3" s="17" t="s">
        <v>20</v>
      </c>
      <c r="L3" s="17" t="s">
        <v>102</v>
      </c>
      <c r="M3" s="18">
        <v>45875</v>
      </c>
      <c r="N3" s="18" t="s">
        <v>20</v>
      </c>
    </row>
    <row r="4" s="1" customFormat="1" ht="15.75" spans="1:14">
      <c r="A4" s="6" t="s">
        <v>14</v>
      </c>
      <c r="B4" s="7"/>
      <c r="C4" s="8" t="s">
        <v>58</v>
      </c>
      <c r="D4" s="6" t="s">
        <v>20</v>
      </c>
      <c r="E4" s="6" t="s">
        <v>20</v>
      </c>
      <c r="F4" s="9" t="s">
        <v>20</v>
      </c>
      <c r="G4" s="10">
        <v>1983.05</v>
      </c>
      <c r="H4" s="11" t="s">
        <v>358</v>
      </c>
      <c r="I4" s="16" t="s">
        <v>31</v>
      </c>
      <c r="J4" s="16" t="s">
        <v>62</v>
      </c>
      <c r="K4" s="17" t="s">
        <v>20</v>
      </c>
      <c r="L4" s="17" t="s">
        <v>20</v>
      </c>
      <c r="M4" s="18" t="s">
        <v>20</v>
      </c>
      <c r="N4" s="18" t="s">
        <v>20</v>
      </c>
    </row>
    <row r="5" s="1" customFormat="1" ht="15.75" spans="1:14">
      <c r="A5" s="6" t="s">
        <v>14</v>
      </c>
      <c r="B5" s="7"/>
      <c r="C5" s="8" t="s">
        <v>28</v>
      </c>
      <c r="D5" s="6" t="s">
        <v>359</v>
      </c>
      <c r="E5" s="6" t="s">
        <v>20</v>
      </c>
      <c r="F5" s="9" t="s">
        <v>20</v>
      </c>
      <c r="G5" s="10">
        <v>1593.01</v>
      </c>
      <c r="H5" s="11" t="s">
        <v>30</v>
      </c>
      <c r="I5" s="16" t="s">
        <v>31</v>
      </c>
      <c r="J5" s="16" t="s">
        <v>32</v>
      </c>
      <c r="K5" s="17" t="s">
        <v>20</v>
      </c>
      <c r="L5" s="17" t="s">
        <v>20</v>
      </c>
      <c r="M5" s="18" t="s">
        <v>20</v>
      </c>
      <c r="N5" s="18" t="s">
        <v>20</v>
      </c>
    </row>
    <row r="6" s="1" customFormat="1" ht="15.75" spans="1:14">
      <c r="A6" s="6" t="s">
        <v>14</v>
      </c>
      <c r="B6" s="7"/>
      <c r="C6" s="8" t="s">
        <v>28</v>
      </c>
      <c r="D6" s="6" t="s">
        <v>360</v>
      </c>
      <c r="E6" s="6" t="s">
        <v>20</v>
      </c>
      <c r="F6" s="9" t="s">
        <v>20</v>
      </c>
      <c r="G6" s="10">
        <v>36490.51</v>
      </c>
      <c r="H6" s="11" t="s">
        <v>361</v>
      </c>
      <c r="I6" s="16" t="s">
        <v>31</v>
      </c>
      <c r="J6" s="16" t="s">
        <v>35</v>
      </c>
      <c r="K6" s="17" t="s">
        <v>20</v>
      </c>
      <c r="L6" s="17" t="s">
        <v>20</v>
      </c>
      <c r="M6" s="18" t="s">
        <v>20</v>
      </c>
      <c r="N6" s="18" t="s">
        <v>20</v>
      </c>
    </row>
    <row r="7" s="1" customFormat="1" ht="15.75" spans="1:14">
      <c r="A7" s="6" t="s">
        <v>14</v>
      </c>
      <c r="B7" s="7"/>
      <c r="C7" s="8" t="s">
        <v>15</v>
      </c>
      <c r="D7" s="6" t="s">
        <v>360</v>
      </c>
      <c r="E7" s="6" t="s">
        <v>20</v>
      </c>
      <c r="F7" s="9">
        <v>17538.54</v>
      </c>
      <c r="G7" s="10" t="s">
        <v>20</v>
      </c>
      <c r="H7" s="11" t="s">
        <v>362</v>
      </c>
      <c r="I7" s="16" t="s">
        <v>38</v>
      </c>
      <c r="J7" s="16" t="s">
        <v>48</v>
      </c>
      <c r="K7" s="17" t="s">
        <v>20</v>
      </c>
      <c r="L7" s="17" t="s">
        <v>21</v>
      </c>
      <c r="M7" s="18">
        <v>45875</v>
      </c>
      <c r="N7" s="18" t="s">
        <v>20</v>
      </c>
    </row>
    <row r="8" s="1" customFormat="1" ht="15.75" spans="1:14">
      <c r="A8" s="6" t="s">
        <v>69</v>
      </c>
      <c r="B8" s="7"/>
      <c r="C8" s="8" t="s">
        <v>58</v>
      </c>
      <c r="D8" s="6" t="s">
        <v>20</v>
      </c>
      <c r="E8" s="6" t="s">
        <v>20</v>
      </c>
      <c r="F8" s="9" t="s">
        <v>20</v>
      </c>
      <c r="G8" s="10">
        <v>2601</v>
      </c>
      <c r="H8" s="11" t="s">
        <v>358</v>
      </c>
      <c r="I8" s="16" t="s">
        <v>31</v>
      </c>
      <c r="J8" s="16" t="s">
        <v>62</v>
      </c>
      <c r="K8" s="17" t="s">
        <v>20</v>
      </c>
      <c r="L8" s="17" t="s">
        <v>20</v>
      </c>
      <c r="M8" s="18" t="s">
        <v>20</v>
      </c>
      <c r="N8" s="18" t="s">
        <v>20</v>
      </c>
    </row>
    <row r="9" s="1" customFormat="1" ht="15.75" spans="1:14">
      <c r="A9" s="6" t="s">
        <v>69</v>
      </c>
      <c r="B9" s="7"/>
      <c r="C9" s="8" t="s">
        <v>15</v>
      </c>
      <c r="D9" s="6" t="s">
        <v>356</v>
      </c>
      <c r="E9" s="6" t="s">
        <v>20</v>
      </c>
      <c r="F9" s="9">
        <v>11.3</v>
      </c>
      <c r="G9" s="10" t="s">
        <v>20</v>
      </c>
      <c r="H9" s="11" t="s">
        <v>357</v>
      </c>
      <c r="I9" s="16" t="s">
        <v>38</v>
      </c>
      <c r="J9" s="16" t="s">
        <v>39</v>
      </c>
      <c r="K9" s="17" t="s">
        <v>20</v>
      </c>
      <c r="L9" s="17" t="s">
        <v>102</v>
      </c>
      <c r="M9" s="18">
        <v>45875</v>
      </c>
      <c r="N9" s="18" t="s">
        <v>20</v>
      </c>
    </row>
    <row r="10" s="1" customFormat="1" ht="15.75" spans="1:14">
      <c r="A10" s="6" t="s">
        <v>69</v>
      </c>
      <c r="B10" s="7"/>
      <c r="C10" s="8" t="s">
        <v>28</v>
      </c>
      <c r="D10" s="6" t="s">
        <v>20</v>
      </c>
      <c r="E10" s="6" t="s">
        <v>20</v>
      </c>
      <c r="F10" s="9" t="s">
        <v>20</v>
      </c>
      <c r="G10" s="10">
        <v>6274.09</v>
      </c>
      <c r="H10" s="11" t="s">
        <v>80</v>
      </c>
      <c r="I10" s="16" t="s">
        <v>31</v>
      </c>
      <c r="J10" s="16" t="s">
        <v>81</v>
      </c>
      <c r="K10" s="17" t="s">
        <v>20</v>
      </c>
      <c r="L10" s="17" t="s">
        <v>20</v>
      </c>
      <c r="M10" s="18" t="s">
        <v>20</v>
      </c>
      <c r="N10" s="18" t="s">
        <v>20</v>
      </c>
    </row>
    <row r="11" s="1" customFormat="1" ht="15.75" spans="1:14">
      <c r="A11" s="6" t="s">
        <v>69</v>
      </c>
      <c r="B11" s="7"/>
      <c r="C11" s="8" t="s">
        <v>28</v>
      </c>
      <c r="D11" s="6" t="s">
        <v>20</v>
      </c>
      <c r="E11" s="6" t="s">
        <v>20</v>
      </c>
      <c r="F11" s="9" t="s">
        <v>20</v>
      </c>
      <c r="G11" s="10">
        <v>6833.53</v>
      </c>
      <c r="H11" s="11" t="s">
        <v>80</v>
      </c>
      <c r="I11" s="15" t="s">
        <v>31</v>
      </c>
      <c r="J11" s="16" t="s">
        <v>81</v>
      </c>
      <c r="K11" s="17" t="s">
        <v>20</v>
      </c>
      <c r="L11" s="17" t="s">
        <v>20</v>
      </c>
      <c r="M11" s="18" t="s">
        <v>20</v>
      </c>
      <c r="N11" s="18" t="s">
        <v>20</v>
      </c>
    </row>
    <row r="12" s="1" customFormat="1" ht="15.75" spans="1:14">
      <c r="A12" s="6" t="s">
        <v>69</v>
      </c>
      <c r="B12" s="7"/>
      <c r="C12" s="8" t="s">
        <v>58</v>
      </c>
      <c r="D12" s="6" t="s">
        <v>20</v>
      </c>
      <c r="E12" s="6" t="s">
        <v>20</v>
      </c>
      <c r="F12" s="9" t="s">
        <v>20</v>
      </c>
      <c r="G12" s="10">
        <v>3164.5</v>
      </c>
      <c r="H12" s="11" t="s">
        <v>358</v>
      </c>
      <c r="I12" s="16" t="s">
        <v>31</v>
      </c>
      <c r="J12" s="16" t="s">
        <v>62</v>
      </c>
      <c r="K12" s="17" t="s">
        <v>20</v>
      </c>
      <c r="L12" s="17" t="s">
        <v>20</v>
      </c>
      <c r="M12" s="18" t="s">
        <v>20</v>
      </c>
      <c r="N12" s="18" t="s">
        <v>20</v>
      </c>
    </row>
    <row r="13" s="1" customFormat="1" ht="15.75" spans="1:14">
      <c r="A13" s="6" t="s">
        <v>69</v>
      </c>
      <c r="B13" s="7"/>
      <c r="C13" s="8" t="s">
        <v>58</v>
      </c>
      <c r="D13" s="6" t="s">
        <v>20</v>
      </c>
      <c r="E13" s="6" t="s">
        <v>20</v>
      </c>
      <c r="F13" s="9" t="s">
        <v>20</v>
      </c>
      <c r="G13" s="10">
        <v>2648.5</v>
      </c>
      <c r="H13" s="11" t="s">
        <v>358</v>
      </c>
      <c r="I13" s="16" t="s">
        <v>31</v>
      </c>
      <c r="J13" s="16" t="s">
        <v>62</v>
      </c>
      <c r="K13" s="17" t="s">
        <v>20</v>
      </c>
      <c r="L13" s="17" t="s">
        <v>20</v>
      </c>
      <c r="M13" s="18" t="s">
        <v>20</v>
      </c>
      <c r="N13" s="18" t="s">
        <v>20</v>
      </c>
    </row>
    <row r="14" s="1" customFormat="1" ht="15.75" spans="1:14">
      <c r="A14" s="6" t="s">
        <v>69</v>
      </c>
      <c r="B14" s="7"/>
      <c r="C14" s="8" t="s">
        <v>50</v>
      </c>
      <c r="D14" s="6" t="s">
        <v>20</v>
      </c>
      <c r="E14" s="6" t="s">
        <v>20</v>
      </c>
      <c r="F14" s="9">
        <v>2648.5</v>
      </c>
      <c r="G14" s="10" t="s">
        <v>20</v>
      </c>
      <c r="H14" s="11" t="s">
        <v>363</v>
      </c>
      <c r="I14" s="16" t="s">
        <v>227</v>
      </c>
      <c r="J14" s="16" t="s">
        <v>364</v>
      </c>
      <c r="K14" s="17" t="s">
        <v>20</v>
      </c>
      <c r="L14" s="17" t="s">
        <v>20</v>
      </c>
      <c r="M14" s="18" t="s">
        <v>20</v>
      </c>
      <c r="N14" s="18" t="s">
        <v>20</v>
      </c>
    </row>
    <row r="15" s="1" customFormat="1" ht="15.75" spans="1:14">
      <c r="A15" s="6" t="s">
        <v>69</v>
      </c>
      <c r="B15" s="7"/>
      <c r="C15" s="8" t="s">
        <v>58</v>
      </c>
      <c r="D15" s="6" t="s">
        <v>20</v>
      </c>
      <c r="E15" s="6" t="s">
        <v>20</v>
      </c>
      <c r="F15" s="9" t="s">
        <v>20</v>
      </c>
      <c r="G15" s="10">
        <v>3663.5</v>
      </c>
      <c r="H15" s="11" t="s">
        <v>358</v>
      </c>
      <c r="I15" s="16" t="s">
        <v>31</v>
      </c>
      <c r="J15" s="16" t="s">
        <v>62</v>
      </c>
      <c r="K15" s="17" t="s">
        <v>20</v>
      </c>
      <c r="L15" s="17" t="s">
        <v>20</v>
      </c>
      <c r="M15" s="18" t="s">
        <v>20</v>
      </c>
      <c r="N15" s="18" t="s">
        <v>20</v>
      </c>
    </row>
    <row r="16" s="1" customFormat="1" ht="15.75" spans="1:14">
      <c r="A16" s="6" t="s">
        <v>69</v>
      </c>
      <c r="B16" s="7"/>
      <c r="C16" s="8" t="s">
        <v>58</v>
      </c>
      <c r="D16" s="6" t="s">
        <v>20</v>
      </c>
      <c r="E16" s="6" t="s">
        <v>20</v>
      </c>
      <c r="F16" s="9" t="s">
        <v>20</v>
      </c>
      <c r="G16" s="10">
        <v>3570</v>
      </c>
      <c r="H16" s="11" t="s">
        <v>358</v>
      </c>
      <c r="I16" s="16" t="s">
        <v>31</v>
      </c>
      <c r="J16" s="16" t="s">
        <v>62</v>
      </c>
      <c r="K16" s="17" t="s">
        <v>20</v>
      </c>
      <c r="L16" s="17" t="s">
        <v>20</v>
      </c>
      <c r="M16" s="18" t="s">
        <v>20</v>
      </c>
      <c r="N16" s="18" t="s">
        <v>20</v>
      </c>
    </row>
    <row r="17" s="1" customFormat="1" ht="15.75" spans="1:14">
      <c r="A17" s="6" t="s">
        <v>69</v>
      </c>
      <c r="B17" s="7"/>
      <c r="C17" s="8" t="s">
        <v>28</v>
      </c>
      <c r="D17" s="6" t="s">
        <v>20</v>
      </c>
      <c r="E17" s="6" t="s">
        <v>20</v>
      </c>
      <c r="F17" s="9" t="s">
        <v>20</v>
      </c>
      <c r="G17" s="10">
        <v>1489.53</v>
      </c>
      <c r="H17" s="11" t="s">
        <v>30</v>
      </c>
      <c r="I17" s="15" t="s">
        <v>31</v>
      </c>
      <c r="J17" s="16" t="s">
        <v>32</v>
      </c>
      <c r="K17" s="17" t="s">
        <v>20</v>
      </c>
      <c r="L17" s="17" t="s">
        <v>20</v>
      </c>
      <c r="M17" s="18" t="s">
        <v>20</v>
      </c>
      <c r="N17" s="18" t="s">
        <v>20</v>
      </c>
    </row>
    <row r="18" s="1" customFormat="1" ht="15.75" spans="1:14">
      <c r="A18" s="6" t="s">
        <v>69</v>
      </c>
      <c r="B18" s="7"/>
      <c r="C18" s="8" t="s">
        <v>28</v>
      </c>
      <c r="D18" s="6" t="s">
        <v>20</v>
      </c>
      <c r="E18" s="6" t="s">
        <v>20</v>
      </c>
      <c r="F18" s="9" t="s">
        <v>20</v>
      </c>
      <c r="G18" s="10">
        <v>1588.98</v>
      </c>
      <c r="H18" s="11" t="s">
        <v>30</v>
      </c>
      <c r="I18" s="15" t="s">
        <v>31</v>
      </c>
      <c r="J18" s="16" t="s">
        <v>32</v>
      </c>
      <c r="K18" s="17" t="s">
        <v>20</v>
      </c>
      <c r="L18" s="17" t="s">
        <v>20</v>
      </c>
      <c r="M18" s="18" t="s">
        <v>20</v>
      </c>
      <c r="N18" s="18" t="s">
        <v>20</v>
      </c>
    </row>
    <row r="19" s="1" customFormat="1" ht="15.75" spans="1:14">
      <c r="A19" s="6" t="s">
        <v>69</v>
      </c>
      <c r="B19" s="7"/>
      <c r="C19" s="8" t="s">
        <v>28</v>
      </c>
      <c r="D19" s="6" t="s">
        <v>20</v>
      </c>
      <c r="E19" s="6" t="s">
        <v>20</v>
      </c>
      <c r="F19" s="9" t="s">
        <v>20</v>
      </c>
      <c r="G19" s="10">
        <v>788.31</v>
      </c>
      <c r="H19" s="11" t="s">
        <v>30</v>
      </c>
      <c r="I19" s="15" t="s">
        <v>31</v>
      </c>
      <c r="J19" s="16" t="s">
        <v>32</v>
      </c>
      <c r="K19" s="17" t="s">
        <v>20</v>
      </c>
      <c r="L19" s="17" t="s">
        <v>20</v>
      </c>
      <c r="M19" s="18" t="s">
        <v>20</v>
      </c>
      <c r="N19" s="18" t="s">
        <v>20</v>
      </c>
    </row>
    <row r="20" s="1" customFormat="1" ht="15.75" spans="1:14">
      <c r="A20" s="6" t="s">
        <v>69</v>
      </c>
      <c r="B20" s="7"/>
      <c r="C20" s="8" t="s">
        <v>28</v>
      </c>
      <c r="D20" s="6" t="s">
        <v>20</v>
      </c>
      <c r="E20" s="6" t="s">
        <v>20</v>
      </c>
      <c r="F20" s="9" t="s">
        <v>20</v>
      </c>
      <c r="G20" s="10">
        <v>872.61</v>
      </c>
      <c r="H20" s="11" t="s">
        <v>30</v>
      </c>
      <c r="I20" s="15" t="s">
        <v>31</v>
      </c>
      <c r="J20" s="16" t="s">
        <v>32</v>
      </c>
      <c r="K20" s="17" t="s">
        <v>20</v>
      </c>
      <c r="L20" s="17" t="s">
        <v>20</v>
      </c>
      <c r="M20" s="18" t="s">
        <v>20</v>
      </c>
      <c r="N20" s="18" t="s">
        <v>20</v>
      </c>
    </row>
    <row r="21" s="1" customFormat="1" ht="15.75" spans="1:14">
      <c r="A21" s="6" t="s">
        <v>69</v>
      </c>
      <c r="B21" s="7"/>
      <c r="C21" s="8" t="s">
        <v>28</v>
      </c>
      <c r="D21" s="6" t="s">
        <v>20</v>
      </c>
      <c r="E21" s="6" t="s">
        <v>20</v>
      </c>
      <c r="F21" s="9" t="s">
        <v>20</v>
      </c>
      <c r="G21" s="10">
        <v>192144.59</v>
      </c>
      <c r="H21" s="11" t="s">
        <v>361</v>
      </c>
      <c r="I21" s="15" t="s">
        <v>31</v>
      </c>
      <c r="J21" s="16" t="s">
        <v>35</v>
      </c>
      <c r="K21" s="17" t="s">
        <v>20</v>
      </c>
      <c r="L21" s="17" t="s">
        <v>20</v>
      </c>
      <c r="M21" s="18" t="s">
        <v>20</v>
      </c>
      <c r="N21" s="18" t="s">
        <v>20</v>
      </c>
    </row>
    <row r="22" s="1" customFormat="1" ht="15.75" spans="1:14">
      <c r="A22" s="6" t="s">
        <v>90</v>
      </c>
      <c r="B22" s="7"/>
      <c r="C22" s="8" t="s">
        <v>58</v>
      </c>
      <c r="D22" s="6" t="s">
        <v>20</v>
      </c>
      <c r="E22" s="6" t="s">
        <v>20</v>
      </c>
      <c r="F22" s="9" t="s">
        <v>20</v>
      </c>
      <c r="G22" s="10">
        <v>3887.35</v>
      </c>
      <c r="H22" s="11" t="s">
        <v>358</v>
      </c>
      <c r="I22" s="16" t="s">
        <v>31</v>
      </c>
      <c r="J22" s="16" t="s">
        <v>62</v>
      </c>
      <c r="K22" s="17" t="s">
        <v>20</v>
      </c>
      <c r="L22" s="17" t="s">
        <v>20</v>
      </c>
      <c r="M22" s="18" t="s">
        <v>20</v>
      </c>
      <c r="N22" s="18" t="s">
        <v>20</v>
      </c>
    </row>
    <row r="23" s="1" customFormat="1" ht="15.75" spans="1:14">
      <c r="A23" s="6" t="s">
        <v>90</v>
      </c>
      <c r="B23" s="7"/>
      <c r="C23" s="8" t="s">
        <v>28</v>
      </c>
      <c r="D23" s="6" t="s">
        <v>20</v>
      </c>
      <c r="E23" s="6" t="s">
        <v>20</v>
      </c>
      <c r="F23" s="9" t="s">
        <v>20</v>
      </c>
      <c r="G23" s="10">
        <v>1428.82</v>
      </c>
      <c r="H23" s="11" t="s">
        <v>30</v>
      </c>
      <c r="I23" s="15" t="s">
        <v>31</v>
      </c>
      <c r="J23" s="16" t="s">
        <v>32</v>
      </c>
      <c r="K23" s="17" t="s">
        <v>20</v>
      </c>
      <c r="L23" s="17" t="s">
        <v>20</v>
      </c>
      <c r="M23" s="18" t="s">
        <v>20</v>
      </c>
      <c r="N23" s="18" t="s">
        <v>20</v>
      </c>
    </row>
    <row r="24" s="1" customFormat="1" ht="15.75" spans="1:14">
      <c r="A24" s="6" t="s">
        <v>90</v>
      </c>
      <c r="B24" s="7"/>
      <c r="C24" s="8" t="s">
        <v>28</v>
      </c>
      <c r="D24" s="6" t="s">
        <v>20</v>
      </c>
      <c r="E24" s="6" t="s">
        <v>20</v>
      </c>
      <c r="F24" s="9" t="s">
        <v>20</v>
      </c>
      <c r="G24" s="10">
        <v>33922.82</v>
      </c>
      <c r="H24" s="11" t="s">
        <v>361</v>
      </c>
      <c r="I24" s="15" t="s">
        <v>31</v>
      </c>
      <c r="J24" s="16" t="s">
        <v>35</v>
      </c>
      <c r="K24" s="17" t="s">
        <v>20</v>
      </c>
      <c r="L24" s="17" t="s">
        <v>20</v>
      </c>
      <c r="M24" s="18" t="s">
        <v>20</v>
      </c>
      <c r="N24" s="18" t="s">
        <v>20</v>
      </c>
    </row>
    <row r="25" s="1" customFormat="1" ht="15.75" spans="1:14">
      <c r="A25" s="6" t="s">
        <v>90</v>
      </c>
      <c r="B25" s="7"/>
      <c r="C25" s="8" t="s">
        <v>15</v>
      </c>
      <c r="D25" s="6" t="s">
        <v>20</v>
      </c>
      <c r="E25" s="6" t="s">
        <v>20</v>
      </c>
      <c r="F25" s="9">
        <v>315.27</v>
      </c>
      <c r="G25" s="10" t="s">
        <v>20</v>
      </c>
      <c r="H25" s="11" t="s">
        <v>109</v>
      </c>
      <c r="I25" s="15" t="s">
        <v>110</v>
      </c>
      <c r="J25" s="16" t="s">
        <v>111</v>
      </c>
      <c r="K25" s="132" t="s">
        <v>365</v>
      </c>
      <c r="L25" s="17" t="s">
        <v>20</v>
      </c>
      <c r="M25" s="18">
        <v>45875</v>
      </c>
      <c r="N25" s="18" t="s">
        <v>20</v>
      </c>
    </row>
    <row r="26" s="1" customFormat="1" ht="15.75" spans="1:14">
      <c r="A26" s="6" t="s">
        <v>113</v>
      </c>
      <c r="B26" s="7"/>
      <c r="C26" s="8" t="s">
        <v>28</v>
      </c>
      <c r="D26" s="6" t="s">
        <v>20</v>
      </c>
      <c r="E26" s="6" t="s">
        <v>20</v>
      </c>
      <c r="F26" s="9" t="s">
        <v>20</v>
      </c>
      <c r="G26" s="10">
        <v>1015.28</v>
      </c>
      <c r="H26" s="11" t="s">
        <v>114</v>
      </c>
      <c r="I26" s="15" t="s">
        <v>31</v>
      </c>
      <c r="J26" s="16" t="s">
        <v>115</v>
      </c>
      <c r="K26" s="17" t="s">
        <v>20</v>
      </c>
      <c r="L26" s="17" t="s">
        <v>20</v>
      </c>
      <c r="M26" s="18" t="s">
        <v>20</v>
      </c>
      <c r="N26" s="18" t="s">
        <v>20</v>
      </c>
    </row>
    <row r="27" s="1" customFormat="1" ht="15.75" spans="1:14">
      <c r="A27" s="6" t="s">
        <v>113</v>
      </c>
      <c r="B27" s="7"/>
      <c r="C27" s="8" t="s">
        <v>28</v>
      </c>
      <c r="D27" s="6" t="s">
        <v>20</v>
      </c>
      <c r="E27" s="6" t="s">
        <v>20</v>
      </c>
      <c r="F27" s="9" t="s">
        <v>20</v>
      </c>
      <c r="G27" s="10">
        <v>3628.2</v>
      </c>
      <c r="H27" s="11" t="s">
        <v>114</v>
      </c>
      <c r="I27" s="15" t="s">
        <v>31</v>
      </c>
      <c r="J27" s="16" t="s">
        <v>115</v>
      </c>
      <c r="K27" s="17" t="s">
        <v>20</v>
      </c>
      <c r="L27" s="17" t="s">
        <v>20</v>
      </c>
      <c r="M27" s="18" t="s">
        <v>20</v>
      </c>
      <c r="N27" s="18" t="s">
        <v>20</v>
      </c>
    </row>
    <row r="28" s="1" customFormat="1" ht="15.75" spans="1:14">
      <c r="A28" s="6" t="s">
        <v>113</v>
      </c>
      <c r="B28" s="7"/>
      <c r="C28" s="8" t="s">
        <v>58</v>
      </c>
      <c r="D28" s="6" t="s">
        <v>20</v>
      </c>
      <c r="E28" s="6" t="s">
        <v>20</v>
      </c>
      <c r="F28" s="9" t="s">
        <v>20</v>
      </c>
      <c r="G28" s="10">
        <v>3837</v>
      </c>
      <c r="H28" s="11" t="s">
        <v>358</v>
      </c>
      <c r="I28" s="15" t="s">
        <v>31</v>
      </c>
      <c r="J28" s="16" t="s">
        <v>62</v>
      </c>
      <c r="K28" s="17" t="s">
        <v>20</v>
      </c>
      <c r="L28" s="17" t="s">
        <v>20</v>
      </c>
      <c r="M28" s="18" t="s">
        <v>20</v>
      </c>
      <c r="N28" s="18" t="s">
        <v>20</v>
      </c>
    </row>
    <row r="29" s="1" customFormat="1" ht="15.75" spans="1:14">
      <c r="A29" s="6" t="s">
        <v>113</v>
      </c>
      <c r="B29" s="7"/>
      <c r="C29" s="8" t="s">
        <v>15</v>
      </c>
      <c r="D29" s="6" t="s">
        <v>20</v>
      </c>
      <c r="E29" s="6" t="s">
        <v>20</v>
      </c>
      <c r="F29" s="9">
        <v>187217.06</v>
      </c>
      <c r="G29" s="10" t="s">
        <v>20</v>
      </c>
      <c r="H29" s="11" t="s">
        <v>366</v>
      </c>
      <c r="I29" s="15" t="s">
        <v>52</v>
      </c>
      <c r="J29" s="16" t="s">
        <v>367</v>
      </c>
      <c r="K29" s="17" t="s">
        <v>20</v>
      </c>
      <c r="L29" s="17"/>
      <c r="M29" s="18">
        <v>45876</v>
      </c>
      <c r="N29" s="18" t="s">
        <v>20</v>
      </c>
    </row>
    <row r="30" s="1" customFormat="1" ht="15.75" spans="1:14">
      <c r="A30" s="6" t="s">
        <v>113</v>
      </c>
      <c r="B30" s="7"/>
      <c r="C30" s="8" t="s">
        <v>28</v>
      </c>
      <c r="D30" s="6" t="s">
        <v>20</v>
      </c>
      <c r="E30" s="6" t="s">
        <v>20</v>
      </c>
      <c r="F30" s="9" t="s">
        <v>20</v>
      </c>
      <c r="G30" s="10">
        <v>1525.86</v>
      </c>
      <c r="H30" s="11" t="s">
        <v>30</v>
      </c>
      <c r="I30" s="15" t="s">
        <v>31</v>
      </c>
      <c r="J30" s="16" t="s">
        <v>32</v>
      </c>
      <c r="K30" s="17" t="s">
        <v>20</v>
      </c>
      <c r="L30" s="17" t="s">
        <v>20</v>
      </c>
      <c r="M30" s="18" t="s">
        <v>20</v>
      </c>
      <c r="N30" s="18" t="s">
        <v>20</v>
      </c>
    </row>
    <row r="31" s="1" customFormat="1" ht="15.75" spans="1:14">
      <c r="A31" s="6" t="s">
        <v>113</v>
      </c>
      <c r="B31" s="7"/>
      <c r="C31" s="8" t="s">
        <v>28</v>
      </c>
      <c r="D31" s="6" t="s">
        <v>20</v>
      </c>
      <c r="E31" s="6" t="s">
        <v>20</v>
      </c>
      <c r="F31" s="9" t="s">
        <v>20</v>
      </c>
      <c r="G31" s="10">
        <v>31873.47</v>
      </c>
      <c r="H31" s="11" t="s">
        <v>361</v>
      </c>
      <c r="I31" s="15" t="s">
        <v>31</v>
      </c>
      <c r="J31" s="16" t="s">
        <v>35</v>
      </c>
      <c r="K31" s="17" t="s">
        <v>20</v>
      </c>
      <c r="L31" s="17" t="s">
        <v>20</v>
      </c>
      <c r="M31" s="18" t="s">
        <v>20</v>
      </c>
      <c r="N31" s="18" t="s">
        <v>20</v>
      </c>
    </row>
    <row r="32" s="1" customFormat="1" ht="165.75" spans="1:14">
      <c r="A32" s="6" t="s">
        <v>128</v>
      </c>
      <c r="B32" s="7"/>
      <c r="C32" s="8" t="s">
        <v>50</v>
      </c>
      <c r="D32" s="6" t="s">
        <v>20</v>
      </c>
      <c r="E32" s="6" t="s">
        <v>20</v>
      </c>
      <c r="F32" s="9">
        <v>89280.2</v>
      </c>
      <c r="G32" s="10" t="s">
        <v>20</v>
      </c>
      <c r="H32" s="11" t="s">
        <v>363</v>
      </c>
      <c r="I32" s="34" t="s">
        <v>52</v>
      </c>
      <c r="J32" s="16" t="s">
        <v>368</v>
      </c>
      <c r="K32" s="16" t="s">
        <v>369</v>
      </c>
      <c r="L32" s="17" t="s">
        <v>20</v>
      </c>
      <c r="M32" s="18" t="s">
        <v>20</v>
      </c>
      <c r="N32" s="18" t="s">
        <v>20</v>
      </c>
    </row>
    <row r="33" s="1" customFormat="1" ht="15.75" spans="1:14">
      <c r="A33" s="6" t="s">
        <v>128</v>
      </c>
      <c r="B33" s="7"/>
      <c r="C33" s="8" t="s">
        <v>58</v>
      </c>
      <c r="D33" s="6" t="s">
        <v>20</v>
      </c>
      <c r="E33" s="6" t="s">
        <v>20</v>
      </c>
      <c r="F33" s="9" t="s">
        <v>20</v>
      </c>
      <c r="G33" s="10">
        <v>1845</v>
      </c>
      <c r="H33" s="11" t="s">
        <v>358</v>
      </c>
      <c r="I33" s="15" t="s">
        <v>31</v>
      </c>
      <c r="J33" s="16" t="s">
        <v>62</v>
      </c>
      <c r="K33" s="17" t="s">
        <v>20</v>
      </c>
      <c r="L33" s="17" t="s">
        <v>20</v>
      </c>
      <c r="M33" s="18" t="s">
        <v>20</v>
      </c>
      <c r="N33" s="18" t="s">
        <v>20</v>
      </c>
    </row>
    <row r="34" s="1" customFormat="1" ht="15.75" spans="1:14">
      <c r="A34" s="6" t="s">
        <v>128</v>
      </c>
      <c r="B34" s="7"/>
      <c r="C34" s="8" t="s">
        <v>28</v>
      </c>
      <c r="D34" s="6" t="s">
        <v>20</v>
      </c>
      <c r="E34" s="6" t="s">
        <v>20</v>
      </c>
      <c r="F34" s="9" t="s">
        <v>20</v>
      </c>
      <c r="G34" s="10">
        <v>274.9</v>
      </c>
      <c r="H34" s="11" t="s">
        <v>30</v>
      </c>
      <c r="I34" s="15" t="s">
        <v>31</v>
      </c>
      <c r="J34" s="16" t="s">
        <v>32</v>
      </c>
      <c r="K34" s="17" t="s">
        <v>20</v>
      </c>
      <c r="L34" s="17" t="s">
        <v>20</v>
      </c>
      <c r="M34" s="18" t="s">
        <v>20</v>
      </c>
      <c r="N34" s="18" t="s">
        <v>20</v>
      </c>
    </row>
    <row r="35" s="1" customFormat="1" ht="15.75" spans="1:14">
      <c r="A35" s="6" t="s">
        <v>128</v>
      </c>
      <c r="B35" s="7"/>
      <c r="C35" s="8" t="s">
        <v>28</v>
      </c>
      <c r="D35" s="6" t="s">
        <v>20</v>
      </c>
      <c r="E35" s="6" t="s">
        <v>20</v>
      </c>
      <c r="F35" s="9" t="s">
        <v>20</v>
      </c>
      <c r="G35" s="10">
        <v>33132.23</v>
      </c>
      <c r="H35" s="11" t="s">
        <v>361</v>
      </c>
      <c r="I35" s="15" t="s">
        <v>31</v>
      </c>
      <c r="J35" s="16" t="s">
        <v>35</v>
      </c>
      <c r="K35" s="17" t="s">
        <v>20</v>
      </c>
      <c r="L35" s="17" t="s">
        <v>20</v>
      </c>
      <c r="M35" s="18" t="s">
        <v>20</v>
      </c>
      <c r="N35" s="18" t="s">
        <v>20</v>
      </c>
    </row>
    <row r="36" s="1" customFormat="1" ht="15.75" spans="1:14">
      <c r="A36" s="6" t="s">
        <v>130</v>
      </c>
      <c r="B36" s="7"/>
      <c r="C36" s="8" t="s">
        <v>58</v>
      </c>
      <c r="D36" s="6" t="s">
        <v>20</v>
      </c>
      <c r="E36" s="6" t="s">
        <v>20</v>
      </c>
      <c r="F36" s="9" t="s">
        <v>20</v>
      </c>
      <c r="G36" s="10">
        <v>3652.35</v>
      </c>
      <c r="H36" s="11" t="s">
        <v>358</v>
      </c>
      <c r="I36" s="15" t="s">
        <v>31</v>
      </c>
      <c r="J36" s="16" t="s">
        <v>62</v>
      </c>
      <c r="K36" s="17" t="s">
        <v>20</v>
      </c>
      <c r="L36" s="17" t="s">
        <v>20</v>
      </c>
      <c r="M36" s="18" t="s">
        <v>20</v>
      </c>
      <c r="N36" s="18" t="s">
        <v>20</v>
      </c>
    </row>
    <row r="37" s="1" customFormat="1" ht="29.25" spans="1:14">
      <c r="A37" s="6" t="s">
        <v>130</v>
      </c>
      <c r="B37" s="7"/>
      <c r="C37" s="8" t="s">
        <v>232</v>
      </c>
      <c r="D37" s="6" t="s">
        <v>370</v>
      </c>
      <c r="E37" s="6" t="s">
        <v>371</v>
      </c>
      <c r="F37" s="9" t="s">
        <v>20</v>
      </c>
      <c r="G37" s="10">
        <v>70</v>
      </c>
      <c r="H37" s="11" t="s">
        <v>372</v>
      </c>
      <c r="I37" s="15" t="s">
        <v>31</v>
      </c>
      <c r="J37" s="16" t="s">
        <v>373</v>
      </c>
      <c r="K37" s="17" t="s">
        <v>20</v>
      </c>
      <c r="L37" s="17" t="s">
        <v>20</v>
      </c>
      <c r="M37" s="18" t="s">
        <v>20</v>
      </c>
      <c r="N37" s="18" t="s">
        <v>20</v>
      </c>
    </row>
    <row r="38" s="1" customFormat="1" ht="29.25" spans="1:14">
      <c r="A38" s="6" t="s">
        <v>130</v>
      </c>
      <c r="B38" s="7"/>
      <c r="C38" s="8" t="s">
        <v>232</v>
      </c>
      <c r="D38" s="6" t="s">
        <v>374</v>
      </c>
      <c r="E38" s="6" t="s">
        <v>375</v>
      </c>
      <c r="F38" s="9" t="s">
        <v>20</v>
      </c>
      <c r="G38" s="10">
        <v>365</v>
      </c>
      <c r="H38" s="11" t="s">
        <v>376</v>
      </c>
      <c r="I38" s="15" t="s">
        <v>31</v>
      </c>
      <c r="J38" s="16" t="s">
        <v>373</v>
      </c>
      <c r="K38" s="17" t="s">
        <v>20</v>
      </c>
      <c r="L38" s="17" t="s">
        <v>20</v>
      </c>
      <c r="M38" s="18" t="s">
        <v>20</v>
      </c>
      <c r="N38" s="18" t="s">
        <v>20</v>
      </c>
    </row>
    <row r="39" s="1" customFormat="1" ht="29.25" spans="1:14">
      <c r="A39" s="6" t="s">
        <v>130</v>
      </c>
      <c r="B39" s="7"/>
      <c r="C39" s="8" t="s">
        <v>232</v>
      </c>
      <c r="D39" s="6" t="s">
        <v>370</v>
      </c>
      <c r="E39" s="6" t="s">
        <v>377</v>
      </c>
      <c r="F39" s="9" t="s">
        <v>20</v>
      </c>
      <c r="G39" s="10">
        <v>490</v>
      </c>
      <c r="H39" s="11" t="s">
        <v>372</v>
      </c>
      <c r="I39" s="15" t="s">
        <v>31</v>
      </c>
      <c r="J39" s="16" t="s">
        <v>373</v>
      </c>
      <c r="K39" s="17" t="s">
        <v>20</v>
      </c>
      <c r="L39" s="17" t="s">
        <v>20</v>
      </c>
      <c r="M39" s="18" t="s">
        <v>20</v>
      </c>
      <c r="N39" s="18" t="s">
        <v>20</v>
      </c>
    </row>
    <row r="40" s="1" customFormat="1" ht="15.75" spans="1:14">
      <c r="A40" s="6" t="s">
        <v>130</v>
      </c>
      <c r="B40" s="7"/>
      <c r="C40" s="8" t="s">
        <v>58</v>
      </c>
      <c r="D40" s="6" t="s">
        <v>20</v>
      </c>
      <c r="E40" s="6" t="s">
        <v>20</v>
      </c>
      <c r="F40" s="9" t="s">
        <v>20</v>
      </c>
      <c r="G40" s="10">
        <v>3953.55</v>
      </c>
      <c r="H40" s="11" t="s">
        <v>358</v>
      </c>
      <c r="I40" s="15" t="s">
        <v>31</v>
      </c>
      <c r="J40" s="16" t="s">
        <v>62</v>
      </c>
      <c r="K40" s="17" t="s">
        <v>20</v>
      </c>
      <c r="L40" s="17" t="s">
        <v>20</v>
      </c>
      <c r="M40" s="18" t="s">
        <v>20</v>
      </c>
      <c r="N40" s="18" t="s">
        <v>20</v>
      </c>
    </row>
    <row r="41" s="1" customFormat="1" ht="15.75" spans="1:14">
      <c r="A41" s="6" t="s">
        <v>130</v>
      </c>
      <c r="B41" s="7"/>
      <c r="C41" s="8" t="s">
        <v>58</v>
      </c>
      <c r="D41" s="6" t="s">
        <v>20</v>
      </c>
      <c r="E41" s="6" t="s">
        <v>20</v>
      </c>
      <c r="F41" s="9" t="s">
        <v>20</v>
      </c>
      <c r="G41" s="10">
        <v>2270.5</v>
      </c>
      <c r="H41" s="11" t="s">
        <v>358</v>
      </c>
      <c r="I41" s="15" t="s">
        <v>31</v>
      </c>
      <c r="J41" s="16" t="s">
        <v>62</v>
      </c>
      <c r="K41" s="17" t="s">
        <v>20</v>
      </c>
      <c r="L41" s="17" t="s">
        <v>20</v>
      </c>
      <c r="M41" s="18" t="s">
        <v>20</v>
      </c>
      <c r="N41" s="18" t="s">
        <v>20</v>
      </c>
    </row>
    <row r="42" s="1" customFormat="1" ht="15.75" spans="1:14">
      <c r="A42" s="6" t="s">
        <v>130</v>
      </c>
      <c r="B42" s="7"/>
      <c r="C42" s="8" t="s">
        <v>28</v>
      </c>
      <c r="D42" s="6" t="s">
        <v>20</v>
      </c>
      <c r="E42" s="6" t="s">
        <v>20</v>
      </c>
      <c r="F42" s="9" t="s">
        <v>20</v>
      </c>
      <c r="G42" s="10">
        <v>1452.44</v>
      </c>
      <c r="H42" s="11" t="s">
        <v>30</v>
      </c>
      <c r="I42" s="15" t="s">
        <v>31</v>
      </c>
      <c r="J42" s="16" t="s">
        <v>32</v>
      </c>
      <c r="K42" s="17" t="s">
        <v>20</v>
      </c>
      <c r="L42" s="17" t="s">
        <v>20</v>
      </c>
      <c r="M42" s="18" t="s">
        <v>20</v>
      </c>
      <c r="N42" s="18" t="s">
        <v>20</v>
      </c>
    </row>
    <row r="43" s="1" customFormat="1" ht="15.75" spans="1:14">
      <c r="A43" s="6" t="s">
        <v>130</v>
      </c>
      <c r="B43" s="7"/>
      <c r="C43" s="8" t="s">
        <v>28</v>
      </c>
      <c r="D43" s="6" t="s">
        <v>20</v>
      </c>
      <c r="E43" s="6" t="s">
        <v>20</v>
      </c>
      <c r="F43" s="9" t="s">
        <v>20</v>
      </c>
      <c r="G43" s="10">
        <v>1054.58</v>
      </c>
      <c r="H43" s="11" t="s">
        <v>30</v>
      </c>
      <c r="I43" s="15" t="s">
        <v>31</v>
      </c>
      <c r="J43" s="16" t="s">
        <v>32</v>
      </c>
      <c r="K43" s="17" t="s">
        <v>20</v>
      </c>
      <c r="L43" s="17" t="s">
        <v>20</v>
      </c>
      <c r="M43" s="18" t="s">
        <v>20</v>
      </c>
      <c r="N43" s="18" t="s">
        <v>20</v>
      </c>
    </row>
    <row r="44" s="1" customFormat="1" ht="15.75" spans="1:14">
      <c r="A44" s="6" t="s">
        <v>130</v>
      </c>
      <c r="B44" s="7"/>
      <c r="C44" s="8" t="s">
        <v>28</v>
      </c>
      <c r="D44" s="6" t="s">
        <v>20</v>
      </c>
      <c r="E44" s="6" t="s">
        <v>20</v>
      </c>
      <c r="F44" s="9" t="s">
        <v>20</v>
      </c>
      <c r="G44" s="10">
        <v>1297.77</v>
      </c>
      <c r="H44" s="11" t="s">
        <v>30</v>
      </c>
      <c r="I44" s="15" t="s">
        <v>31</v>
      </c>
      <c r="J44" s="16" t="s">
        <v>32</v>
      </c>
      <c r="K44" s="17" t="s">
        <v>20</v>
      </c>
      <c r="L44" s="17" t="s">
        <v>20</v>
      </c>
      <c r="M44" s="18" t="s">
        <v>20</v>
      </c>
      <c r="N44" s="18" t="s">
        <v>20</v>
      </c>
    </row>
    <row r="45" s="1" customFormat="1" ht="15.75" spans="1:14">
      <c r="A45" s="6" t="s">
        <v>130</v>
      </c>
      <c r="B45" s="7"/>
      <c r="C45" s="8" t="s">
        <v>28</v>
      </c>
      <c r="D45" s="6" t="s">
        <v>20</v>
      </c>
      <c r="E45" s="6" t="s">
        <v>20</v>
      </c>
      <c r="F45" s="9" t="s">
        <v>20</v>
      </c>
      <c r="G45" s="10">
        <v>140310.62</v>
      </c>
      <c r="H45" s="11" t="s">
        <v>361</v>
      </c>
      <c r="I45" s="15" t="s">
        <v>31</v>
      </c>
      <c r="J45" s="16" t="s">
        <v>35</v>
      </c>
      <c r="K45" s="17" t="s">
        <v>20</v>
      </c>
      <c r="L45" s="17" t="s">
        <v>20</v>
      </c>
      <c r="M45" s="18" t="s">
        <v>20</v>
      </c>
      <c r="N45" s="18" t="s">
        <v>20</v>
      </c>
    </row>
    <row r="46" s="1" customFormat="1" ht="15.75" spans="1:14">
      <c r="A46" s="6" t="s">
        <v>141</v>
      </c>
      <c r="B46" s="7"/>
      <c r="C46" s="8" t="s">
        <v>28</v>
      </c>
      <c r="D46" s="6" t="s">
        <v>24</v>
      </c>
      <c r="E46" s="6"/>
      <c r="F46" s="9"/>
      <c r="G46" s="10">
        <v>7251.41</v>
      </c>
      <c r="H46" s="11" t="s">
        <v>80</v>
      </c>
      <c r="I46" s="15" t="s">
        <v>31</v>
      </c>
      <c r="J46" s="16" t="s">
        <v>81</v>
      </c>
      <c r="K46" s="17"/>
      <c r="L46" s="17"/>
      <c r="M46" s="18"/>
      <c r="N46" s="18"/>
    </row>
    <row r="47" s="1" customFormat="1" ht="15.75" spans="1:14">
      <c r="A47" s="6" t="s">
        <v>141</v>
      </c>
      <c r="B47" s="7"/>
      <c r="C47" s="8" t="s">
        <v>28</v>
      </c>
      <c r="D47" s="6" t="s">
        <v>24</v>
      </c>
      <c r="E47" s="6"/>
      <c r="F47" s="9"/>
      <c r="G47" s="10">
        <v>8046.51</v>
      </c>
      <c r="H47" s="11" t="s">
        <v>80</v>
      </c>
      <c r="I47" s="15" t="s">
        <v>31</v>
      </c>
      <c r="J47" s="16" t="s">
        <v>81</v>
      </c>
      <c r="K47" s="17"/>
      <c r="L47" s="17"/>
      <c r="M47" s="18"/>
      <c r="N47" s="18"/>
    </row>
    <row r="48" s="1" customFormat="1" ht="15.75" spans="1:14">
      <c r="A48" s="6" t="s">
        <v>141</v>
      </c>
      <c r="B48" s="7"/>
      <c r="C48" s="8" t="s">
        <v>58</v>
      </c>
      <c r="D48" s="6" t="s">
        <v>24</v>
      </c>
      <c r="E48" s="6"/>
      <c r="F48" s="9"/>
      <c r="G48" s="10">
        <v>1473.7</v>
      </c>
      <c r="H48" s="11" t="s">
        <v>358</v>
      </c>
      <c r="I48" s="15" t="s">
        <v>31</v>
      </c>
      <c r="J48" s="16" t="s">
        <v>62</v>
      </c>
      <c r="K48" s="17"/>
      <c r="L48" s="17"/>
      <c r="M48" s="18"/>
      <c r="N48" s="18"/>
    </row>
    <row r="49" s="1" customFormat="1" ht="15.75" spans="1:14">
      <c r="A49" s="6" t="s">
        <v>141</v>
      </c>
      <c r="B49" s="7"/>
      <c r="C49" s="8" t="s">
        <v>28</v>
      </c>
      <c r="D49" s="6" t="s">
        <v>24</v>
      </c>
      <c r="E49" s="6"/>
      <c r="F49" s="9"/>
      <c r="G49" s="10">
        <v>1726.32</v>
      </c>
      <c r="H49" s="11" t="s">
        <v>30</v>
      </c>
      <c r="I49" s="15" t="s">
        <v>31</v>
      </c>
      <c r="J49" s="16" t="s">
        <v>32</v>
      </c>
      <c r="K49" s="17"/>
      <c r="L49" s="17"/>
      <c r="M49" s="18"/>
      <c r="N49" s="18"/>
    </row>
    <row r="50" s="1" customFormat="1" ht="15.75" spans="1:14">
      <c r="A50" s="6" t="s">
        <v>141</v>
      </c>
      <c r="B50" s="7"/>
      <c r="C50" s="8" t="s">
        <v>28</v>
      </c>
      <c r="D50" s="6" t="s">
        <v>24</v>
      </c>
      <c r="E50" s="6"/>
      <c r="F50" s="9"/>
      <c r="G50" s="10">
        <v>26010.68</v>
      </c>
      <c r="H50" s="11" t="s">
        <v>361</v>
      </c>
      <c r="I50" s="15" t="s">
        <v>31</v>
      </c>
      <c r="J50" s="16" t="s">
        <v>35</v>
      </c>
      <c r="K50" s="17"/>
      <c r="L50" s="17"/>
      <c r="M50" s="18"/>
      <c r="N50" s="18"/>
    </row>
    <row r="51" s="1" customFormat="1" ht="15.75" spans="1:14">
      <c r="A51" s="6" t="s">
        <v>144</v>
      </c>
      <c r="B51" s="7"/>
      <c r="C51" s="8" t="s">
        <v>28</v>
      </c>
      <c r="D51" s="6" t="s">
        <v>24</v>
      </c>
      <c r="E51" s="6"/>
      <c r="F51" s="9"/>
      <c r="G51" s="10">
        <v>1004.19</v>
      </c>
      <c r="H51" s="11" t="s">
        <v>114</v>
      </c>
      <c r="I51" s="15" t="s">
        <v>31</v>
      </c>
      <c r="J51" s="16" t="s">
        <v>115</v>
      </c>
      <c r="K51" s="17"/>
      <c r="L51" s="17"/>
      <c r="M51" s="18"/>
      <c r="N51" s="18"/>
    </row>
    <row r="52" s="1" customFormat="1" ht="15.75" spans="1:10">
      <c r="A52" s="6" t="s">
        <v>144</v>
      </c>
      <c r="B52" s="7"/>
      <c r="C52" s="8" t="s">
        <v>28</v>
      </c>
      <c r="D52" s="6" t="s">
        <v>24</v>
      </c>
      <c r="E52" s="6"/>
      <c r="F52" s="9"/>
      <c r="G52" s="10">
        <v>3067.99</v>
      </c>
      <c r="H52" s="11" t="s">
        <v>114</v>
      </c>
      <c r="I52" s="15" t="s">
        <v>31</v>
      </c>
      <c r="J52" s="16" t="s">
        <v>115</v>
      </c>
    </row>
    <row r="53" s="1" customFormat="1" ht="15.75" spans="1:10">
      <c r="A53" s="6" t="s">
        <v>144</v>
      </c>
      <c r="B53" s="7"/>
      <c r="C53" s="8" t="s">
        <v>58</v>
      </c>
      <c r="D53" s="6" t="s">
        <v>24</v>
      </c>
      <c r="E53" s="6"/>
      <c r="F53" s="9"/>
      <c r="G53" s="10">
        <v>3901.2</v>
      </c>
      <c r="H53" s="11" t="s">
        <v>358</v>
      </c>
      <c r="I53" s="15" t="s">
        <v>31</v>
      </c>
      <c r="J53" s="16" t="s">
        <v>62</v>
      </c>
    </row>
    <row r="54" s="1" customFormat="1" ht="15.75" spans="1:14">
      <c r="A54" s="6" t="s">
        <v>144</v>
      </c>
      <c r="B54" s="7"/>
      <c r="C54" s="8" t="s">
        <v>28</v>
      </c>
      <c r="D54" s="6" t="s">
        <v>24</v>
      </c>
      <c r="E54" s="6"/>
      <c r="F54" s="9"/>
      <c r="G54" s="10">
        <v>895.59</v>
      </c>
      <c r="H54" s="11" t="s">
        <v>30</v>
      </c>
      <c r="I54" s="15" t="s">
        <v>31</v>
      </c>
      <c r="J54" s="16" t="s">
        <v>32</v>
      </c>
      <c r="K54" s="17"/>
      <c r="L54" s="17"/>
      <c r="M54" s="18"/>
      <c r="N54" s="18"/>
    </row>
    <row r="55" s="1" customFormat="1" ht="15.75" spans="1:14">
      <c r="A55" s="6" t="s">
        <v>144</v>
      </c>
      <c r="B55" s="7"/>
      <c r="C55" s="8" t="s">
        <v>28</v>
      </c>
      <c r="D55" s="6" t="s">
        <v>24</v>
      </c>
      <c r="E55" s="6"/>
      <c r="F55" s="9"/>
      <c r="G55" s="10">
        <v>30291.64</v>
      </c>
      <c r="H55" s="11" t="s">
        <v>361</v>
      </c>
      <c r="I55" s="15" t="s">
        <v>31</v>
      </c>
      <c r="J55" s="16" t="s">
        <v>35</v>
      </c>
      <c r="K55" s="16"/>
      <c r="L55" s="17"/>
      <c r="M55" s="18"/>
      <c r="N55" s="18"/>
    </row>
    <row r="56" s="1" customFormat="1" ht="15.75" spans="1:14">
      <c r="A56" s="6" t="s">
        <v>149</v>
      </c>
      <c r="B56" s="7"/>
      <c r="C56" s="8" t="s">
        <v>58</v>
      </c>
      <c r="D56" s="6" t="s">
        <v>24</v>
      </c>
      <c r="E56" s="6"/>
      <c r="F56" s="9"/>
      <c r="G56" s="10">
        <v>3186.6</v>
      </c>
      <c r="H56" s="11" t="s">
        <v>358</v>
      </c>
      <c r="I56" s="15" t="s">
        <v>31</v>
      </c>
      <c r="J56" s="16" t="s">
        <v>62</v>
      </c>
      <c r="K56" s="17"/>
      <c r="L56" s="17"/>
      <c r="M56" s="18"/>
      <c r="N56" s="18"/>
    </row>
    <row r="57" s="1" customFormat="1" ht="15.75" spans="1:14">
      <c r="A57" s="6" t="s">
        <v>149</v>
      </c>
      <c r="B57" s="7"/>
      <c r="C57" s="8" t="s">
        <v>28</v>
      </c>
      <c r="D57" s="6" t="s">
        <v>378</v>
      </c>
      <c r="E57" s="6"/>
      <c r="F57" s="9"/>
      <c r="G57" s="10">
        <v>1112.69</v>
      </c>
      <c r="H57" s="11" t="s">
        <v>30</v>
      </c>
      <c r="I57" s="15" t="s">
        <v>31</v>
      </c>
      <c r="J57" s="16" t="s">
        <v>32</v>
      </c>
      <c r="K57" s="17"/>
      <c r="L57" s="17"/>
      <c r="M57" s="18"/>
      <c r="N57" s="18"/>
    </row>
    <row r="58" s="1" customFormat="1" ht="15.75" spans="1:14">
      <c r="A58" s="6" t="s">
        <v>149</v>
      </c>
      <c r="B58" s="7"/>
      <c r="C58" s="8" t="s">
        <v>28</v>
      </c>
      <c r="D58" s="6" t="s">
        <v>360</v>
      </c>
      <c r="E58" s="6"/>
      <c r="F58" s="9"/>
      <c r="G58" s="10">
        <v>33006.78</v>
      </c>
      <c r="H58" s="11" t="s">
        <v>361</v>
      </c>
      <c r="I58" s="15" t="s">
        <v>31</v>
      </c>
      <c r="J58" s="16" t="s">
        <v>35</v>
      </c>
      <c r="K58" s="17"/>
      <c r="L58" s="17"/>
      <c r="M58" s="18"/>
      <c r="N58" s="18"/>
    </row>
    <row r="59" s="1" customFormat="1" ht="15.75" spans="1:14">
      <c r="A59" s="6" t="s">
        <v>149</v>
      </c>
      <c r="B59" s="7"/>
      <c r="C59" s="8" t="s">
        <v>63</v>
      </c>
      <c r="D59" s="6" t="s">
        <v>24</v>
      </c>
      <c r="E59" s="6"/>
      <c r="F59" s="9">
        <v>-900000</v>
      </c>
      <c r="G59" s="10"/>
      <c r="H59" s="11" t="s">
        <v>229</v>
      </c>
      <c r="I59" s="15" t="s">
        <v>65</v>
      </c>
      <c r="J59" s="16" t="s">
        <v>285</v>
      </c>
      <c r="K59" s="17"/>
      <c r="L59" s="17"/>
      <c r="M59" s="18"/>
      <c r="N59" s="18"/>
    </row>
    <row r="60" s="1" customFormat="1" ht="29.25" spans="1:14">
      <c r="A60" s="6" t="s">
        <v>158</v>
      </c>
      <c r="B60" s="7"/>
      <c r="C60" s="8" t="s">
        <v>28</v>
      </c>
      <c r="D60" s="6" t="s">
        <v>379</v>
      </c>
      <c r="E60" s="6"/>
      <c r="F60" s="9"/>
      <c r="G60" s="10">
        <v>7755.66</v>
      </c>
      <c r="H60" s="11" t="s">
        <v>380</v>
      </c>
      <c r="I60" s="119" t="s">
        <v>381</v>
      </c>
      <c r="J60" s="120" t="s">
        <v>382</v>
      </c>
      <c r="K60" s="17" t="s">
        <v>20</v>
      </c>
      <c r="L60" s="17" t="s">
        <v>20</v>
      </c>
      <c r="M60" s="18"/>
      <c r="N60" s="18"/>
    </row>
    <row r="61" s="1" customFormat="1" ht="15.75" spans="1:14">
      <c r="A61" s="6" t="s">
        <v>158</v>
      </c>
      <c r="B61" s="7"/>
      <c r="C61" s="8" t="s">
        <v>58</v>
      </c>
      <c r="D61" s="6" t="s">
        <v>24</v>
      </c>
      <c r="E61" s="6"/>
      <c r="F61" s="9"/>
      <c r="G61" s="10">
        <v>2662.75</v>
      </c>
      <c r="H61" s="11" t="s">
        <v>358</v>
      </c>
      <c r="I61" s="15" t="s">
        <v>31</v>
      </c>
      <c r="J61" s="16" t="s">
        <v>62</v>
      </c>
      <c r="K61" s="17"/>
      <c r="L61" s="17"/>
      <c r="M61" s="18"/>
      <c r="N61" s="18"/>
    </row>
    <row r="62" s="1" customFormat="1" ht="15.75" spans="1:14">
      <c r="A62" s="6" t="s">
        <v>158</v>
      </c>
      <c r="B62" s="7"/>
      <c r="C62" s="8" t="s">
        <v>28</v>
      </c>
      <c r="D62" s="6" t="s">
        <v>383</v>
      </c>
      <c r="E62" s="6"/>
      <c r="F62" s="9"/>
      <c r="G62" s="10">
        <v>650.24</v>
      </c>
      <c r="H62" s="11" t="s">
        <v>30</v>
      </c>
      <c r="I62" s="15" t="s">
        <v>31</v>
      </c>
      <c r="J62" s="16" t="s">
        <v>32</v>
      </c>
      <c r="K62" s="17"/>
      <c r="L62" s="17"/>
      <c r="M62" s="18"/>
      <c r="N62" s="18"/>
    </row>
    <row r="63" s="1" customFormat="1" ht="15.75" spans="1:14">
      <c r="A63" s="6" t="s">
        <v>158</v>
      </c>
      <c r="B63" s="7"/>
      <c r="C63" s="8" t="s">
        <v>28</v>
      </c>
      <c r="D63" s="6" t="s">
        <v>360</v>
      </c>
      <c r="E63" s="6"/>
      <c r="F63" s="9"/>
      <c r="G63" s="10">
        <v>30581.94</v>
      </c>
      <c r="H63" s="11" t="s">
        <v>361</v>
      </c>
      <c r="I63" s="15" t="s">
        <v>31</v>
      </c>
      <c r="J63" s="16" t="s">
        <v>35</v>
      </c>
      <c r="K63" s="17"/>
      <c r="L63" s="17"/>
      <c r="M63" s="18"/>
      <c r="N63" s="18"/>
    </row>
    <row r="64" s="1" customFormat="1" ht="15.75" spans="1:14">
      <c r="A64" s="6" t="s">
        <v>166</v>
      </c>
      <c r="B64" s="7"/>
      <c r="C64" s="8" t="s">
        <v>58</v>
      </c>
      <c r="D64" s="6" t="s">
        <v>24</v>
      </c>
      <c r="E64" s="6"/>
      <c r="F64" s="9"/>
      <c r="G64" s="10">
        <v>2647</v>
      </c>
      <c r="H64" s="11" t="s">
        <v>358</v>
      </c>
      <c r="I64" s="15" t="s">
        <v>31</v>
      </c>
      <c r="J64" s="16" t="s">
        <v>62</v>
      </c>
      <c r="K64" s="17"/>
      <c r="L64" s="17"/>
      <c r="M64" s="18"/>
      <c r="N64" s="18"/>
    </row>
    <row r="65" s="1" customFormat="1" ht="15.75" spans="1:14">
      <c r="A65" s="6" t="s">
        <v>166</v>
      </c>
      <c r="B65" s="7"/>
      <c r="C65" s="8" t="s">
        <v>15</v>
      </c>
      <c r="D65" s="6" t="s">
        <v>24</v>
      </c>
      <c r="E65" s="6"/>
      <c r="F65" s="9">
        <v>-777.3</v>
      </c>
      <c r="G65" s="10"/>
      <c r="H65" s="11" t="s">
        <v>366</v>
      </c>
      <c r="I65" s="15" t="s">
        <v>52</v>
      </c>
      <c r="J65" s="16" t="s">
        <v>367</v>
      </c>
      <c r="K65" s="17" t="s">
        <v>20</v>
      </c>
      <c r="L65" s="17" t="s">
        <v>106</v>
      </c>
      <c r="M65" s="18">
        <v>45888</v>
      </c>
      <c r="N65" s="18"/>
    </row>
    <row r="66" s="1" customFormat="1" ht="15.75" spans="1:14">
      <c r="A66" s="6" t="s">
        <v>166</v>
      </c>
      <c r="B66" s="7"/>
      <c r="C66" s="8" t="s">
        <v>58</v>
      </c>
      <c r="D66" s="6" t="s">
        <v>24</v>
      </c>
      <c r="E66" s="6"/>
      <c r="F66" s="9"/>
      <c r="G66" s="10">
        <v>4020</v>
      </c>
      <c r="H66" s="11" t="s">
        <v>358</v>
      </c>
      <c r="I66" s="15" t="s">
        <v>31</v>
      </c>
      <c r="J66" s="16" t="s">
        <v>62</v>
      </c>
      <c r="K66" s="17"/>
      <c r="L66" s="17"/>
      <c r="M66" s="18"/>
      <c r="N66" s="18"/>
    </row>
    <row r="67" s="1" customFormat="1" ht="15.75" spans="1:14">
      <c r="A67" s="6" t="s">
        <v>166</v>
      </c>
      <c r="B67" s="7"/>
      <c r="C67" s="8" t="s">
        <v>58</v>
      </c>
      <c r="D67" s="6" t="s">
        <v>24</v>
      </c>
      <c r="E67" s="6"/>
      <c r="F67" s="9"/>
      <c r="G67" s="10">
        <v>4979.95</v>
      </c>
      <c r="H67" s="11" t="s">
        <v>358</v>
      </c>
      <c r="I67" s="15" t="s">
        <v>31</v>
      </c>
      <c r="J67" s="16" t="s">
        <v>62</v>
      </c>
      <c r="K67" s="17"/>
      <c r="L67" s="17"/>
      <c r="M67" s="18"/>
      <c r="N67" s="18"/>
    </row>
    <row r="68" s="1" customFormat="1" ht="15.75" spans="1:14">
      <c r="A68" s="6" t="s">
        <v>166</v>
      </c>
      <c r="B68" s="7"/>
      <c r="C68" s="8" t="s">
        <v>15</v>
      </c>
      <c r="D68" s="6" t="s">
        <v>24</v>
      </c>
      <c r="E68" s="6"/>
      <c r="F68" s="9">
        <v>-403.26</v>
      </c>
      <c r="G68" s="10"/>
      <c r="H68" s="11" t="s">
        <v>366</v>
      </c>
      <c r="I68" s="15" t="s">
        <v>52</v>
      </c>
      <c r="J68" s="16" t="s">
        <v>367</v>
      </c>
      <c r="K68" s="17" t="s">
        <v>20</v>
      </c>
      <c r="L68" s="17" t="s">
        <v>98</v>
      </c>
      <c r="M68" s="18">
        <v>45888</v>
      </c>
      <c r="N68" s="18"/>
    </row>
    <row r="69" s="1" customFormat="1" ht="15.75" spans="1:14">
      <c r="A69" s="6" t="s">
        <v>166</v>
      </c>
      <c r="B69" s="7"/>
      <c r="C69" s="8" t="s">
        <v>28</v>
      </c>
      <c r="D69" s="6" t="s">
        <v>24</v>
      </c>
      <c r="E69" s="6"/>
      <c r="F69" s="9"/>
      <c r="G69" s="10">
        <v>1859.43</v>
      </c>
      <c r="H69" s="11" t="s">
        <v>30</v>
      </c>
      <c r="I69" s="15" t="s">
        <v>31</v>
      </c>
      <c r="J69" s="16" t="s">
        <v>32</v>
      </c>
      <c r="K69" s="17"/>
      <c r="L69" s="17"/>
      <c r="M69" s="18"/>
      <c r="N69" s="18"/>
    </row>
    <row r="70" s="1" customFormat="1" ht="15.75" spans="1:14">
      <c r="A70" s="6" t="s">
        <v>166</v>
      </c>
      <c r="B70" s="7"/>
      <c r="C70" s="8" t="s">
        <v>28</v>
      </c>
      <c r="D70" s="6" t="s">
        <v>24</v>
      </c>
      <c r="E70" s="6"/>
      <c r="F70" s="9"/>
      <c r="G70" s="10">
        <v>1087.79</v>
      </c>
      <c r="H70" s="11" t="s">
        <v>30</v>
      </c>
      <c r="I70" s="15" t="s">
        <v>31</v>
      </c>
      <c r="J70" s="16" t="s">
        <v>32</v>
      </c>
      <c r="K70" s="17"/>
      <c r="L70" s="17"/>
      <c r="M70" s="18"/>
      <c r="N70" s="18"/>
    </row>
    <row r="71" s="1" customFormat="1" ht="15.75" spans="1:14">
      <c r="A71" s="6" t="s">
        <v>166</v>
      </c>
      <c r="B71" s="7"/>
      <c r="C71" s="8" t="s">
        <v>28</v>
      </c>
      <c r="D71" s="6" t="s">
        <v>24</v>
      </c>
      <c r="E71" s="6"/>
      <c r="F71" s="9"/>
      <c r="G71" s="10">
        <v>1488.49</v>
      </c>
      <c r="H71" s="11" t="s">
        <v>30</v>
      </c>
      <c r="I71" s="15" t="s">
        <v>31</v>
      </c>
      <c r="J71" s="16" t="s">
        <v>32</v>
      </c>
      <c r="K71" s="17"/>
      <c r="L71" s="17"/>
      <c r="M71" s="18"/>
      <c r="N71" s="18"/>
    </row>
    <row r="72" s="1" customFormat="1" ht="15.75" spans="1:14">
      <c r="A72" s="6" t="s">
        <v>166</v>
      </c>
      <c r="B72" s="7"/>
      <c r="C72" s="8" t="s">
        <v>28</v>
      </c>
      <c r="D72" s="6" t="s">
        <v>24</v>
      </c>
      <c r="E72" s="6"/>
      <c r="F72" s="9"/>
      <c r="G72" s="10">
        <v>131180.43</v>
      </c>
      <c r="H72" s="11" t="s">
        <v>361</v>
      </c>
      <c r="I72" s="15" t="s">
        <v>31</v>
      </c>
      <c r="J72" s="16" t="s">
        <v>35</v>
      </c>
      <c r="K72" s="17"/>
      <c r="L72" s="17"/>
      <c r="M72" s="18"/>
      <c r="N72" s="18"/>
    </row>
    <row r="73" s="1" customFormat="1" ht="15.75" spans="1:14">
      <c r="A73" s="6" t="s">
        <v>166</v>
      </c>
      <c r="B73" s="7"/>
      <c r="C73" s="8" t="s">
        <v>15</v>
      </c>
      <c r="D73" s="6" t="s">
        <v>24</v>
      </c>
      <c r="E73" s="6"/>
      <c r="F73" s="9">
        <v>-265.55</v>
      </c>
      <c r="G73" s="10"/>
      <c r="H73" s="11" t="s">
        <v>362</v>
      </c>
      <c r="I73" s="15" t="s">
        <v>38</v>
      </c>
      <c r="J73" s="16" t="s">
        <v>48</v>
      </c>
      <c r="K73" s="17" t="s">
        <v>20</v>
      </c>
      <c r="L73" s="17" t="s">
        <v>21</v>
      </c>
      <c r="M73" s="18">
        <v>45888</v>
      </c>
      <c r="N73" s="18"/>
    </row>
    <row r="74" s="1" customFormat="1" ht="15.75" spans="1:14">
      <c r="A74" s="6" t="s">
        <v>176</v>
      </c>
      <c r="B74" s="7"/>
      <c r="C74" s="8" t="s">
        <v>28</v>
      </c>
      <c r="D74" s="6" t="s">
        <v>24</v>
      </c>
      <c r="E74" s="6"/>
      <c r="F74" s="9"/>
      <c r="G74" s="10">
        <v>5102.58</v>
      </c>
      <c r="H74" s="11" t="s">
        <v>80</v>
      </c>
      <c r="I74" s="15" t="s">
        <v>31</v>
      </c>
      <c r="J74" s="16" t="s">
        <v>81</v>
      </c>
      <c r="K74" s="17"/>
      <c r="L74" s="17"/>
      <c r="M74" s="18"/>
      <c r="N74" s="18"/>
    </row>
    <row r="75" s="1" customFormat="1" ht="15.75" spans="1:14">
      <c r="A75" s="6" t="s">
        <v>176</v>
      </c>
      <c r="B75" s="7"/>
      <c r="C75" s="8" t="s">
        <v>28</v>
      </c>
      <c r="D75" s="6" t="s">
        <v>24</v>
      </c>
      <c r="E75" s="6"/>
      <c r="F75" s="9"/>
      <c r="G75" s="10">
        <v>8823.83</v>
      </c>
      <c r="H75" s="11" t="s">
        <v>80</v>
      </c>
      <c r="I75" s="15" t="s">
        <v>31</v>
      </c>
      <c r="J75" s="16" t="s">
        <v>81</v>
      </c>
      <c r="K75" s="17"/>
      <c r="L75" s="17"/>
      <c r="M75" s="18"/>
      <c r="N75" s="18"/>
    </row>
    <row r="76" s="1" customFormat="1" ht="15.75" spans="1:14">
      <c r="A76" s="6" t="s">
        <v>176</v>
      </c>
      <c r="B76" s="7"/>
      <c r="C76" s="8" t="s">
        <v>58</v>
      </c>
      <c r="D76" s="6" t="s">
        <v>24</v>
      </c>
      <c r="E76" s="6"/>
      <c r="F76" s="9"/>
      <c r="G76" s="10">
        <v>2351</v>
      </c>
      <c r="H76" s="11" t="s">
        <v>358</v>
      </c>
      <c r="I76" s="15" t="s">
        <v>31</v>
      </c>
      <c r="J76" s="16" t="s">
        <v>62</v>
      </c>
      <c r="K76" s="17"/>
      <c r="L76" s="17"/>
      <c r="M76" s="18"/>
      <c r="N76" s="18"/>
    </row>
    <row r="77" s="1" customFormat="1" ht="15.75" spans="1:14">
      <c r="A77" s="6" t="s">
        <v>176</v>
      </c>
      <c r="B77" s="7"/>
      <c r="C77" s="8" t="s">
        <v>28</v>
      </c>
      <c r="D77" s="6" t="s">
        <v>24</v>
      </c>
      <c r="E77" s="6"/>
      <c r="F77" s="9"/>
      <c r="G77" s="10">
        <v>2586.24</v>
      </c>
      <c r="H77" s="11" t="s">
        <v>30</v>
      </c>
      <c r="I77" s="15" t="s">
        <v>31</v>
      </c>
      <c r="J77" s="16" t="s">
        <v>32</v>
      </c>
      <c r="K77" s="17"/>
      <c r="L77" s="17"/>
      <c r="M77" s="18"/>
      <c r="N77" s="18"/>
    </row>
    <row r="78" s="1" customFormat="1" ht="15.75" spans="1:14">
      <c r="A78" s="6" t="s">
        <v>176</v>
      </c>
      <c r="B78" s="7"/>
      <c r="C78" s="8" t="s">
        <v>28</v>
      </c>
      <c r="D78" s="6" t="s">
        <v>24</v>
      </c>
      <c r="E78" s="6"/>
      <c r="F78" s="9"/>
      <c r="G78" s="10">
        <v>33848.19</v>
      </c>
      <c r="H78" s="11" t="s">
        <v>361</v>
      </c>
      <c r="I78" s="15" t="s">
        <v>31</v>
      </c>
      <c r="J78" s="16" t="s">
        <v>35</v>
      </c>
      <c r="K78" s="17"/>
      <c r="L78" s="17"/>
      <c r="M78" s="18"/>
      <c r="N78" s="18"/>
    </row>
    <row r="79" s="1" customFormat="1" ht="15.75" spans="1:14">
      <c r="A79" s="6" t="s">
        <v>182</v>
      </c>
      <c r="B79" s="7"/>
      <c r="C79" s="8" t="s">
        <v>28</v>
      </c>
      <c r="D79" s="6" t="s">
        <v>24</v>
      </c>
      <c r="E79" s="6"/>
      <c r="F79" s="9"/>
      <c r="G79" s="10">
        <v>989.1</v>
      </c>
      <c r="H79" s="11" t="s">
        <v>114</v>
      </c>
      <c r="I79" s="15" t="s">
        <v>31</v>
      </c>
      <c r="J79" s="16" t="s">
        <v>115</v>
      </c>
      <c r="K79" s="17"/>
      <c r="L79" s="17"/>
      <c r="M79" s="18"/>
      <c r="N79" s="18"/>
    </row>
    <row r="80" s="1" customFormat="1" ht="15.75" spans="1:14">
      <c r="A80" s="6" t="s">
        <v>182</v>
      </c>
      <c r="B80" s="7"/>
      <c r="C80" s="8" t="s">
        <v>28</v>
      </c>
      <c r="D80" s="6" t="s">
        <v>24</v>
      </c>
      <c r="E80" s="6"/>
      <c r="F80" s="9"/>
      <c r="G80" s="10">
        <v>4095.93</v>
      </c>
      <c r="H80" s="11" t="s">
        <v>114</v>
      </c>
      <c r="I80" s="15" t="s">
        <v>31</v>
      </c>
      <c r="J80" s="16" t="s">
        <v>115</v>
      </c>
      <c r="K80" s="17"/>
      <c r="L80" s="17"/>
      <c r="M80" s="18"/>
      <c r="N80" s="18"/>
    </row>
    <row r="81" s="1" customFormat="1" ht="15.75" spans="1:14">
      <c r="A81" s="6" t="s">
        <v>182</v>
      </c>
      <c r="B81" s="7"/>
      <c r="C81" s="8" t="s">
        <v>63</v>
      </c>
      <c r="D81" s="6" t="s">
        <v>24</v>
      </c>
      <c r="E81" s="6"/>
      <c r="F81" s="9">
        <v>-900000</v>
      </c>
      <c r="G81" s="10"/>
      <c r="H81" s="11" t="s">
        <v>229</v>
      </c>
      <c r="I81" s="15" t="s">
        <v>65</v>
      </c>
      <c r="J81" s="16" t="s">
        <v>254</v>
      </c>
      <c r="K81" s="17"/>
      <c r="L81" s="17"/>
      <c r="M81" s="18"/>
      <c r="N81" s="18"/>
    </row>
    <row r="82" s="1" customFormat="1" ht="15.75" spans="1:14">
      <c r="A82" s="6" t="s">
        <v>182</v>
      </c>
      <c r="B82" s="7"/>
      <c r="C82" s="8" t="s">
        <v>58</v>
      </c>
      <c r="D82" s="6" t="s">
        <v>24</v>
      </c>
      <c r="E82" s="6"/>
      <c r="F82" s="9"/>
      <c r="G82" s="10">
        <v>4014.25</v>
      </c>
      <c r="H82" s="11" t="s">
        <v>358</v>
      </c>
      <c r="I82" s="15" t="s">
        <v>31</v>
      </c>
      <c r="J82" s="16" t="s">
        <v>62</v>
      </c>
      <c r="K82" s="17"/>
      <c r="L82" s="17"/>
      <c r="M82" s="18"/>
      <c r="N82" s="18"/>
    </row>
    <row r="83" s="1" customFormat="1" ht="15.75" spans="1:14">
      <c r="A83" s="6" t="s">
        <v>182</v>
      </c>
      <c r="B83" s="7"/>
      <c r="C83" s="8" t="s">
        <v>28</v>
      </c>
      <c r="D83" s="6" t="s">
        <v>24</v>
      </c>
      <c r="E83" s="6"/>
      <c r="F83" s="9"/>
      <c r="G83" s="10">
        <v>1514.18</v>
      </c>
      <c r="H83" s="11" t="s">
        <v>30</v>
      </c>
      <c r="I83" s="15" t="s">
        <v>31</v>
      </c>
      <c r="J83" s="16" t="s">
        <v>32</v>
      </c>
      <c r="K83" s="17"/>
      <c r="L83" s="17"/>
      <c r="M83" s="18"/>
      <c r="N83" s="18"/>
    </row>
    <row r="84" s="1" customFormat="1" ht="15.75" spans="1:14">
      <c r="A84" s="6" t="s">
        <v>182</v>
      </c>
      <c r="B84" s="7"/>
      <c r="C84" s="8" t="s">
        <v>28</v>
      </c>
      <c r="D84" s="6" t="s">
        <v>24</v>
      </c>
      <c r="E84" s="6"/>
      <c r="F84" s="9"/>
      <c r="G84" s="10">
        <v>37479.95</v>
      </c>
      <c r="H84" s="11" t="s">
        <v>361</v>
      </c>
      <c r="I84" s="15" t="s">
        <v>31</v>
      </c>
      <c r="J84" s="16" t="s">
        <v>35</v>
      </c>
      <c r="K84" s="17"/>
      <c r="L84" s="17"/>
      <c r="M84" s="18"/>
      <c r="N84" s="18"/>
    </row>
    <row r="85" s="1" customFormat="1" ht="43.5" spans="1:14">
      <c r="A85" s="6" t="s">
        <v>189</v>
      </c>
      <c r="B85" s="7"/>
      <c r="C85" s="8" t="s">
        <v>232</v>
      </c>
      <c r="D85" s="6" t="s">
        <v>370</v>
      </c>
      <c r="E85" s="6" t="s">
        <v>384</v>
      </c>
      <c r="F85" s="9"/>
      <c r="G85" s="10">
        <v>161.1</v>
      </c>
      <c r="H85" s="11" t="s">
        <v>385</v>
      </c>
      <c r="I85" s="15" t="s">
        <v>31</v>
      </c>
      <c r="J85" s="16" t="s">
        <v>373</v>
      </c>
      <c r="K85" s="17"/>
      <c r="L85" s="17"/>
      <c r="M85" s="18"/>
      <c r="N85" s="18"/>
    </row>
    <row r="86" s="1" customFormat="1" ht="15.75" spans="1:14">
      <c r="A86" s="6" t="s">
        <v>189</v>
      </c>
      <c r="B86" s="7"/>
      <c r="C86" s="8" t="s">
        <v>15</v>
      </c>
      <c r="D86" s="6" t="s">
        <v>24</v>
      </c>
      <c r="E86" s="6"/>
      <c r="F86" s="9">
        <v>-181794.14</v>
      </c>
      <c r="G86" s="10"/>
      <c r="H86" s="11" t="s">
        <v>366</v>
      </c>
      <c r="I86" s="15" t="s">
        <v>52</v>
      </c>
      <c r="J86" s="16" t="s">
        <v>367</v>
      </c>
      <c r="K86" s="17"/>
      <c r="L86" s="17"/>
      <c r="M86" s="18">
        <v>45891</v>
      </c>
      <c r="N86" s="18"/>
    </row>
    <row r="87" s="1" customFormat="1" ht="15.75" spans="1:14">
      <c r="A87" s="6" t="s">
        <v>189</v>
      </c>
      <c r="B87" s="7"/>
      <c r="C87" s="8" t="s">
        <v>58</v>
      </c>
      <c r="D87" s="6" t="s">
        <v>24</v>
      </c>
      <c r="E87" s="6"/>
      <c r="F87" s="9"/>
      <c r="G87" s="10">
        <v>3490</v>
      </c>
      <c r="H87" s="11" t="s">
        <v>358</v>
      </c>
      <c r="I87" s="15" t="s">
        <v>31</v>
      </c>
      <c r="J87" s="16" t="s">
        <v>62</v>
      </c>
      <c r="K87" s="17"/>
      <c r="L87" s="17"/>
      <c r="M87" s="18"/>
      <c r="N87" s="18"/>
    </row>
    <row r="88" s="1" customFormat="1" ht="15.75" spans="1:14">
      <c r="A88" s="6" t="s">
        <v>189</v>
      </c>
      <c r="B88" s="7"/>
      <c r="C88" s="8" t="s">
        <v>28</v>
      </c>
      <c r="D88" s="6" t="s">
        <v>24</v>
      </c>
      <c r="E88" s="6"/>
      <c r="F88" s="9"/>
      <c r="G88" s="10">
        <v>890.27</v>
      </c>
      <c r="H88" s="11" t="s">
        <v>30</v>
      </c>
      <c r="I88" s="15" t="s">
        <v>31</v>
      </c>
      <c r="J88" s="16" t="s">
        <v>32</v>
      </c>
      <c r="K88" s="17"/>
      <c r="L88" s="17"/>
      <c r="M88" s="18"/>
      <c r="N88" s="18"/>
    </row>
    <row r="89" s="1" customFormat="1" ht="15.75" spans="1:14">
      <c r="A89" s="6" t="s">
        <v>189</v>
      </c>
      <c r="B89" s="7"/>
      <c r="C89" s="8" t="s">
        <v>28</v>
      </c>
      <c r="D89" s="6" t="s">
        <v>24</v>
      </c>
      <c r="E89" s="6"/>
      <c r="F89" s="9"/>
      <c r="G89" s="10">
        <v>35770.07</v>
      </c>
      <c r="H89" s="11" t="s">
        <v>361</v>
      </c>
      <c r="I89" s="15" t="s">
        <v>31</v>
      </c>
      <c r="J89" s="16" t="s">
        <v>35</v>
      </c>
      <c r="K89" s="17"/>
      <c r="L89" s="17"/>
      <c r="M89" s="18"/>
      <c r="N89" s="18"/>
    </row>
    <row r="90" s="1" customFormat="1" ht="150.75" spans="1:14">
      <c r="A90" s="6" t="s">
        <v>196</v>
      </c>
      <c r="B90" s="7"/>
      <c r="C90" s="8" t="s">
        <v>50</v>
      </c>
      <c r="D90" s="6" t="s">
        <v>24</v>
      </c>
      <c r="E90" s="6"/>
      <c r="F90" s="9">
        <v>-81851.05</v>
      </c>
      <c r="G90" s="10"/>
      <c r="H90" s="11" t="s">
        <v>363</v>
      </c>
      <c r="I90" s="15" t="s">
        <v>52</v>
      </c>
      <c r="J90" s="16" t="s">
        <v>324</v>
      </c>
      <c r="K90" s="16" t="s">
        <v>386</v>
      </c>
      <c r="L90" s="17"/>
      <c r="M90" s="18">
        <v>45891</v>
      </c>
      <c r="N90" s="18"/>
    </row>
    <row r="91" s="1" customFormat="1" ht="15.75" spans="1:14">
      <c r="A91" s="6" t="s">
        <v>196</v>
      </c>
      <c r="B91" s="7"/>
      <c r="C91" s="8" t="s">
        <v>58</v>
      </c>
      <c r="D91" s="6" t="s">
        <v>24</v>
      </c>
      <c r="E91" s="6"/>
      <c r="F91" s="9"/>
      <c r="G91" s="10">
        <v>2692.35</v>
      </c>
      <c r="H91" s="11" t="s">
        <v>358</v>
      </c>
      <c r="I91" s="15" t="s">
        <v>31</v>
      </c>
      <c r="J91" s="16" t="s">
        <v>62</v>
      </c>
      <c r="K91" s="17"/>
      <c r="L91" s="17"/>
      <c r="M91" s="18"/>
      <c r="N91" s="18"/>
    </row>
    <row r="92" s="1" customFormat="1" ht="15.75" spans="1:14">
      <c r="A92" s="6" t="s">
        <v>196</v>
      </c>
      <c r="B92" s="7"/>
      <c r="C92" s="8" t="s">
        <v>28</v>
      </c>
      <c r="D92" s="6" t="s">
        <v>24</v>
      </c>
      <c r="E92" s="6"/>
      <c r="F92" s="9"/>
      <c r="G92" s="10">
        <v>1257.48</v>
      </c>
      <c r="H92" s="11" t="s">
        <v>30</v>
      </c>
      <c r="I92" s="15" t="s">
        <v>31</v>
      </c>
      <c r="J92" s="16" t="s">
        <v>32</v>
      </c>
      <c r="K92" s="17"/>
      <c r="L92" s="17"/>
      <c r="M92" s="18"/>
      <c r="N92" s="18"/>
    </row>
    <row r="93" s="1" customFormat="1" ht="15.75" spans="1:14">
      <c r="A93" s="6" t="s">
        <v>196</v>
      </c>
      <c r="B93" s="7"/>
      <c r="C93" s="8" t="s">
        <v>28</v>
      </c>
      <c r="D93" s="6" t="s">
        <v>24</v>
      </c>
      <c r="E93" s="6"/>
      <c r="F93" s="9"/>
      <c r="G93" s="10">
        <v>39910.25</v>
      </c>
      <c r="H93" s="11" t="s">
        <v>361</v>
      </c>
      <c r="I93" s="15" t="s">
        <v>31</v>
      </c>
      <c r="J93" s="16" t="s">
        <v>35</v>
      </c>
      <c r="K93" s="17"/>
      <c r="L93" s="17"/>
      <c r="M93" s="18"/>
      <c r="N93" s="18"/>
    </row>
    <row r="94" s="1" customFormat="1" ht="15.75" spans="1:14">
      <c r="A94" s="6" t="s">
        <v>200</v>
      </c>
      <c r="B94" s="7"/>
      <c r="C94" s="8" t="s">
        <v>58</v>
      </c>
      <c r="D94" s="6" t="s">
        <v>24</v>
      </c>
      <c r="E94" s="6"/>
      <c r="F94" s="9"/>
      <c r="G94" s="10">
        <v>2204.7</v>
      </c>
      <c r="H94" s="11" t="s">
        <v>358</v>
      </c>
      <c r="I94" s="15" t="s">
        <v>31</v>
      </c>
      <c r="J94" s="16" t="s">
        <v>62</v>
      </c>
      <c r="K94" s="17"/>
      <c r="L94" s="17"/>
      <c r="M94" s="18"/>
      <c r="N94" s="18"/>
    </row>
    <row r="95" s="1" customFormat="1" ht="15.75" spans="1:14">
      <c r="A95" s="6" t="s">
        <v>200</v>
      </c>
      <c r="B95" s="7"/>
      <c r="C95" s="8" t="s">
        <v>58</v>
      </c>
      <c r="D95" s="6" t="s">
        <v>24</v>
      </c>
      <c r="E95" s="6"/>
      <c r="F95" s="9"/>
      <c r="G95" s="10">
        <v>5081.8</v>
      </c>
      <c r="H95" s="11" t="s">
        <v>358</v>
      </c>
      <c r="I95" s="15" t="s">
        <v>31</v>
      </c>
      <c r="J95" s="16" t="s">
        <v>62</v>
      </c>
      <c r="K95" s="17"/>
      <c r="L95" s="17"/>
      <c r="M95" s="18"/>
      <c r="N95" s="18"/>
    </row>
    <row r="96" s="1" customFormat="1" ht="15.75" spans="1:14">
      <c r="A96" s="6" t="s">
        <v>200</v>
      </c>
      <c r="B96" s="7"/>
      <c r="C96" s="8" t="s">
        <v>58</v>
      </c>
      <c r="D96" s="6" t="s">
        <v>24</v>
      </c>
      <c r="E96" s="6"/>
      <c r="F96" s="9"/>
      <c r="G96" s="10">
        <v>4111.35</v>
      </c>
      <c r="H96" s="11" t="s">
        <v>358</v>
      </c>
      <c r="I96" s="15" t="s">
        <v>31</v>
      </c>
      <c r="J96" s="16" t="s">
        <v>62</v>
      </c>
      <c r="K96" s="17"/>
      <c r="L96" s="17"/>
      <c r="M96" s="18"/>
      <c r="N96" s="18"/>
    </row>
    <row r="97" s="1" customFormat="1" ht="15.75" spans="1:14">
      <c r="A97" s="6" t="s">
        <v>200</v>
      </c>
      <c r="B97" s="7"/>
      <c r="C97" s="8" t="s">
        <v>28</v>
      </c>
      <c r="D97" s="6" t="s">
        <v>24</v>
      </c>
      <c r="E97" s="6"/>
      <c r="F97" s="9"/>
      <c r="G97" s="10">
        <v>2034.62</v>
      </c>
      <c r="H97" s="11" t="s">
        <v>30</v>
      </c>
      <c r="I97" s="15" t="s">
        <v>31</v>
      </c>
      <c r="J97" s="16" t="s">
        <v>32</v>
      </c>
      <c r="K97" s="17"/>
      <c r="L97" s="17"/>
      <c r="M97" s="18"/>
      <c r="N97" s="18"/>
    </row>
    <row r="98" s="1" customFormat="1" ht="15.75" spans="1:14">
      <c r="A98" s="6" t="s">
        <v>200</v>
      </c>
      <c r="B98" s="7"/>
      <c r="C98" s="8" t="s">
        <v>28</v>
      </c>
      <c r="D98" s="6" t="s">
        <v>24</v>
      </c>
      <c r="E98" s="6"/>
      <c r="F98" s="9"/>
      <c r="G98" s="10">
        <v>1160.8</v>
      </c>
      <c r="H98" s="11" t="s">
        <v>30</v>
      </c>
      <c r="I98" s="15" t="s">
        <v>31</v>
      </c>
      <c r="J98" s="16" t="s">
        <v>32</v>
      </c>
      <c r="K98" s="17"/>
      <c r="L98" s="17"/>
      <c r="M98" s="18"/>
      <c r="N98" s="18"/>
    </row>
    <row r="99" s="1" customFormat="1" ht="15.75" spans="1:14">
      <c r="A99" s="6" t="s">
        <v>200</v>
      </c>
      <c r="B99" s="7"/>
      <c r="C99" s="8" t="s">
        <v>28</v>
      </c>
      <c r="D99" s="6" t="s">
        <v>24</v>
      </c>
      <c r="E99" s="6"/>
      <c r="F99" s="9"/>
      <c r="G99" s="10">
        <v>2526.87</v>
      </c>
      <c r="H99" s="11" t="s">
        <v>30</v>
      </c>
      <c r="I99" s="15" t="s">
        <v>31</v>
      </c>
      <c r="J99" s="16" t="s">
        <v>32</v>
      </c>
      <c r="K99" s="17"/>
      <c r="L99" s="17"/>
      <c r="M99" s="18"/>
      <c r="N99" s="18"/>
    </row>
    <row r="100" s="1" customFormat="1" ht="15.75" spans="1:14">
      <c r="A100" s="6" t="s">
        <v>200</v>
      </c>
      <c r="B100" s="7"/>
      <c r="C100" s="8" t="s">
        <v>28</v>
      </c>
      <c r="D100" s="6" t="s">
        <v>24</v>
      </c>
      <c r="E100" s="6"/>
      <c r="F100" s="9"/>
      <c r="G100" s="10">
        <v>142820.58</v>
      </c>
      <c r="H100" s="11" t="s">
        <v>361</v>
      </c>
      <c r="I100" s="15" t="s">
        <v>31</v>
      </c>
      <c r="J100" s="16" t="s">
        <v>35</v>
      </c>
      <c r="K100" s="17"/>
      <c r="L100" s="17"/>
      <c r="M100" s="18"/>
      <c r="N100" s="18"/>
    </row>
    <row r="101" s="1" customFormat="1" ht="15.75" spans="1:14">
      <c r="A101" s="6" t="s">
        <v>204</v>
      </c>
      <c r="B101" s="7"/>
      <c r="C101" s="8" t="s">
        <v>28</v>
      </c>
      <c r="D101" s="6" t="s">
        <v>24</v>
      </c>
      <c r="E101" s="6"/>
      <c r="F101" s="9"/>
      <c r="G101" s="10">
        <v>8096.11</v>
      </c>
      <c r="H101" s="11" t="s">
        <v>80</v>
      </c>
      <c r="I101" s="15" t="s">
        <v>31</v>
      </c>
      <c r="J101" s="16" t="s">
        <v>81</v>
      </c>
      <c r="K101" s="17"/>
      <c r="L101" s="17"/>
      <c r="M101" s="18"/>
      <c r="N101" s="18"/>
    </row>
    <row r="102" s="1" customFormat="1" ht="15.75" spans="1:14">
      <c r="A102" s="6" t="s">
        <v>204</v>
      </c>
      <c r="B102" s="7"/>
      <c r="C102" s="8" t="s">
        <v>28</v>
      </c>
      <c r="D102" s="6" t="s">
        <v>24</v>
      </c>
      <c r="E102" s="6"/>
      <c r="F102" s="9"/>
      <c r="G102" s="10">
        <v>8534.97</v>
      </c>
      <c r="H102" s="11" t="s">
        <v>80</v>
      </c>
      <c r="I102" s="15" t="s">
        <v>31</v>
      </c>
      <c r="J102" s="16" t="s">
        <v>81</v>
      </c>
      <c r="K102" s="17"/>
      <c r="L102" s="17"/>
      <c r="M102" s="18"/>
      <c r="N102" s="18"/>
    </row>
    <row r="103" s="1" customFormat="1" ht="15.75" spans="1:14">
      <c r="A103" s="6" t="s">
        <v>204</v>
      </c>
      <c r="B103" s="7"/>
      <c r="C103" s="8" t="s">
        <v>58</v>
      </c>
      <c r="D103" s="6" t="s">
        <v>24</v>
      </c>
      <c r="E103" s="6"/>
      <c r="F103" s="9"/>
      <c r="G103" s="10">
        <v>3818.95</v>
      </c>
      <c r="H103" s="11" t="s">
        <v>358</v>
      </c>
      <c r="I103" s="15" t="s">
        <v>31</v>
      </c>
      <c r="J103" s="16" t="s">
        <v>62</v>
      </c>
      <c r="K103" s="17"/>
      <c r="L103" s="17"/>
      <c r="M103" s="18"/>
      <c r="N103" s="18"/>
    </row>
    <row r="104" s="1" customFormat="1" ht="15.75" spans="1:14">
      <c r="A104" s="6" t="s">
        <v>204</v>
      </c>
      <c r="B104" s="7"/>
      <c r="C104" s="8" t="s">
        <v>28</v>
      </c>
      <c r="D104" s="6" t="s">
        <v>24</v>
      </c>
      <c r="E104" s="6"/>
      <c r="F104" s="9"/>
      <c r="G104" s="10">
        <v>1709.48</v>
      </c>
      <c r="H104" s="11" t="s">
        <v>30</v>
      </c>
      <c r="I104" s="15" t="s">
        <v>31</v>
      </c>
      <c r="J104" s="16" t="s">
        <v>32</v>
      </c>
      <c r="K104" s="17"/>
      <c r="L104" s="17"/>
      <c r="M104" s="18"/>
      <c r="N104" s="18"/>
    </row>
    <row r="105" s="1" customFormat="1" ht="15.75" spans="1:14">
      <c r="A105" s="6" t="s">
        <v>204</v>
      </c>
      <c r="B105" s="7"/>
      <c r="C105" s="8" t="s">
        <v>28</v>
      </c>
      <c r="D105" s="6" t="s">
        <v>24</v>
      </c>
      <c r="E105" s="6"/>
      <c r="F105" s="9"/>
      <c r="G105" s="10">
        <v>39604.7</v>
      </c>
      <c r="H105" s="11" t="s">
        <v>206</v>
      </c>
      <c r="I105" s="15" t="s">
        <v>31</v>
      </c>
      <c r="J105" s="16" t="s">
        <v>207</v>
      </c>
      <c r="K105" s="17"/>
      <c r="L105" s="17"/>
      <c r="M105" s="18"/>
      <c r="N105" s="18"/>
    </row>
    <row r="106" s="1" customFormat="1" ht="15.75" spans="1:14">
      <c r="A106" s="6"/>
      <c r="B106" s="7"/>
      <c r="C106" s="8"/>
      <c r="D106" s="6"/>
      <c r="E106" s="6"/>
      <c r="F106" s="9"/>
      <c r="G106" s="10"/>
      <c r="H106" s="11"/>
      <c r="I106" s="15"/>
      <c r="J106" s="16"/>
      <c r="K106" s="17"/>
      <c r="L106" s="17"/>
      <c r="M106" s="18"/>
      <c r="N106" s="18"/>
    </row>
    <row r="107" s="1" customFormat="1" ht="15.75" spans="1:14">
      <c r="A107" s="6"/>
      <c r="B107" s="7"/>
      <c r="C107" s="8"/>
      <c r="D107" s="6"/>
      <c r="E107" s="6"/>
      <c r="F107" s="9"/>
      <c r="G107" s="10"/>
      <c r="H107" s="11"/>
      <c r="I107" s="15"/>
      <c r="J107" s="16"/>
      <c r="K107" s="17"/>
      <c r="L107" s="17"/>
      <c r="M107" s="18"/>
      <c r="N107" s="18"/>
    </row>
    <row r="108" s="1" customFormat="1" ht="15.75" spans="1:14">
      <c r="A108" s="6"/>
      <c r="B108" s="7"/>
      <c r="C108" s="8"/>
      <c r="D108" s="6"/>
      <c r="E108" s="6"/>
      <c r="F108" s="9"/>
      <c r="G108" s="10"/>
      <c r="H108" s="11"/>
      <c r="I108" s="15"/>
      <c r="J108" s="16"/>
      <c r="K108" s="17"/>
      <c r="L108" s="17"/>
      <c r="M108" s="18"/>
      <c r="N108" s="18"/>
    </row>
    <row r="109" s="1" customFormat="1" ht="15.75" spans="1:14">
      <c r="A109" s="6"/>
      <c r="B109" s="7"/>
      <c r="C109" s="8"/>
      <c r="D109" s="6"/>
      <c r="E109" s="6"/>
      <c r="F109" s="9"/>
      <c r="G109" s="10"/>
      <c r="H109" s="11"/>
      <c r="I109" s="15"/>
      <c r="J109" s="16"/>
      <c r="K109" s="17"/>
      <c r="L109" s="17"/>
      <c r="M109" s="18"/>
      <c r="N109" s="18"/>
    </row>
    <row r="110" s="1" customFormat="1" ht="15.75" spans="1:14">
      <c r="A110" s="6"/>
      <c r="B110" s="7"/>
      <c r="C110" s="8"/>
      <c r="D110" s="6"/>
      <c r="E110" s="6"/>
      <c r="F110" s="9"/>
      <c r="G110" s="10"/>
      <c r="H110" s="11"/>
      <c r="I110" s="15"/>
      <c r="J110" s="16"/>
      <c r="K110" s="17"/>
      <c r="L110" s="17"/>
      <c r="M110" s="18"/>
      <c r="N110" s="18"/>
    </row>
    <row r="111" s="1" customFormat="1" ht="15.75" spans="1:14">
      <c r="A111" s="6"/>
      <c r="B111" s="7"/>
      <c r="C111" s="8"/>
      <c r="D111" s="6"/>
      <c r="E111" s="6"/>
      <c r="F111" s="9"/>
      <c r="G111" s="10"/>
      <c r="H111" s="11"/>
      <c r="I111" s="15"/>
      <c r="J111" s="16"/>
      <c r="K111" s="17"/>
      <c r="L111" s="17"/>
      <c r="M111" s="18"/>
      <c r="N111" s="18"/>
    </row>
    <row r="112" s="1" customFormat="1" ht="15.75" spans="1:14">
      <c r="A112" s="6"/>
      <c r="B112" s="7"/>
      <c r="C112" s="8"/>
      <c r="D112" s="6"/>
      <c r="E112" s="6"/>
      <c r="F112" s="9"/>
      <c r="G112" s="10"/>
      <c r="H112" s="11"/>
      <c r="I112" s="15"/>
      <c r="J112" s="16"/>
      <c r="K112" s="16"/>
      <c r="L112" s="17"/>
      <c r="M112" s="18"/>
      <c r="N112" s="18"/>
    </row>
    <row r="113" s="1" customFormat="1" ht="15.75" spans="1:14">
      <c r="A113" s="6"/>
      <c r="B113" s="7"/>
      <c r="C113" s="8"/>
      <c r="D113" s="6"/>
      <c r="E113" s="6"/>
      <c r="F113" s="9"/>
      <c r="G113" s="10"/>
      <c r="H113" s="11"/>
      <c r="I113" s="15"/>
      <c r="J113" s="16"/>
      <c r="K113" s="17"/>
      <c r="L113" s="17"/>
      <c r="M113" s="18"/>
      <c r="N113" s="18"/>
    </row>
    <row r="114" s="1" customFormat="1" ht="15.75" spans="1:14">
      <c r="A114" s="6"/>
      <c r="B114" s="7"/>
      <c r="C114" s="8"/>
      <c r="D114" s="6"/>
      <c r="E114" s="6"/>
      <c r="F114" s="9"/>
      <c r="G114" s="10"/>
      <c r="H114" s="11"/>
      <c r="I114" s="15"/>
      <c r="J114" s="16"/>
      <c r="K114" s="17"/>
      <c r="L114" s="17"/>
      <c r="M114" s="18"/>
      <c r="N114" s="18"/>
    </row>
    <row r="115" s="1" customFormat="1" ht="15.75" spans="1:14">
      <c r="A115" s="6"/>
      <c r="B115" s="7"/>
      <c r="C115" s="8"/>
      <c r="D115" s="6"/>
      <c r="E115" s="6"/>
      <c r="F115" s="9"/>
      <c r="G115" s="10"/>
      <c r="H115" s="11"/>
      <c r="I115" s="15"/>
      <c r="J115" s="16"/>
      <c r="K115" s="17"/>
      <c r="L115" s="17"/>
      <c r="M115" s="18"/>
      <c r="N115" s="18"/>
    </row>
    <row r="116" s="1" customFormat="1" ht="15.75" spans="1:14">
      <c r="A116" s="6"/>
      <c r="B116" s="7"/>
      <c r="C116" s="8"/>
      <c r="D116" s="6"/>
      <c r="E116" s="6"/>
      <c r="F116" s="9"/>
      <c r="G116" s="10"/>
      <c r="H116" s="11"/>
      <c r="I116" s="15"/>
      <c r="J116" s="16"/>
      <c r="K116" s="17"/>
      <c r="L116" s="17"/>
      <c r="M116" s="18"/>
      <c r="N116" s="18"/>
    </row>
    <row r="117" s="1" customFormat="1" ht="15.75" spans="1:14">
      <c r="A117" s="6"/>
      <c r="B117" s="7"/>
      <c r="C117" s="8"/>
      <c r="D117" s="6"/>
      <c r="E117" s="6"/>
      <c r="F117" s="9"/>
      <c r="G117" s="10"/>
      <c r="H117" s="11"/>
      <c r="I117" s="15"/>
      <c r="J117" s="16"/>
      <c r="K117" s="17"/>
      <c r="L117" s="17"/>
      <c r="M117" s="18"/>
      <c r="N117" s="18"/>
    </row>
    <row r="118" s="1" customFormat="1" ht="15.75" spans="1:14">
      <c r="A118" s="6"/>
      <c r="B118" s="7"/>
      <c r="C118" s="8"/>
      <c r="D118" s="6"/>
      <c r="E118" s="6"/>
      <c r="F118" s="9"/>
      <c r="G118" s="10"/>
      <c r="H118" s="11"/>
      <c r="I118" s="15"/>
      <c r="J118" s="16"/>
      <c r="K118" s="17"/>
      <c r="L118" s="17"/>
      <c r="M118" s="18"/>
      <c r="N118" s="18"/>
    </row>
    <row r="119" s="1" customFormat="1" ht="15.75" spans="1:14">
      <c r="A119" s="6"/>
      <c r="B119" s="7"/>
      <c r="C119" s="8"/>
      <c r="D119" s="6"/>
      <c r="E119" s="6"/>
      <c r="F119" s="9"/>
      <c r="G119" s="10"/>
      <c r="H119" s="11"/>
      <c r="I119" s="15"/>
      <c r="J119" s="16"/>
      <c r="K119" s="17"/>
      <c r="L119" s="17"/>
      <c r="M119" s="18"/>
      <c r="N119" s="18"/>
    </row>
    <row r="120" s="1" customFormat="1" ht="15.75" spans="1:14">
      <c r="A120" s="6"/>
      <c r="B120" s="7"/>
      <c r="C120" s="8"/>
      <c r="D120" s="6"/>
      <c r="E120" s="6"/>
      <c r="F120" s="9"/>
      <c r="G120" s="10"/>
      <c r="H120" s="11"/>
      <c r="I120" s="15"/>
      <c r="J120" s="16"/>
      <c r="K120" s="17"/>
      <c r="L120" s="17"/>
      <c r="M120" s="18"/>
      <c r="N120" s="18"/>
    </row>
    <row r="121" s="1" customFormat="1" ht="15.75" spans="1:14">
      <c r="A121" s="6"/>
      <c r="B121" s="7"/>
      <c r="C121" s="8"/>
      <c r="D121" s="6"/>
      <c r="E121" s="6"/>
      <c r="F121" s="9"/>
      <c r="G121" s="10"/>
      <c r="H121" s="11"/>
      <c r="I121" s="15"/>
      <c r="J121" s="16"/>
      <c r="K121" s="17"/>
      <c r="L121" s="17"/>
      <c r="M121" s="18"/>
      <c r="N121" s="18"/>
    </row>
    <row r="122" s="1" customFormat="1" ht="15.75" spans="1:14">
      <c r="A122" s="6"/>
      <c r="B122" s="7"/>
      <c r="C122" s="8"/>
      <c r="D122" s="6"/>
      <c r="E122" s="6"/>
      <c r="F122" s="9"/>
      <c r="G122" s="10"/>
      <c r="H122" s="11"/>
      <c r="I122" s="15"/>
      <c r="J122" s="16"/>
      <c r="K122" s="17"/>
      <c r="L122" s="17"/>
      <c r="M122" s="18"/>
      <c r="N122" s="18"/>
    </row>
    <row r="123" s="1" customFormat="1" ht="15.75" spans="1:14">
      <c r="A123" s="6"/>
      <c r="B123" s="7"/>
      <c r="C123" s="8"/>
      <c r="D123" s="6"/>
      <c r="E123" s="6"/>
      <c r="F123" s="9"/>
      <c r="G123" s="10"/>
      <c r="H123" s="11"/>
      <c r="I123" s="15"/>
      <c r="J123" s="16"/>
      <c r="K123" s="17"/>
      <c r="L123" s="17"/>
      <c r="M123" s="18"/>
      <c r="N123" s="18"/>
    </row>
  </sheetData>
  <autoFilter xmlns:etc="http://www.wps.cn/officeDocument/2017/etCustomData" ref="A2:N129" etc:filterBottomFollowUsedRange="0">
    <extLst/>
  </autoFilter>
  <mergeCells count="1">
    <mergeCell ref="A1:H1"/>
  </mergeCells>
  <conditionalFormatting sqref="I3">
    <cfRule type="containsText" dxfId="0" priority="114" operator="between" text="待">
      <formula>NOT(ISERROR(SEARCH("待",I3)))</formula>
    </cfRule>
    <cfRule type="containsText" dxfId="1" priority="122" operator="between" text="/">
      <formula>NOT(ISERROR(SEARCH("/",I3)))</formula>
    </cfRule>
  </conditionalFormatting>
  <conditionalFormatting sqref="J3">
    <cfRule type="containsText" dxfId="0" priority="130" operator="between" text="待">
      <formula>NOT(ISERROR(SEARCH("待",J3)))</formula>
    </cfRule>
    <cfRule type="containsText" dxfId="1" priority="138" operator="between" text="/">
      <formula>NOT(ISERROR(SEARCH("/",J3)))</formula>
    </cfRule>
  </conditionalFormatting>
  <conditionalFormatting sqref="K3">
    <cfRule type="containsText" dxfId="0" priority="146" operator="between" text="待">
      <formula>NOT(ISERROR(SEARCH("待",K3)))</formula>
    </cfRule>
  </conditionalFormatting>
  <conditionalFormatting sqref="L3">
    <cfRule type="containsText" dxfId="0" priority="14" operator="between" text="待提单">
      <formula>NOT(ISERROR(SEARCH("待提单",L3)))</formula>
    </cfRule>
    <cfRule type="containsText" dxfId="0" priority="13" operator="between" text="待附件">
      <formula>NOT(ISERROR(SEARCH("待附件",L3)))</formula>
    </cfRule>
  </conditionalFormatting>
  <conditionalFormatting sqref="I4">
    <cfRule type="containsText" dxfId="0" priority="113" operator="between" text="待">
      <formula>NOT(ISERROR(SEARCH("待",I4)))</formula>
    </cfRule>
    <cfRule type="containsText" dxfId="1" priority="121" operator="between" text="/">
      <formula>NOT(ISERROR(SEARCH("/",I4)))</formula>
    </cfRule>
  </conditionalFormatting>
  <conditionalFormatting sqref="J4">
    <cfRule type="containsText" dxfId="0" priority="129" operator="between" text="待">
      <formula>NOT(ISERROR(SEARCH("待",J4)))</formula>
    </cfRule>
    <cfRule type="containsText" dxfId="1" priority="137" operator="between" text="/">
      <formula>NOT(ISERROR(SEARCH("/",J4)))</formula>
    </cfRule>
  </conditionalFormatting>
  <conditionalFormatting sqref="K4">
    <cfRule type="containsText" dxfId="0" priority="145" operator="between" text="待">
      <formula>NOT(ISERROR(SEARCH("待",K4)))</formula>
    </cfRule>
  </conditionalFormatting>
  <conditionalFormatting sqref="L4">
    <cfRule type="containsText" dxfId="0" priority="153" operator="between" text="待附件">
      <formula>NOT(ISERROR(SEARCH("待附件",L4)))</formula>
    </cfRule>
    <cfRule type="containsText" dxfId="0" priority="161" operator="between" text="待提单">
      <formula>NOT(ISERROR(SEARCH("待提单",L4)))</formula>
    </cfRule>
  </conditionalFormatting>
  <conditionalFormatting sqref="I5">
    <cfRule type="containsText" dxfId="0" priority="112" operator="between" text="待">
      <formula>NOT(ISERROR(SEARCH("待",I5)))</formula>
    </cfRule>
    <cfRule type="containsText" dxfId="1" priority="120" operator="between" text="/">
      <formula>NOT(ISERROR(SEARCH("/",I5)))</formula>
    </cfRule>
  </conditionalFormatting>
  <conditionalFormatting sqref="J5">
    <cfRule type="containsText" dxfId="0" priority="128" operator="between" text="待">
      <formula>NOT(ISERROR(SEARCH("待",J5)))</formula>
    </cfRule>
    <cfRule type="containsText" dxfId="1" priority="136" operator="between" text="/">
      <formula>NOT(ISERROR(SEARCH("/",J5)))</formula>
    </cfRule>
  </conditionalFormatting>
  <conditionalFormatting sqref="K5">
    <cfRule type="containsText" dxfId="0" priority="144" operator="between" text="待">
      <formula>NOT(ISERROR(SEARCH("待",K5)))</formula>
    </cfRule>
  </conditionalFormatting>
  <conditionalFormatting sqref="L5">
    <cfRule type="containsText" dxfId="0" priority="152" operator="between" text="待附件">
      <formula>NOT(ISERROR(SEARCH("待附件",L5)))</formula>
    </cfRule>
    <cfRule type="containsText" dxfId="0" priority="160" operator="between" text="待提单">
      <formula>NOT(ISERROR(SEARCH("待提单",L5)))</formula>
    </cfRule>
  </conditionalFormatting>
  <conditionalFormatting sqref="I6">
    <cfRule type="containsText" dxfId="0" priority="111" operator="between" text="待">
      <formula>NOT(ISERROR(SEARCH("待",I6)))</formula>
    </cfRule>
    <cfRule type="containsText" dxfId="1" priority="119" operator="between" text="/">
      <formula>NOT(ISERROR(SEARCH("/",I6)))</formula>
    </cfRule>
  </conditionalFormatting>
  <conditionalFormatting sqref="J6">
    <cfRule type="containsText" dxfId="0" priority="127" operator="between" text="待">
      <formula>NOT(ISERROR(SEARCH("待",J6)))</formula>
    </cfRule>
    <cfRule type="containsText" dxfId="1" priority="135" operator="between" text="/">
      <formula>NOT(ISERROR(SEARCH("/",J6)))</formula>
    </cfRule>
  </conditionalFormatting>
  <conditionalFormatting sqref="K6">
    <cfRule type="containsText" dxfId="0" priority="143" operator="between" text="待">
      <formula>NOT(ISERROR(SEARCH("待",K6)))</formula>
    </cfRule>
  </conditionalFormatting>
  <conditionalFormatting sqref="L6">
    <cfRule type="containsText" dxfId="0" priority="151" operator="between" text="待附件">
      <formula>NOT(ISERROR(SEARCH("待附件",L6)))</formula>
    </cfRule>
    <cfRule type="containsText" dxfId="0" priority="159" operator="between" text="待提单">
      <formula>NOT(ISERROR(SEARCH("待提单",L6)))</formula>
    </cfRule>
  </conditionalFormatting>
  <conditionalFormatting sqref="I7">
    <cfRule type="containsText" dxfId="0" priority="110" operator="between" text="待">
      <formula>NOT(ISERROR(SEARCH("待",I7)))</formula>
    </cfRule>
    <cfRule type="containsText" dxfId="1" priority="118" operator="between" text="/">
      <formula>NOT(ISERROR(SEARCH("/",I7)))</formula>
    </cfRule>
  </conditionalFormatting>
  <conditionalFormatting sqref="J7">
    <cfRule type="containsText" dxfId="0" priority="126" operator="between" text="待">
      <formula>NOT(ISERROR(SEARCH("待",J7)))</formula>
    </cfRule>
    <cfRule type="containsText" dxfId="1" priority="134" operator="between" text="/">
      <formula>NOT(ISERROR(SEARCH("/",J7)))</formula>
    </cfRule>
  </conditionalFormatting>
  <conditionalFormatting sqref="K7">
    <cfRule type="containsText" dxfId="0" priority="142" operator="between" text="待">
      <formula>NOT(ISERROR(SEARCH("待",K7)))</formula>
    </cfRule>
  </conditionalFormatting>
  <conditionalFormatting sqref="L7">
    <cfRule type="containsText" dxfId="0" priority="150" operator="between" text="待附件">
      <formula>NOT(ISERROR(SEARCH("待附件",L7)))</formula>
    </cfRule>
    <cfRule type="containsText" dxfId="0" priority="158" operator="between" text="待提单">
      <formula>NOT(ISERROR(SEARCH("待提单",L7)))</formula>
    </cfRule>
  </conditionalFormatting>
  <conditionalFormatting sqref="I8">
    <cfRule type="containsText" dxfId="0" priority="109" operator="between" text="待">
      <formula>NOT(ISERROR(SEARCH("待",I8)))</formula>
    </cfRule>
    <cfRule type="containsText" dxfId="1" priority="117" operator="between" text="/">
      <formula>NOT(ISERROR(SEARCH("/",I8)))</formula>
    </cfRule>
  </conditionalFormatting>
  <conditionalFormatting sqref="J8">
    <cfRule type="containsText" dxfId="0" priority="125" operator="between" text="待">
      <formula>NOT(ISERROR(SEARCH("待",J8)))</formula>
    </cfRule>
    <cfRule type="containsText" dxfId="1" priority="133" operator="between" text="/">
      <formula>NOT(ISERROR(SEARCH("/",J8)))</formula>
    </cfRule>
  </conditionalFormatting>
  <conditionalFormatting sqref="K8">
    <cfRule type="containsText" dxfId="0" priority="141" operator="between" text="待">
      <formula>NOT(ISERROR(SEARCH("待",K8)))</formula>
    </cfRule>
  </conditionalFormatting>
  <conditionalFormatting sqref="L8">
    <cfRule type="containsText" dxfId="0" priority="149" operator="between" text="待附件">
      <formula>NOT(ISERROR(SEARCH("待附件",L8)))</formula>
    </cfRule>
    <cfRule type="containsText" dxfId="0" priority="157" operator="between" text="待提单">
      <formula>NOT(ISERROR(SEARCH("待提单",L8)))</formula>
    </cfRule>
  </conditionalFormatting>
  <conditionalFormatting sqref="I9">
    <cfRule type="containsText" dxfId="0" priority="108" operator="between" text="待">
      <formula>NOT(ISERROR(SEARCH("待",I9)))</formula>
    </cfRule>
    <cfRule type="containsText" dxfId="1" priority="116" operator="between" text="/">
      <formula>NOT(ISERROR(SEARCH("/",I9)))</formula>
    </cfRule>
  </conditionalFormatting>
  <conditionalFormatting sqref="J9">
    <cfRule type="containsText" dxfId="0" priority="124" operator="between" text="待">
      <formula>NOT(ISERROR(SEARCH("待",J9)))</formula>
    </cfRule>
    <cfRule type="containsText" dxfId="1" priority="132" operator="between" text="/">
      <formula>NOT(ISERROR(SEARCH("/",J9)))</formula>
    </cfRule>
  </conditionalFormatting>
  <conditionalFormatting sqref="K9">
    <cfRule type="containsText" dxfId="0" priority="140" operator="between" text="待">
      <formula>NOT(ISERROR(SEARCH("待",K9)))</formula>
    </cfRule>
  </conditionalFormatting>
  <conditionalFormatting sqref="L9">
    <cfRule type="containsText" dxfId="0" priority="16" operator="between" text="待提单">
      <formula>NOT(ISERROR(SEARCH("待提单",L9)))</formula>
    </cfRule>
    <cfRule type="containsText" dxfId="0" priority="15" operator="between" text="待附件">
      <formula>NOT(ISERROR(SEARCH("待附件",L9)))</formula>
    </cfRule>
  </conditionalFormatting>
  <conditionalFormatting sqref="I10">
    <cfRule type="containsText" dxfId="0" priority="107" operator="between" text="待">
      <formula>NOT(ISERROR(SEARCH("待",I10)))</formula>
    </cfRule>
    <cfRule type="containsText" dxfId="1" priority="115" operator="between" text="/">
      <formula>NOT(ISERROR(SEARCH("/",I10)))</formula>
    </cfRule>
  </conditionalFormatting>
  <conditionalFormatting sqref="J10">
    <cfRule type="containsText" dxfId="0" priority="123" operator="between" text="待">
      <formula>NOT(ISERROR(SEARCH("待",J10)))</formula>
    </cfRule>
    <cfRule type="containsText" dxfId="1" priority="131" operator="between" text="/">
      <formula>NOT(ISERROR(SEARCH("/",J10)))</formula>
    </cfRule>
  </conditionalFormatting>
  <conditionalFormatting sqref="K10">
    <cfRule type="containsText" dxfId="0" priority="139" operator="between" text="待">
      <formula>NOT(ISERROR(SEARCH("待",K10)))</formula>
    </cfRule>
  </conditionalFormatting>
  <conditionalFormatting sqref="L10">
    <cfRule type="containsText" dxfId="0" priority="147" operator="between" text="待附件">
      <formula>NOT(ISERROR(SEARCH("待附件",L10)))</formula>
    </cfRule>
    <cfRule type="containsText" dxfId="0" priority="155" operator="between" text="待提单">
      <formula>NOT(ISERROR(SEARCH("待提单",L10)))</formula>
    </cfRule>
  </conditionalFormatting>
  <conditionalFormatting sqref="I12">
    <cfRule type="containsText" dxfId="0" priority="195" operator="between" text="待">
      <formula>NOT(ISERROR(SEARCH("待",I12)))</formula>
    </cfRule>
    <cfRule type="containsText" dxfId="1" priority="196" operator="between" text="/">
      <formula>NOT(ISERROR(SEARCH("/",I12)))</formula>
    </cfRule>
  </conditionalFormatting>
  <conditionalFormatting sqref="J12">
    <cfRule type="containsText" dxfId="0" priority="197" operator="between" text="待">
      <formula>NOT(ISERROR(SEARCH("待",J12)))</formula>
    </cfRule>
    <cfRule type="containsText" dxfId="1" priority="198" operator="between" text="/">
      <formula>NOT(ISERROR(SEARCH("/",J12)))</formula>
    </cfRule>
  </conditionalFormatting>
  <conditionalFormatting sqref="I13">
    <cfRule type="containsText" dxfId="0" priority="183" operator="between" text="待">
      <formula>NOT(ISERROR(SEARCH("待",I13)))</formula>
    </cfRule>
    <cfRule type="containsText" dxfId="1" priority="184" operator="between" text="/">
      <formula>NOT(ISERROR(SEARCH("/",I13)))</formula>
    </cfRule>
  </conditionalFormatting>
  <conditionalFormatting sqref="J13">
    <cfRule type="containsText" dxfId="0" priority="185" operator="between" text="待">
      <formula>NOT(ISERROR(SEARCH("待",J13)))</formula>
    </cfRule>
    <cfRule type="containsText" dxfId="1" priority="186" operator="between" text="/">
      <formula>NOT(ISERROR(SEARCH("/",J13)))</formula>
    </cfRule>
  </conditionalFormatting>
  <conditionalFormatting sqref="I14">
    <cfRule type="containsText" dxfId="0" priority="179" operator="between" text="待">
      <formula>NOT(ISERROR(SEARCH("待",I14)))</formula>
    </cfRule>
    <cfRule type="containsText" dxfId="1" priority="180" operator="between" text="/">
      <formula>NOT(ISERROR(SEARCH("/",I14)))</formula>
    </cfRule>
  </conditionalFormatting>
  <conditionalFormatting sqref="J14">
    <cfRule type="containsText" dxfId="0" priority="181" operator="between" text="待">
      <formula>NOT(ISERROR(SEARCH("待",J14)))</formula>
    </cfRule>
    <cfRule type="containsText" dxfId="1" priority="182" operator="between" text="/">
      <formula>NOT(ISERROR(SEARCH("/",J14)))</formula>
    </cfRule>
  </conditionalFormatting>
  <conditionalFormatting sqref="I15">
    <cfRule type="containsText" dxfId="0" priority="191" operator="between" text="待">
      <formula>NOT(ISERROR(SEARCH("待",I15)))</formula>
    </cfRule>
    <cfRule type="containsText" dxfId="1" priority="192" operator="between" text="/">
      <formula>NOT(ISERROR(SEARCH("/",I15)))</formula>
    </cfRule>
  </conditionalFormatting>
  <conditionalFormatting sqref="J15">
    <cfRule type="containsText" dxfId="0" priority="193" operator="between" text="待">
      <formula>NOT(ISERROR(SEARCH("待",J15)))</formula>
    </cfRule>
    <cfRule type="containsText" dxfId="1" priority="194" operator="between" text="/">
      <formula>NOT(ISERROR(SEARCH("/",J15)))</formula>
    </cfRule>
  </conditionalFormatting>
  <conditionalFormatting sqref="I16">
    <cfRule type="containsText" dxfId="0" priority="187" operator="between" text="待">
      <formula>NOT(ISERROR(SEARCH("待",I16)))</formula>
    </cfRule>
    <cfRule type="containsText" dxfId="1" priority="188" operator="between" text="/">
      <formula>NOT(ISERROR(SEARCH("/",I16)))</formula>
    </cfRule>
  </conditionalFormatting>
  <conditionalFormatting sqref="J16">
    <cfRule type="containsText" dxfId="0" priority="189" operator="between" text="待">
      <formula>NOT(ISERROR(SEARCH("待",J16)))</formula>
    </cfRule>
    <cfRule type="containsText" dxfId="1" priority="190" operator="between" text="/">
      <formula>NOT(ISERROR(SEARCH("/",J16)))</formula>
    </cfRule>
  </conditionalFormatting>
  <conditionalFormatting sqref="I22">
    <cfRule type="containsText" dxfId="0" priority="173" operator="between" text="待">
      <formula>NOT(ISERROR(SEARCH("待",I22)))</formula>
    </cfRule>
    <cfRule type="containsText" dxfId="1" priority="174" operator="between" text="/">
      <formula>NOT(ISERROR(SEARCH("/",I22)))</formula>
    </cfRule>
  </conditionalFormatting>
  <conditionalFormatting sqref="J22">
    <cfRule type="containsText" dxfId="0" priority="175" operator="between" text="待">
      <formula>NOT(ISERROR(SEARCH("待",J22)))</formula>
    </cfRule>
    <cfRule type="containsText" dxfId="1" priority="176" operator="between" text="/">
      <formula>NOT(ISERROR(SEARCH("/",J22)))</formula>
    </cfRule>
  </conditionalFormatting>
  <conditionalFormatting sqref="I25:J25">
    <cfRule type="containsText" dxfId="0" priority="178" operator="between" text="待">
      <formula>NOT(ISERROR(SEARCH("待",I25)))</formula>
    </cfRule>
  </conditionalFormatting>
  <conditionalFormatting sqref="J25">
    <cfRule type="containsText" dxfId="1" priority="177" operator="between" text="/">
      <formula>NOT(ISERROR(SEARCH("/",J25)))</formula>
    </cfRule>
  </conditionalFormatting>
  <conditionalFormatting sqref="K25">
    <cfRule type="containsText" dxfId="0" priority="105" operator="between" text="待">
      <formula>NOT(ISERROR(SEARCH("待",K25)))</formula>
    </cfRule>
  </conditionalFormatting>
  <conditionalFormatting sqref="L25">
    <cfRule type="containsText" dxfId="0" priority="103" operator="between" text="待附件">
      <formula>NOT(ISERROR(SEARCH("待附件",L25)))</formula>
    </cfRule>
    <cfRule type="containsText" dxfId="0" priority="104" operator="between" text="待提单">
      <formula>NOT(ISERROR(SEARCH("待提单",L25)))</formula>
    </cfRule>
  </conditionalFormatting>
  <conditionalFormatting sqref="I28:J28">
    <cfRule type="containsText" dxfId="0" priority="165" operator="between" text="待">
      <formula>NOT(ISERROR(SEARCH("待",I28)))</formula>
    </cfRule>
  </conditionalFormatting>
  <conditionalFormatting sqref="J28">
    <cfRule type="containsText" dxfId="1" priority="166" operator="between" text="/">
      <formula>NOT(ISERROR(SEARCH("/",J28)))</formula>
    </cfRule>
  </conditionalFormatting>
  <conditionalFormatting sqref="L29">
    <cfRule type="containsText" dxfId="0" priority="5" operator="between" text="待提单">
      <formula>NOT(ISERROR(SEARCH("待提单",L29)))</formula>
    </cfRule>
    <cfRule type="containsText" dxfId="0" priority="4" operator="between" text="待附件">
      <formula>NOT(ISERROR(SEARCH("待附件",L29)))</formula>
    </cfRule>
  </conditionalFormatting>
  <conditionalFormatting sqref="I32">
    <cfRule type="containsText" dxfId="2" priority="96" operator="between" text="待">
      <formula>NOT(ISERROR(SEARCH("待",I32)))</formula>
    </cfRule>
  </conditionalFormatting>
  <conditionalFormatting sqref="I33:J33">
    <cfRule type="containsText" dxfId="0" priority="97" operator="between" text="待">
      <formula>NOT(ISERROR(SEARCH("待",I33)))</formula>
    </cfRule>
  </conditionalFormatting>
  <conditionalFormatting sqref="J33">
    <cfRule type="containsText" dxfId="1" priority="98" operator="between" text="/">
      <formula>NOT(ISERROR(SEARCH("/",J33)))</formula>
    </cfRule>
  </conditionalFormatting>
  <conditionalFormatting sqref="I36:J36">
    <cfRule type="containsText" dxfId="0" priority="90" operator="between" text="待">
      <formula>NOT(ISERROR(SEARCH("待",I36)))</formula>
    </cfRule>
  </conditionalFormatting>
  <conditionalFormatting sqref="J36">
    <cfRule type="containsText" dxfId="1" priority="91" operator="between" text="/">
      <formula>NOT(ISERROR(SEARCH("/",J36)))</formula>
    </cfRule>
  </conditionalFormatting>
  <conditionalFormatting sqref="I40:J40">
    <cfRule type="containsText" dxfId="0" priority="94" operator="between" text="待">
      <formula>NOT(ISERROR(SEARCH("待",I40)))</formula>
    </cfRule>
  </conditionalFormatting>
  <conditionalFormatting sqref="J40">
    <cfRule type="containsText" dxfId="1" priority="95" operator="between" text="/">
      <formula>NOT(ISERROR(SEARCH("/",J40)))</formula>
    </cfRule>
  </conditionalFormatting>
  <conditionalFormatting sqref="I41:J41">
    <cfRule type="containsText" dxfId="0" priority="92" operator="between" text="待">
      <formula>NOT(ISERROR(SEARCH("待",I41)))</formula>
    </cfRule>
  </conditionalFormatting>
  <conditionalFormatting sqref="J41">
    <cfRule type="containsText" dxfId="1" priority="93" operator="between" text="/">
      <formula>NOT(ISERROR(SEARCH("/",J41)))</formula>
    </cfRule>
  </conditionalFormatting>
  <conditionalFormatting sqref="I48:J48">
    <cfRule type="containsText" dxfId="0" priority="74" operator="between" text="待">
      <formula>NOT(ISERROR(SEARCH("待",I48)))</formula>
    </cfRule>
  </conditionalFormatting>
  <conditionalFormatting sqref="J48">
    <cfRule type="containsText" dxfId="1" priority="75" operator="between" text="/">
      <formula>NOT(ISERROR(SEARCH("/",J48)))</formula>
    </cfRule>
  </conditionalFormatting>
  <conditionalFormatting sqref="I49:J49">
    <cfRule type="containsText" dxfId="0" priority="82" operator="between" text="待">
      <formula>NOT(ISERROR(SEARCH("待",I49)))</formula>
    </cfRule>
  </conditionalFormatting>
  <conditionalFormatting sqref="J49">
    <cfRule type="containsText" dxfId="1" priority="83" operator="between" text="/">
      <formula>NOT(ISERROR(SEARCH("/",J49)))</formula>
    </cfRule>
  </conditionalFormatting>
  <conditionalFormatting sqref="I50:J50">
    <cfRule type="containsText" dxfId="0" priority="80" operator="between" text="待">
      <formula>NOT(ISERROR(SEARCH("待",I50)))</formula>
    </cfRule>
  </conditionalFormatting>
  <conditionalFormatting sqref="J50">
    <cfRule type="containsText" dxfId="1" priority="81" operator="between" text="/">
      <formula>NOT(ISERROR(SEARCH("/",J50)))</formula>
    </cfRule>
  </conditionalFormatting>
  <conditionalFormatting sqref="I51:J51">
    <cfRule type="containsText" dxfId="0" priority="78" operator="between" text="待">
      <formula>NOT(ISERROR(SEARCH("待",I51)))</formula>
    </cfRule>
  </conditionalFormatting>
  <conditionalFormatting sqref="J51">
    <cfRule type="containsText" dxfId="1" priority="79" operator="between" text="/">
      <formula>NOT(ISERROR(SEARCH("/",J51)))</formula>
    </cfRule>
  </conditionalFormatting>
  <conditionalFormatting sqref="I52:J52">
    <cfRule type="containsText" dxfId="0" priority="76" operator="between" text="待">
      <formula>NOT(ISERROR(SEARCH("待",I52)))</formula>
    </cfRule>
  </conditionalFormatting>
  <conditionalFormatting sqref="J52">
    <cfRule type="containsText" dxfId="1" priority="77" operator="between" text="/">
      <formula>NOT(ISERROR(SEARCH("/",J52)))</formula>
    </cfRule>
  </conditionalFormatting>
  <conditionalFormatting sqref="I53:J53">
    <cfRule type="containsText" dxfId="0" priority="72" operator="between" text="待">
      <formula>NOT(ISERROR(SEARCH("待",I53)))</formula>
    </cfRule>
  </conditionalFormatting>
  <conditionalFormatting sqref="J53">
    <cfRule type="containsText" dxfId="1" priority="73" operator="between" text="/">
      <formula>NOT(ISERROR(SEARCH("/",J53)))</formula>
    </cfRule>
  </conditionalFormatting>
  <conditionalFormatting sqref="I54:J54">
    <cfRule type="containsText" dxfId="0" priority="70" operator="between" text="待">
      <formula>NOT(ISERROR(SEARCH("待",I54)))</formula>
    </cfRule>
  </conditionalFormatting>
  <conditionalFormatting sqref="J54">
    <cfRule type="containsText" dxfId="1" priority="71" operator="between" text="/">
      <formula>NOT(ISERROR(SEARCH("/",J54)))</formula>
    </cfRule>
  </conditionalFormatting>
  <conditionalFormatting sqref="I55:J55">
    <cfRule type="containsText" dxfId="0" priority="68" operator="between" text="待">
      <formula>NOT(ISERROR(SEARCH("待",I55)))</formula>
    </cfRule>
  </conditionalFormatting>
  <conditionalFormatting sqref="J55">
    <cfRule type="containsText" dxfId="1" priority="69" operator="between" text="/">
      <formula>NOT(ISERROR(SEARCH("/",J55)))</formula>
    </cfRule>
  </conditionalFormatting>
  <conditionalFormatting sqref="I60:J60">
    <cfRule type="containsText" dxfId="0" priority="33" operator="between" text="待">
      <formula>NOT(ISERROR(SEARCH("待",I60)))</formula>
    </cfRule>
  </conditionalFormatting>
  <conditionalFormatting sqref="J60">
    <cfRule type="containsText" dxfId="1" priority="34" operator="between" text="/">
      <formula>NOT(ISERROR(SEARCH("/",J60)))</formula>
    </cfRule>
  </conditionalFormatting>
  <conditionalFormatting sqref="K60">
    <cfRule type="containsText" dxfId="0" priority="64" operator="between" text="待">
      <formula>NOT(ISERROR(SEARCH("待",K60)))</formula>
    </cfRule>
  </conditionalFormatting>
  <conditionalFormatting sqref="L60">
    <cfRule type="containsText" dxfId="0" priority="67" operator="between" text="待提单">
      <formula>NOT(ISERROR(SEARCH("待提单",L60)))</formula>
    </cfRule>
    <cfRule type="containsText" dxfId="0" priority="66" operator="between" text="待附件">
      <formula>NOT(ISERROR(SEARCH("待附件",L60)))</formula>
    </cfRule>
  </conditionalFormatting>
  <conditionalFormatting sqref="J61">
    <cfRule type="containsText" dxfId="1" priority="62" operator="between" text="/">
      <formula>NOT(ISERROR(SEARCH("/",J61)))</formula>
    </cfRule>
  </conditionalFormatting>
  <conditionalFormatting sqref="J64">
    <cfRule type="containsText" dxfId="1" priority="51" operator="between" text="/">
      <formula>NOT(ISERROR(SEARCH("/",J64)))</formula>
    </cfRule>
  </conditionalFormatting>
  <conditionalFormatting sqref="I65:K65">
    <cfRule type="containsText" dxfId="0" priority="45" operator="between" text="待">
      <formula>NOT(ISERROR(SEARCH("待",I65)))</formula>
    </cfRule>
  </conditionalFormatting>
  <conditionalFormatting sqref="J65">
    <cfRule type="containsText" dxfId="1" priority="46" operator="between" text="/">
      <formula>NOT(ISERROR(SEARCH("/",J65)))</formula>
    </cfRule>
  </conditionalFormatting>
  <conditionalFormatting sqref="L65">
    <cfRule type="containsText" dxfId="0" priority="20" operator="between" text="待提单">
      <formula>NOT(ISERROR(SEARCH("待提单",L65)))</formula>
    </cfRule>
    <cfRule type="containsText" dxfId="0" priority="19" operator="between" text="待附件">
      <formula>NOT(ISERROR(SEARCH("待附件",L65)))</formula>
    </cfRule>
  </conditionalFormatting>
  <conditionalFormatting sqref="J66">
    <cfRule type="containsText" dxfId="1" priority="53" operator="between" text="/">
      <formula>NOT(ISERROR(SEARCH("/",J66)))</formula>
    </cfRule>
  </conditionalFormatting>
  <conditionalFormatting sqref="J67">
    <cfRule type="containsText" dxfId="1" priority="52" operator="between" text="/">
      <formula>NOT(ISERROR(SEARCH("/",J67)))</formula>
    </cfRule>
  </conditionalFormatting>
  <conditionalFormatting sqref="I68:K68">
    <cfRule type="containsText" dxfId="0" priority="49" operator="between" text="待">
      <formula>NOT(ISERROR(SEARCH("待",I68)))</formula>
    </cfRule>
  </conditionalFormatting>
  <conditionalFormatting sqref="J68">
    <cfRule type="containsText" dxfId="1" priority="50" operator="between" text="/">
      <formula>NOT(ISERROR(SEARCH("/",J68)))</formula>
    </cfRule>
  </conditionalFormatting>
  <conditionalFormatting sqref="L68">
    <cfRule type="containsText" dxfId="0" priority="22" operator="between" text="待提单">
      <formula>NOT(ISERROR(SEARCH("待提单",L68)))</formula>
    </cfRule>
    <cfRule type="containsText" dxfId="0" priority="21" operator="between" text="待附件">
      <formula>NOT(ISERROR(SEARCH("待附件",L68)))</formula>
    </cfRule>
  </conditionalFormatting>
  <conditionalFormatting sqref="J69">
    <cfRule type="containsText" dxfId="1" priority="57" operator="between" text="/">
      <formula>NOT(ISERROR(SEARCH("/",J69)))</formula>
    </cfRule>
  </conditionalFormatting>
  <conditionalFormatting sqref="J70">
    <cfRule type="containsText" dxfId="1" priority="56" operator="between" text="/">
      <formula>NOT(ISERROR(SEARCH("/",J70)))</formula>
    </cfRule>
  </conditionalFormatting>
  <conditionalFormatting sqref="J71">
    <cfRule type="containsText" dxfId="1" priority="55" operator="between" text="/">
      <formula>NOT(ISERROR(SEARCH("/",J71)))</formula>
    </cfRule>
  </conditionalFormatting>
  <conditionalFormatting sqref="J72">
    <cfRule type="containsText" dxfId="1" priority="54" operator="between" text="/">
      <formula>NOT(ISERROR(SEARCH("/",J72)))</formula>
    </cfRule>
  </conditionalFormatting>
  <conditionalFormatting sqref="I73:K73">
    <cfRule type="containsText" dxfId="0" priority="58" operator="between" text="待">
      <formula>NOT(ISERROR(SEARCH("待",I73)))</formula>
    </cfRule>
  </conditionalFormatting>
  <conditionalFormatting sqref="J73">
    <cfRule type="containsText" dxfId="1" priority="59" operator="between" text="/">
      <formula>NOT(ISERROR(SEARCH("/",J73)))</formula>
    </cfRule>
  </conditionalFormatting>
  <conditionalFormatting sqref="L73">
    <cfRule type="containsText" dxfId="0" priority="61" operator="between" text="待提单">
      <formula>NOT(ISERROR(SEARCH("待提单",L73)))</formula>
    </cfRule>
    <cfRule type="containsText" dxfId="0" priority="60" operator="between" text="待附件">
      <formula>NOT(ISERROR(SEARCH("待附件",L73)))</formula>
    </cfRule>
  </conditionalFormatting>
  <conditionalFormatting sqref="J74">
    <cfRule type="containsText" dxfId="1" priority="42" operator="between" text="/">
      <formula>NOT(ISERROR(SEARCH("/",J74)))</formula>
    </cfRule>
  </conditionalFormatting>
  <conditionalFormatting sqref="J75">
    <cfRule type="containsText" dxfId="1" priority="41" operator="between" text="/">
      <formula>NOT(ISERROR(SEARCH("/",J75)))</formula>
    </cfRule>
  </conditionalFormatting>
  <conditionalFormatting sqref="J76">
    <cfRule type="containsText" dxfId="1" priority="37" operator="between" text="/">
      <formula>NOT(ISERROR(SEARCH("/",J76)))</formula>
    </cfRule>
  </conditionalFormatting>
  <conditionalFormatting sqref="J77">
    <cfRule type="containsText" dxfId="1" priority="39" operator="between" text="/">
      <formula>NOT(ISERROR(SEARCH("/",J77)))</formula>
    </cfRule>
  </conditionalFormatting>
  <conditionalFormatting sqref="J78">
    <cfRule type="containsText" dxfId="1" priority="38" operator="between" text="/">
      <formula>NOT(ISERROR(SEARCH("/",J78)))</formula>
    </cfRule>
  </conditionalFormatting>
  <conditionalFormatting sqref="J79">
    <cfRule type="containsText" dxfId="1" priority="29" operator="between" text="/">
      <formula>NOT(ISERROR(SEARCH("/",J79)))</formula>
    </cfRule>
  </conditionalFormatting>
  <conditionalFormatting sqref="J80">
    <cfRule type="containsText" dxfId="1" priority="28" operator="between" text="/">
      <formula>NOT(ISERROR(SEARCH("/",J80)))</formula>
    </cfRule>
  </conditionalFormatting>
  <conditionalFormatting sqref="I81:J81">
    <cfRule type="containsText" dxfId="0" priority="26" operator="between" text="待">
      <formula>NOT(ISERROR(SEARCH("待",I81)))</formula>
    </cfRule>
  </conditionalFormatting>
  <conditionalFormatting sqref="J81">
    <cfRule type="containsText" dxfId="1" priority="27" operator="between" text="/">
      <formula>NOT(ISERROR(SEARCH("/",J81)))</formula>
    </cfRule>
  </conditionalFormatting>
  <conditionalFormatting sqref="J82">
    <cfRule type="containsText" dxfId="1" priority="23" operator="between" text="/">
      <formula>NOT(ISERROR(SEARCH("/",J82)))</formula>
    </cfRule>
  </conditionalFormatting>
  <conditionalFormatting sqref="J83">
    <cfRule type="containsText" dxfId="1" priority="25" operator="between" text="/">
      <formula>NOT(ISERROR(SEARCH("/",J83)))</formula>
    </cfRule>
  </conditionalFormatting>
  <conditionalFormatting sqref="J84">
    <cfRule type="containsText" dxfId="1" priority="24" operator="between" text="/">
      <formula>NOT(ISERROR(SEARCH("/",J84)))</formula>
    </cfRule>
  </conditionalFormatting>
  <conditionalFormatting sqref="J90">
    <cfRule type="containsText" dxfId="1" priority="17" operator="between" text="/">
      <formula>NOT(ISERROR(SEARCH("/",J90)))</formula>
    </cfRule>
  </conditionalFormatting>
  <conditionalFormatting sqref="J94">
    <cfRule type="containsText" dxfId="1" priority="8" operator="between" text="/">
      <formula>NOT(ISERROR(SEARCH("/",J94)))</formula>
    </cfRule>
  </conditionalFormatting>
  <conditionalFormatting sqref="J95">
    <cfRule type="containsText" dxfId="1" priority="7" operator="between" text="/">
      <formula>NOT(ISERROR(SEARCH("/",J95)))</formula>
    </cfRule>
  </conditionalFormatting>
  <conditionalFormatting sqref="J96">
    <cfRule type="containsText" dxfId="1" priority="6" operator="between" text="/">
      <formula>NOT(ISERROR(SEARCH("/",J96)))</formula>
    </cfRule>
  </conditionalFormatting>
  <conditionalFormatting sqref="J97">
    <cfRule type="containsText" dxfId="1" priority="12" operator="between" text="/">
      <formula>NOT(ISERROR(SEARCH("/",J97)))</formula>
    </cfRule>
  </conditionalFormatting>
  <conditionalFormatting sqref="J98">
    <cfRule type="containsText" dxfId="1" priority="11" operator="between" text="/">
      <formula>NOT(ISERROR(SEARCH("/",J98)))</formula>
    </cfRule>
  </conditionalFormatting>
  <conditionalFormatting sqref="J99">
    <cfRule type="containsText" dxfId="1" priority="10" operator="between" text="/">
      <formula>NOT(ISERROR(SEARCH("/",J99)))</formula>
    </cfRule>
  </conditionalFormatting>
  <conditionalFormatting sqref="J100">
    <cfRule type="containsText" dxfId="1" priority="9" operator="between" text="/">
      <formula>NOT(ISERROR(SEARCH("/",J100)))</formula>
    </cfRule>
  </conditionalFormatting>
  <conditionalFormatting sqref="J101">
    <cfRule type="containsText" dxfId="1" priority="3" operator="between" text="/">
      <formula>NOT(ISERROR(SEARCH("/",J101)))</formula>
    </cfRule>
  </conditionalFormatting>
  <conditionalFormatting sqref="J102">
    <cfRule type="containsText" dxfId="1" priority="2" operator="between" text="/">
      <formula>NOT(ISERROR(SEARCH("/",J102)))</formula>
    </cfRule>
  </conditionalFormatting>
  <conditionalFormatting sqref="I128:J128">
    <cfRule type="containsText" dxfId="0" priority="204" operator="between" text="待">
      <formula>NOT(ISERROR(SEARCH("待",I128)))</formula>
    </cfRule>
  </conditionalFormatting>
  <conditionalFormatting sqref="I37:I39">
    <cfRule type="containsText" dxfId="0" priority="89" operator="between" text="待">
      <formula>NOT(ISERROR(SEARCH("待",I37)))</formula>
    </cfRule>
  </conditionalFormatting>
  <conditionalFormatting sqref="J62:J63">
    <cfRule type="containsText" dxfId="1" priority="63" operator="between" text="/">
      <formula>NOT(ISERROR(SEARCH("/",J62)))</formula>
    </cfRule>
  </conditionalFormatting>
  <conditionalFormatting sqref="J91:J93">
    <cfRule type="containsText" dxfId="1" priority="18" operator="between" text="/">
      <formula>NOT(ISERROR(SEARCH("/",J91)))</formula>
    </cfRule>
  </conditionalFormatting>
  <conditionalFormatting sqref="I1:I2 I130:I1048576 I124:I127">
    <cfRule type="containsText" dxfId="0" priority="459" operator="between" text="待">
      <formula>NOT(ISERROR(SEARCH("待",I1)))</formula>
    </cfRule>
  </conditionalFormatting>
  <conditionalFormatting sqref="K1:L1 K52:L53 K124:L1048576">
    <cfRule type="containsText" dxfId="0" priority="1058" operator="between" text="待附件">
      <formula>NOT(ISERROR(SEARCH("待附件",K1)))</formula>
    </cfRule>
    <cfRule type="containsText" dxfId="0" priority="1059" operator="between" text="待提单">
      <formula>NOT(ISERROR(SEARCH("待提单",K1)))</formula>
    </cfRule>
  </conditionalFormatting>
  <conditionalFormatting sqref="I11:K11 K33 K28 K22 K12:K16 J32:K32 K48:K51 I42:K47 K40:K41 J37:K39 K36 I34:K35 I29:K31 I26:K27 I23:K24 I17:K21">
    <cfRule type="containsText" dxfId="0" priority="217" operator="between" text="待">
      <formula>NOT(ISERROR(SEARCH("待",I11)))</formula>
    </cfRule>
  </conditionalFormatting>
  <conditionalFormatting sqref="J11 J42:J47 J37:J39 J34:J35 J29:J32 J26:J27 J23:J24 J17:J21">
    <cfRule type="containsText" dxfId="1" priority="219" operator="between" text="/">
      <formula>NOT(ISERROR(SEARCH("/",J11)))</formula>
    </cfRule>
  </conditionalFormatting>
  <conditionalFormatting sqref="L11:L24 L30:L51 L26:L28">
    <cfRule type="containsText" dxfId="0" priority="222" operator="between" text="待附件">
      <formula>NOT(ISERROR(SEARCH("待附件",L11)))</formula>
    </cfRule>
    <cfRule type="containsText" dxfId="0" priority="223" operator="between" text="待提单">
      <formula>NOT(ISERROR(SEARCH("待提单",L11)))</formula>
    </cfRule>
  </conditionalFormatting>
  <conditionalFormatting sqref="K54:K55 I56:K59 I61:K64 I66:K67 I69:K72 K74:K75 I76:K78 K79:K123 I82:J100 I103:J123">
    <cfRule type="containsText" dxfId="0" priority="205" operator="between" text="待">
      <formula>NOT(ISERROR(SEARCH("待",I54)))</formula>
    </cfRule>
  </conditionalFormatting>
  <conditionalFormatting sqref="L54:L59 L61:L64 L66:L67 L69:L72 L74:L123">
    <cfRule type="containsText" dxfId="0" priority="207" operator="between" text="待附件">
      <formula>NOT(ISERROR(SEARCH("待附件",L54)))</formula>
    </cfRule>
    <cfRule type="containsText" dxfId="0" priority="208" operator="between" text="待提单">
      <formula>NOT(ISERROR(SEARCH("待提单",L54)))</formula>
    </cfRule>
  </conditionalFormatting>
  <conditionalFormatting sqref="J56:J59 J85:J89 J103:J123">
    <cfRule type="containsText" dxfId="1" priority="206" operator="between" text="/">
      <formula>NOT(ISERROR(SEARCH("/",J56)))</formula>
    </cfRule>
  </conditionalFormatting>
  <conditionalFormatting sqref="I74:J75">
    <cfRule type="containsText" dxfId="0" priority="40" operator="between" text="待">
      <formula>NOT(ISERROR(SEARCH("待",I74)))</formula>
    </cfRule>
  </conditionalFormatting>
  <conditionalFormatting sqref="I79:J80">
    <cfRule type="containsText" dxfId="0" priority="30" operator="between" text="待">
      <formula>NOT(ISERROR(SEARCH("待",I79)))</formula>
    </cfRule>
  </conditionalFormatting>
  <conditionalFormatting sqref="I101:J102">
    <cfRule type="containsText" dxfId="0" priority="1" operator="between" text="待">
      <formula>NOT(ISERROR(SEARCH("待",I101)))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zoomScale="84" zoomScaleNormal="84" workbookViewId="0">
      <pane xSplit="2" ySplit="2" topLeftCell="C57" activePane="bottomRight" state="frozen"/>
      <selection/>
      <selection pane="topRight"/>
      <selection pane="bottomLeft"/>
      <selection pane="bottomRight" activeCell="K84" sqref="K84"/>
    </sheetView>
  </sheetViews>
  <sheetFormatPr defaultColWidth="9" defaultRowHeight="14" customHeight="1"/>
  <cols>
    <col min="1" max="1" width="12.5714285714286" style="19" customWidth="1"/>
    <col min="2" max="2" width="3.28571428571429" style="19" customWidth="1"/>
    <col min="3" max="3" width="26.1428571428571" style="19" customWidth="1"/>
    <col min="4" max="4" width="23.1428571428571" style="19" customWidth="1"/>
    <col min="5" max="5" width="18.2857142857143" style="19" customWidth="1"/>
    <col min="6" max="6" width="12.8571428571429" style="19" customWidth="1"/>
    <col min="7" max="7" width="12.5714285714286" style="19" customWidth="1"/>
    <col min="8" max="8" width="30" style="19" customWidth="1"/>
    <col min="9" max="9" width="11" style="19" customWidth="1"/>
    <col min="10" max="10" width="35.8571428571429" style="19" customWidth="1"/>
    <col min="11" max="11" width="13" style="116" customWidth="1"/>
    <col min="12" max="12" width="13.1428571428571" style="116" customWidth="1"/>
    <col min="13" max="13" width="17.5714285714286" style="116" customWidth="1"/>
    <col min="14" max="14" width="17.4285714285714" style="19" customWidth="1"/>
    <col min="15" max="16384" width="9" style="19" customWidth="1"/>
  </cols>
  <sheetData>
    <row r="1" ht="16.8" customHeight="1" spans="1:12">
      <c r="A1" s="47" t="s">
        <v>387</v>
      </c>
      <c r="B1" s="48"/>
      <c r="C1" s="48"/>
      <c r="D1" s="48"/>
      <c r="E1" s="48"/>
      <c r="F1" s="48"/>
      <c r="G1" s="48"/>
      <c r="H1" s="49"/>
      <c r="I1" s="36"/>
      <c r="J1" s="36"/>
      <c r="K1" s="118"/>
      <c r="L1" s="118"/>
    </row>
    <row r="2" ht="17.75" customHeight="1" spans="1:14">
      <c r="A2" s="117" t="s">
        <v>1</v>
      </c>
      <c r="B2" s="117"/>
      <c r="C2" s="117" t="s">
        <v>2</v>
      </c>
      <c r="D2" s="117" t="s">
        <v>3</v>
      </c>
      <c r="E2" s="117" t="s">
        <v>4</v>
      </c>
      <c r="F2" s="117" t="s">
        <v>5</v>
      </c>
      <c r="G2" s="117" t="s">
        <v>6</v>
      </c>
      <c r="H2" s="117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</row>
    <row r="3" s="1" customFormat="1" ht="17.75" customHeight="1" spans="1:14">
      <c r="A3" s="6" t="s">
        <v>14</v>
      </c>
      <c r="B3" s="7"/>
      <c r="C3" s="8" t="s">
        <v>15</v>
      </c>
      <c r="D3" s="6" t="s">
        <v>388</v>
      </c>
      <c r="E3" s="6" t="s">
        <v>20</v>
      </c>
      <c r="F3" s="9">
        <v>66.19</v>
      </c>
      <c r="G3" s="10" t="s">
        <v>20</v>
      </c>
      <c r="H3" s="11" t="s">
        <v>389</v>
      </c>
      <c r="I3" s="16" t="s">
        <v>38</v>
      </c>
      <c r="J3" s="16" t="s">
        <v>39</v>
      </c>
      <c r="K3" s="17" t="s">
        <v>20</v>
      </c>
      <c r="L3" s="17" t="s">
        <v>21</v>
      </c>
      <c r="M3" s="18">
        <v>45875</v>
      </c>
      <c r="N3" s="18" t="s">
        <v>20</v>
      </c>
    </row>
    <row r="4" s="1" customFormat="1" ht="17.75" customHeight="1" spans="1:14">
      <c r="A4" s="6" t="s">
        <v>14</v>
      </c>
      <c r="B4" s="7"/>
      <c r="C4" s="8" t="s">
        <v>58</v>
      </c>
      <c r="D4" s="6" t="s">
        <v>20</v>
      </c>
      <c r="E4" s="6" t="s">
        <v>20</v>
      </c>
      <c r="F4" s="9" t="s">
        <v>20</v>
      </c>
      <c r="G4" s="10">
        <v>2177.5</v>
      </c>
      <c r="H4" s="11" t="s">
        <v>390</v>
      </c>
      <c r="I4" s="16" t="s">
        <v>31</v>
      </c>
      <c r="J4" s="16" t="s">
        <v>62</v>
      </c>
      <c r="K4" s="17" t="s">
        <v>20</v>
      </c>
      <c r="L4" s="17" t="s">
        <v>20</v>
      </c>
      <c r="M4" s="18" t="s">
        <v>20</v>
      </c>
      <c r="N4" s="18" t="s">
        <v>20</v>
      </c>
    </row>
    <row r="5" s="1" customFormat="1" ht="17.75" customHeight="1" spans="1:14">
      <c r="A5" s="6" t="s">
        <v>14</v>
      </c>
      <c r="B5" s="7"/>
      <c r="C5" s="8" t="s">
        <v>28</v>
      </c>
      <c r="D5" s="6" t="s">
        <v>391</v>
      </c>
      <c r="E5" s="6" t="s">
        <v>20</v>
      </c>
      <c r="F5" s="9" t="s">
        <v>20</v>
      </c>
      <c r="G5" s="10">
        <v>815.45</v>
      </c>
      <c r="H5" s="11" t="s">
        <v>30</v>
      </c>
      <c r="I5" s="16" t="s">
        <v>31</v>
      </c>
      <c r="J5" s="16" t="s">
        <v>32</v>
      </c>
      <c r="K5" s="17" t="s">
        <v>20</v>
      </c>
      <c r="L5" s="17" t="s">
        <v>20</v>
      </c>
      <c r="M5" s="18" t="s">
        <v>20</v>
      </c>
      <c r="N5" s="18" t="s">
        <v>20</v>
      </c>
    </row>
    <row r="6" s="1" customFormat="1" ht="17.75" customHeight="1" spans="1:14">
      <c r="A6" s="6" t="s">
        <v>14</v>
      </c>
      <c r="B6" s="7"/>
      <c r="C6" s="8" t="s">
        <v>28</v>
      </c>
      <c r="D6" s="6" t="s">
        <v>392</v>
      </c>
      <c r="E6" s="6" t="s">
        <v>20</v>
      </c>
      <c r="F6" s="9" t="s">
        <v>20</v>
      </c>
      <c r="G6" s="10">
        <v>27771.03</v>
      </c>
      <c r="H6" s="11" t="s">
        <v>393</v>
      </c>
      <c r="I6" s="16" t="s">
        <v>31</v>
      </c>
      <c r="J6" s="16" t="s">
        <v>35</v>
      </c>
      <c r="K6" s="17" t="s">
        <v>20</v>
      </c>
      <c r="L6" s="17" t="s">
        <v>20</v>
      </c>
      <c r="M6" s="18" t="s">
        <v>20</v>
      </c>
      <c r="N6" s="18" t="s">
        <v>20</v>
      </c>
    </row>
    <row r="7" s="1" customFormat="1" ht="17.75" customHeight="1" spans="1:14">
      <c r="A7" s="6" t="s">
        <v>14</v>
      </c>
      <c r="B7" s="7"/>
      <c r="C7" s="8" t="s">
        <v>15</v>
      </c>
      <c r="D7" s="6" t="s">
        <v>392</v>
      </c>
      <c r="E7" s="6" t="s">
        <v>20</v>
      </c>
      <c r="F7" s="9">
        <v>11293.89</v>
      </c>
      <c r="G7" s="10" t="s">
        <v>20</v>
      </c>
      <c r="H7" s="11" t="s">
        <v>394</v>
      </c>
      <c r="I7" s="16" t="s">
        <v>38</v>
      </c>
      <c r="J7" s="16" t="s">
        <v>48</v>
      </c>
      <c r="K7" s="17" t="s">
        <v>20</v>
      </c>
      <c r="L7" s="17" t="s">
        <v>106</v>
      </c>
      <c r="M7" s="18">
        <v>45875</v>
      </c>
      <c r="N7" s="18" t="s">
        <v>20</v>
      </c>
    </row>
    <row r="8" s="1" customFormat="1" ht="17.75" customHeight="1" spans="1:14">
      <c r="A8" s="6" t="s">
        <v>69</v>
      </c>
      <c r="B8" s="7"/>
      <c r="C8" s="8" t="s">
        <v>58</v>
      </c>
      <c r="D8" s="6" t="s">
        <v>20</v>
      </c>
      <c r="E8" s="6" t="s">
        <v>20</v>
      </c>
      <c r="F8" s="9" t="s">
        <v>20</v>
      </c>
      <c r="G8" s="10">
        <v>1773.75</v>
      </c>
      <c r="H8" s="11" t="s">
        <v>395</v>
      </c>
      <c r="I8" s="16" t="s">
        <v>31</v>
      </c>
      <c r="J8" s="16" t="s">
        <v>62</v>
      </c>
      <c r="K8" s="17" t="s">
        <v>20</v>
      </c>
      <c r="L8" s="17" t="s">
        <v>20</v>
      </c>
      <c r="M8" s="18" t="s">
        <v>20</v>
      </c>
      <c r="N8" s="18" t="s">
        <v>20</v>
      </c>
    </row>
    <row r="9" s="1" customFormat="1" ht="17.75" customHeight="1" spans="1:14">
      <c r="A9" s="6" t="s">
        <v>69</v>
      </c>
      <c r="B9" s="7"/>
      <c r="C9" s="8" t="s">
        <v>58</v>
      </c>
      <c r="D9" s="6" t="s">
        <v>20</v>
      </c>
      <c r="E9" s="6" t="s">
        <v>20</v>
      </c>
      <c r="F9" s="9" t="s">
        <v>20</v>
      </c>
      <c r="G9" s="10">
        <v>3877.9</v>
      </c>
      <c r="H9" s="11" t="s">
        <v>395</v>
      </c>
      <c r="I9" s="16" t="s">
        <v>31</v>
      </c>
      <c r="J9" s="16" t="s">
        <v>62</v>
      </c>
      <c r="K9" s="17" t="s">
        <v>20</v>
      </c>
      <c r="L9" s="17" t="s">
        <v>20</v>
      </c>
      <c r="M9" s="18" t="s">
        <v>20</v>
      </c>
      <c r="N9" s="18" t="s">
        <v>20</v>
      </c>
    </row>
    <row r="10" s="1" customFormat="1" ht="17.75" customHeight="1" spans="1:14">
      <c r="A10" s="6" t="s">
        <v>69</v>
      </c>
      <c r="B10" s="7"/>
      <c r="C10" s="8" t="s">
        <v>58</v>
      </c>
      <c r="D10" s="6" t="s">
        <v>20</v>
      </c>
      <c r="E10" s="6" t="s">
        <v>20</v>
      </c>
      <c r="F10" s="9" t="s">
        <v>20</v>
      </c>
      <c r="G10" s="10">
        <v>6127</v>
      </c>
      <c r="H10" s="11" t="s">
        <v>390</v>
      </c>
      <c r="I10" s="16" t="s">
        <v>31</v>
      </c>
      <c r="J10" s="16" t="s">
        <v>62</v>
      </c>
      <c r="K10" s="17" t="s">
        <v>20</v>
      </c>
      <c r="L10" s="17" t="s">
        <v>20</v>
      </c>
      <c r="M10" s="18" t="s">
        <v>20</v>
      </c>
      <c r="N10" s="18" t="s">
        <v>20</v>
      </c>
    </row>
    <row r="11" s="1" customFormat="1" ht="17.75" customHeight="1" spans="1:14">
      <c r="A11" s="6" t="s">
        <v>69</v>
      </c>
      <c r="B11" s="7"/>
      <c r="C11" s="8" t="s">
        <v>28</v>
      </c>
      <c r="D11" s="6" t="s">
        <v>20</v>
      </c>
      <c r="E11" s="6" t="s">
        <v>20</v>
      </c>
      <c r="F11" s="9" t="s">
        <v>20</v>
      </c>
      <c r="G11" s="10">
        <v>5062.96</v>
      </c>
      <c r="H11" s="11" t="s">
        <v>80</v>
      </c>
      <c r="I11" s="15" t="s">
        <v>31</v>
      </c>
      <c r="J11" s="16" t="s">
        <v>81</v>
      </c>
      <c r="K11" s="17" t="s">
        <v>20</v>
      </c>
      <c r="L11" s="17" t="s">
        <v>20</v>
      </c>
      <c r="M11" s="18" t="s">
        <v>20</v>
      </c>
      <c r="N11" s="18" t="s">
        <v>20</v>
      </c>
    </row>
    <row r="12" s="1" customFormat="1" ht="17.75" customHeight="1" spans="1:14">
      <c r="A12" s="6" t="s">
        <v>69</v>
      </c>
      <c r="B12" s="7"/>
      <c r="C12" s="8" t="s">
        <v>63</v>
      </c>
      <c r="D12" s="6" t="s">
        <v>20</v>
      </c>
      <c r="E12" s="6" t="s">
        <v>20</v>
      </c>
      <c r="F12" s="9">
        <v>400000</v>
      </c>
      <c r="G12" s="10" t="s">
        <v>20</v>
      </c>
      <c r="H12" s="11" t="s">
        <v>229</v>
      </c>
      <c r="I12" s="15" t="s">
        <v>65</v>
      </c>
      <c r="J12" s="16" t="s">
        <v>66</v>
      </c>
      <c r="K12" s="17" t="s">
        <v>20</v>
      </c>
      <c r="L12" s="17" t="s">
        <v>20</v>
      </c>
      <c r="M12" s="18" t="s">
        <v>20</v>
      </c>
      <c r="N12" s="18" t="s">
        <v>20</v>
      </c>
    </row>
    <row r="13" s="1" customFormat="1" ht="17.75" customHeight="1" spans="1:14">
      <c r="A13" s="6" t="s">
        <v>69</v>
      </c>
      <c r="B13" s="7"/>
      <c r="C13" s="8" t="s">
        <v>58</v>
      </c>
      <c r="D13" s="6" t="s">
        <v>20</v>
      </c>
      <c r="E13" s="6" t="s">
        <v>20</v>
      </c>
      <c r="F13" s="9" t="s">
        <v>20</v>
      </c>
      <c r="G13" s="10">
        <v>2654.7</v>
      </c>
      <c r="H13" s="11" t="s">
        <v>390</v>
      </c>
      <c r="I13" s="16" t="s">
        <v>31</v>
      </c>
      <c r="J13" s="16" t="s">
        <v>62</v>
      </c>
      <c r="K13" s="17" t="s">
        <v>20</v>
      </c>
      <c r="L13" s="17" t="s">
        <v>20</v>
      </c>
      <c r="M13" s="18" t="s">
        <v>20</v>
      </c>
      <c r="N13" s="18" t="s">
        <v>20</v>
      </c>
    </row>
    <row r="14" s="1" customFormat="1" ht="17.75" customHeight="1" spans="1:14">
      <c r="A14" s="6" t="s">
        <v>69</v>
      </c>
      <c r="B14" s="7"/>
      <c r="C14" s="8" t="s">
        <v>28</v>
      </c>
      <c r="D14" s="6" t="s">
        <v>20</v>
      </c>
      <c r="E14" s="6" t="s">
        <v>20</v>
      </c>
      <c r="F14" s="9" t="s">
        <v>20</v>
      </c>
      <c r="G14" s="10">
        <v>1128.66</v>
      </c>
      <c r="H14" s="11" t="s">
        <v>30</v>
      </c>
      <c r="I14" s="15" t="s">
        <v>31</v>
      </c>
      <c r="J14" s="16" t="s">
        <v>32</v>
      </c>
      <c r="K14" s="17" t="s">
        <v>20</v>
      </c>
      <c r="L14" s="17" t="s">
        <v>20</v>
      </c>
      <c r="M14" s="18" t="s">
        <v>20</v>
      </c>
      <c r="N14" s="18" t="s">
        <v>20</v>
      </c>
    </row>
    <row r="15" s="1" customFormat="1" ht="17.75" customHeight="1" spans="1:14">
      <c r="A15" s="6" t="s">
        <v>69</v>
      </c>
      <c r="B15" s="7"/>
      <c r="C15" s="8" t="s">
        <v>28</v>
      </c>
      <c r="D15" s="6" t="s">
        <v>20</v>
      </c>
      <c r="E15" s="6" t="s">
        <v>20</v>
      </c>
      <c r="F15" s="9" t="s">
        <v>20</v>
      </c>
      <c r="G15" s="10">
        <v>1587.57</v>
      </c>
      <c r="H15" s="11" t="s">
        <v>30</v>
      </c>
      <c r="I15" s="15" t="s">
        <v>31</v>
      </c>
      <c r="J15" s="16" t="s">
        <v>32</v>
      </c>
      <c r="K15" s="17" t="s">
        <v>20</v>
      </c>
      <c r="L15" s="17" t="s">
        <v>20</v>
      </c>
      <c r="M15" s="18" t="s">
        <v>20</v>
      </c>
      <c r="N15" s="18" t="s">
        <v>20</v>
      </c>
    </row>
    <row r="16" s="1" customFormat="1" ht="17.75" customHeight="1" spans="1:14">
      <c r="A16" s="6" t="s">
        <v>69</v>
      </c>
      <c r="B16" s="7"/>
      <c r="C16" s="8" t="s">
        <v>28</v>
      </c>
      <c r="D16" s="6" t="s">
        <v>20</v>
      </c>
      <c r="E16" s="6" t="s">
        <v>20</v>
      </c>
      <c r="F16" s="9" t="s">
        <v>20</v>
      </c>
      <c r="G16" s="10">
        <v>1039.23</v>
      </c>
      <c r="H16" s="11" t="s">
        <v>30</v>
      </c>
      <c r="I16" s="15" t="s">
        <v>31</v>
      </c>
      <c r="J16" s="16" t="s">
        <v>32</v>
      </c>
      <c r="K16" s="17" t="s">
        <v>20</v>
      </c>
      <c r="L16" s="17" t="s">
        <v>20</v>
      </c>
      <c r="M16" s="18" t="s">
        <v>20</v>
      </c>
      <c r="N16" s="18" t="s">
        <v>20</v>
      </c>
    </row>
    <row r="17" s="1" customFormat="1" ht="17.75" customHeight="1" spans="1:14">
      <c r="A17" s="6" t="s">
        <v>69</v>
      </c>
      <c r="B17" s="7"/>
      <c r="C17" s="8" t="s">
        <v>28</v>
      </c>
      <c r="D17" s="6" t="s">
        <v>20</v>
      </c>
      <c r="E17" s="6" t="s">
        <v>20</v>
      </c>
      <c r="F17" s="9" t="s">
        <v>20</v>
      </c>
      <c r="G17" s="10">
        <v>1552.54</v>
      </c>
      <c r="H17" s="11" t="s">
        <v>30</v>
      </c>
      <c r="I17" s="15" t="s">
        <v>31</v>
      </c>
      <c r="J17" s="16" t="s">
        <v>32</v>
      </c>
      <c r="K17" s="17" t="s">
        <v>20</v>
      </c>
      <c r="L17" s="17" t="s">
        <v>20</v>
      </c>
      <c r="M17" s="18" t="s">
        <v>20</v>
      </c>
      <c r="N17" s="18" t="s">
        <v>20</v>
      </c>
    </row>
    <row r="18" s="1" customFormat="1" ht="17.75" customHeight="1" spans="1:14">
      <c r="A18" s="6" t="s">
        <v>69</v>
      </c>
      <c r="B18" s="7"/>
      <c r="C18" s="8" t="s">
        <v>28</v>
      </c>
      <c r="D18" s="6" t="s">
        <v>20</v>
      </c>
      <c r="E18" s="6" t="s">
        <v>20</v>
      </c>
      <c r="F18" s="9" t="s">
        <v>20</v>
      </c>
      <c r="G18" s="10">
        <v>146888.78</v>
      </c>
      <c r="H18" s="11" t="s">
        <v>393</v>
      </c>
      <c r="I18" s="15" t="s">
        <v>31</v>
      </c>
      <c r="J18" s="16" t="s">
        <v>35</v>
      </c>
      <c r="K18" s="17" t="s">
        <v>20</v>
      </c>
      <c r="L18" s="17" t="s">
        <v>20</v>
      </c>
      <c r="M18" s="18" t="s">
        <v>20</v>
      </c>
      <c r="N18" s="18" t="s">
        <v>20</v>
      </c>
    </row>
    <row r="19" s="1" customFormat="1" ht="17.75" customHeight="1" spans="1:14">
      <c r="A19" s="6" t="s">
        <v>90</v>
      </c>
      <c r="B19" s="7"/>
      <c r="C19" s="8" t="s">
        <v>58</v>
      </c>
      <c r="D19" s="6" t="s">
        <v>20</v>
      </c>
      <c r="E19" s="6" t="s">
        <v>20</v>
      </c>
      <c r="F19" s="9" t="s">
        <v>20</v>
      </c>
      <c r="G19" s="10">
        <v>1282</v>
      </c>
      <c r="H19" s="11" t="s">
        <v>390</v>
      </c>
      <c r="I19" s="16" t="s">
        <v>31</v>
      </c>
      <c r="J19" s="16" t="s">
        <v>62</v>
      </c>
      <c r="K19" s="17" t="s">
        <v>20</v>
      </c>
      <c r="L19" s="17" t="s">
        <v>20</v>
      </c>
      <c r="M19" s="18" t="s">
        <v>20</v>
      </c>
      <c r="N19" s="18" t="s">
        <v>20</v>
      </c>
    </row>
    <row r="20" s="1" customFormat="1" ht="17.75" customHeight="1" spans="1:14">
      <c r="A20" s="6" t="s">
        <v>90</v>
      </c>
      <c r="B20" s="7"/>
      <c r="C20" s="8" t="s">
        <v>28</v>
      </c>
      <c r="D20" s="6" t="s">
        <v>20</v>
      </c>
      <c r="E20" s="6" t="s">
        <v>20</v>
      </c>
      <c r="F20" s="9" t="s">
        <v>20</v>
      </c>
      <c r="G20" s="10">
        <v>1093.94</v>
      </c>
      <c r="H20" s="11" t="s">
        <v>30</v>
      </c>
      <c r="I20" s="15" t="s">
        <v>31</v>
      </c>
      <c r="J20" s="16" t="s">
        <v>32</v>
      </c>
      <c r="K20" s="17" t="s">
        <v>20</v>
      </c>
      <c r="L20" s="17" t="s">
        <v>20</v>
      </c>
      <c r="M20" s="18" t="s">
        <v>20</v>
      </c>
      <c r="N20" s="18" t="s">
        <v>20</v>
      </c>
    </row>
    <row r="21" s="1" customFormat="1" ht="17.75" customHeight="1" spans="1:14">
      <c r="A21" s="6" t="s">
        <v>90</v>
      </c>
      <c r="B21" s="7"/>
      <c r="C21" s="8" t="s">
        <v>28</v>
      </c>
      <c r="D21" s="6" t="s">
        <v>20</v>
      </c>
      <c r="E21" s="6" t="s">
        <v>20</v>
      </c>
      <c r="F21" s="9" t="s">
        <v>20</v>
      </c>
      <c r="G21" s="10">
        <v>24680.16</v>
      </c>
      <c r="H21" s="11" t="s">
        <v>393</v>
      </c>
      <c r="I21" s="15" t="s">
        <v>31</v>
      </c>
      <c r="J21" s="16" t="s">
        <v>35</v>
      </c>
      <c r="K21" s="17" t="s">
        <v>20</v>
      </c>
      <c r="L21" s="17" t="s">
        <v>20</v>
      </c>
      <c r="M21" s="18" t="s">
        <v>20</v>
      </c>
      <c r="N21" s="18" t="s">
        <v>20</v>
      </c>
    </row>
    <row r="22" s="1" customFormat="1" ht="17.75" customHeight="1" spans="1:14">
      <c r="A22" s="6" t="s">
        <v>90</v>
      </c>
      <c r="B22" s="7"/>
      <c r="C22" s="8" t="s">
        <v>15</v>
      </c>
      <c r="D22" s="6" t="s">
        <v>20</v>
      </c>
      <c r="E22" s="6" t="s">
        <v>20</v>
      </c>
      <c r="F22" s="9">
        <v>1514.23</v>
      </c>
      <c r="G22" s="10" t="s">
        <v>20</v>
      </c>
      <c r="H22" s="11" t="s">
        <v>109</v>
      </c>
      <c r="I22" s="15" t="s">
        <v>110</v>
      </c>
      <c r="J22" s="16" t="s">
        <v>111</v>
      </c>
      <c r="K22" s="17" t="s">
        <v>46</v>
      </c>
      <c r="L22" s="17" t="s">
        <v>20</v>
      </c>
      <c r="M22" s="18">
        <v>45875</v>
      </c>
      <c r="N22" s="18" t="s">
        <v>20</v>
      </c>
    </row>
    <row r="23" s="1" customFormat="1" ht="17.75" customHeight="1" spans="1:14">
      <c r="A23" s="6" t="s">
        <v>113</v>
      </c>
      <c r="B23" s="7"/>
      <c r="C23" s="8" t="s">
        <v>28</v>
      </c>
      <c r="D23" s="6" t="s">
        <v>20</v>
      </c>
      <c r="E23" s="6" t="s">
        <v>20</v>
      </c>
      <c r="F23" s="9" t="s">
        <v>20</v>
      </c>
      <c r="G23" s="10">
        <v>3083.39</v>
      </c>
      <c r="H23" s="11" t="s">
        <v>114</v>
      </c>
      <c r="I23" s="15" t="s">
        <v>31</v>
      </c>
      <c r="J23" s="16" t="s">
        <v>115</v>
      </c>
      <c r="K23" s="17" t="s">
        <v>20</v>
      </c>
      <c r="L23" s="17" t="s">
        <v>20</v>
      </c>
      <c r="M23" s="18" t="s">
        <v>20</v>
      </c>
      <c r="N23" s="18" t="s">
        <v>20</v>
      </c>
    </row>
    <row r="24" s="1" customFormat="1" ht="17.75" customHeight="1" spans="1:14">
      <c r="A24" s="6" t="s">
        <v>113</v>
      </c>
      <c r="B24" s="7"/>
      <c r="C24" s="8" t="s">
        <v>58</v>
      </c>
      <c r="D24" s="6" t="s">
        <v>20</v>
      </c>
      <c r="E24" s="6" t="s">
        <v>20</v>
      </c>
      <c r="F24" s="9" t="s">
        <v>20</v>
      </c>
      <c r="G24" s="10">
        <v>1544.5</v>
      </c>
      <c r="H24" s="11" t="s">
        <v>390</v>
      </c>
      <c r="I24" s="15" t="s">
        <v>31</v>
      </c>
      <c r="J24" s="16" t="s">
        <v>62</v>
      </c>
      <c r="K24" s="17" t="s">
        <v>20</v>
      </c>
      <c r="L24" s="17" t="s">
        <v>20</v>
      </c>
      <c r="M24" s="18" t="s">
        <v>20</v>
      </c>
      <c r="N24" s="18" t="s">
        <v>20</v>
      </c>
    </row>
    <row r="25" s="1" customFormat="1" ht="17.75" customHeight="1" spans="1:14">
      <c r="A25" s="6" t="s">
        <v>113</v>
      </c>
      <c r="B25" s="7"/>
      <c r="C25" s="8" t="s">
        <v>28</v>
      </c>
      <c r="D25" s="6" t="s">
        <v>20</v>
      </c>
      <c r="E25" s="6" t="s">
        <v>20</v>
      </c>
      <c r="F25" s="9" t="s">
        <v>20</v>
      </c>
      <c r="G25" s="10">
        <v>27704.57</v>
      </c>
      <c r="H25" s="11" t="s">
        <v>393</v>
      </c>
      <c r="I25" s="15" t="s">
        <v>31</v>
      </c>
      <c r="J25" s="16" t="s">
        <v>35</v>
      </c>
      <c r="K25" s="17" t="s">
        <v>20</v>
      </c>
      <c r="L25" s="17" t="s">
        <v>20</v>
      </c>
      <c r="M25" s="18" t="s">
        <v>20</v>
      </c>
      <c r="N25" s="18" t="s">
        <v>20</v>
      </c>
    </row>
    <row r="26" s="1" customFormat="1" ht="17.75" customHeight="1" spans="1:14">
      <c r="A26" s="6" t="s">
        <v>113</v>
      </c>
      <c r="B26" s="7"/>
      <c r="C26" s="8" t="s">
        <v>28</v>
      </c>
      <c r="D26" s="6" t="s">
        <v>20</v>
      </c>
      <c r="E26" s="6" t="s">
        <v>20</v>
      </c>
      <c r="F26" s="9" t="s">
        <v>20</v>
      </c>
      <c r="G26" s="10">
        <v>528.67</v>
      </c>
      <c r="H26" s="11" t="s">
        <v>30</v>
      </c>
      <c r="I26" s="15" t="s">
        <v>31</v>
      </c>
      <c r="J26" s="16" t="s">
        <v>32</v>
      </c>
      <c r="K26" s="17" t="s">
        <v>20</v>
      </c>
      <c r="L26" s="17" t="s">
        <v>20</v>
      </c>
      <c r="M26" s="18" t="s">
        <v>20</v>
      </c>
      <c r="N26" s="18" t="s">
        <v>20</v>
      </c>
    </row>
    <row r="27" s="1" customFormat="1" ht="17.75" customHeight="1" spans="1:14">
      <c r="A27" s="6" t="s">
        <v>113</v>
      </c>
      <c r="B27" s="7"/>
      <c r="C27" s="8" t="s">
        <v>15</v>
      </c>
      <c r="D27" s="6" t="s">
        <v>20</v>
      </c>
      <c r="E27" s="6" t="s">
        <v>20</v>
      </c>
      <c r="F27" s="9">
        <v>0.11</v>
      </c>
      <c r="G27" s="10" t="s">
        <v>20</v>
      </c>
      <c r="H27" s="11" t="s">
        <v>394</v>
      </c>
      <c r="I27" s="15" t="s">
        <v>38</v>
      </c>
      <c r="J27" s="16" t="s">
        <v>48</v>
      </c>
      <c r="K27" s="17" t="s">
        <v>20</v>
      </c>
      <c r="L27" s="17" t="s">
        <v>21</v>
      </c>
      <c r="M27" s="18">
        <v>45876</v>
      </c>
      <c r="N27" s="18" t="s">
        <v>20</v>
      </c>
    </row>
    <row r="28" s="1" customFormat="1" ht="17.75" customHeight="1" spans="1:14">
      <c r="A28" s="6" t="s">
        <v>113</v>
      </c>
      <c r="B28" s="7"/>
      <c r="C28" s="8" t="s">
        <v>63</v>
      </c>
      <c r="D28" s="6" t="s">
        <v>20</v>
      </c>
      <c r="E28" s="6" t="s">
        <v>20</v>
      </c>
      <c r="F28" s="9">
        <v>500000</v>
      </c>
      <c r="G28" s="10" t="s">
        <v>20</v>
      </c>
      <c r="H28" s="11" t="s">
        <v>229</v>
      </c>
      <c r="I28" s="15" t="s">
        <v>65</v>
      </c>
      <c r="J28" s="16" t="s">
        <v>66</v>
      </c>
      <c r="K28" s="17" t="s">
        <v>20</v>
      </c>
      <c r="L28" s="17" t="s">
        <v>20</v>
      </c>
      <c r="M28" s="18" t="s">
        <v>20</v>
      </c>
      <c r="N28" s="18" t="s">
        <v>20</v>
      </c>
    </row>
    <row r="29" s="1" customFormat="1" ht="17.75" customHeight="1" spans="1:14">
      <c r="A29" s="6" t="s">
        <v>128</v>
      </c>
      <c r="B29" s="7"/>
      <c r="C29" s="8" t="s">
        <v>58</v>
      </c>
      <c r="D29" s="6" t="s">
        <v>20</v>
      </c>
      <c r="E29" s="6" t="s">
        <v>20</v>
      </c>
      <c r="F29" s="9" t="s">
        <v>20</v>
      </c>
      <c r="G29" s="10">
        <v>2413.3</v>
      </c>
      <c r="H29" s="11" t="s">
        <v>390</v>
      </c>
      <c r="I29" s="15" t="s">
        <v>31</v>
      </c>
      <c r="J29" s="16" t="s">
        <v>62</v>
      </c>
      <c r="K29" s="17" t="s">
        <v>20</v>
      </c>
      <c r="L29" s="17" t="s">
        <v>20</v>
      </c>
      <c r="M29" s="18" t="s">
        <v>20</v>
      </c>
      <c r="N29" s="18" t="s">
        <v>20</v>
      </c>
    </row>
    <row r="30" s="1" customFormat="1" ht="17.75" customHeight="1" spans="1:14">
      <c r="A30" s="6" t="s">
        <v>128</v>
      </c>
      <c r="B30" s="7"/>
      <c r="C30" s="8" t="s">
        <v>28</v>
      </c>
      <c r="D30" s="6" t="s">
        <v>20</v>
      </c>
      <c r="E30" s="6" t="s">
        <v>20</v>
      </c>
      <c r="F30" s="9" t="s">
        <v>20</v>
      </c>
      <c r="G30" s="10">
        <v>671.7</v>
      </c>
      <c r="H30" s="11" t="s">
        <v>30</v>
      </c>
      <c r="I30" s="15" t="s">
        <v>31</v>
      </c>
      <c r="J30" s="16" t="s">
        <v>32</v>
      </c>
      <c r="K30" s="17" t="s">
        <v>20</v>
      </c>
      <c r="L30" s="17" t="s">
        <v>20</v>
      </c>
      <c r="M30" s="18" t="s">
        <v>20</v>
      </c>
      <c r="N30" s="18" t="s">
        <v>20</v>
      </c>
    </row>
    <row r="31" s="1" customFormat="1" ht="17.75" customHeight="1" spans="1:14">
      <c r="A31" s="6" t="s">
        <v>128</v>
      </c>
      <c r="B31" s="7"/>
      <c r="C31" s="8" t="s">
        <v>28</v>
      </c>
      <c r="D31" s="6" t="s">
        <v>20</v>
      </c>
      <c r="E31" s="6" t="s">
        <v>20</v>
      </c>
      <c r="F31" s="9" t="s">
        <v>20</v>
      </c>
      <c r="G31" s="10">
        <v>21599.95</v>
      </c>
      <c r="H31" s="11" t="s">
        <v>393</v>
      </c>
      <c r="I31" s="15" t="s">
        <v>31</v>
      </c>
      <c r="J31" s="16" t="s">
        <v>35</v>
      </c>
      <c r="K31" s="17" t="s">
        <v>20</v>
      </c>
      <c r="L31" s="17" t="s">
        <v>20</v>
      </c>
      <c r="M31" s="18" t="s">
        <v>20</v>
      </c>
      <c r="N31" s="18" t="s">
        <v>20</v>
      </c>
    </row>
    <row r="32" s="1" customFormat="1" ht="17.55" customHeight="1" spans="1:14">
      <c r="A32" s="6" t="s">
        <v>130</v>
      </c>
      <c r="B32" s="7"/>
      <c r="C32" s="8" t="s">
        <v>58</v>
      </c>
      <c r="D32" s="6" t="s">
        <v>20</v>
      </c>
      <c r="E32" s="6" t="s">
        <v>20</v>
      </c>
      <c r="F32" s="9" t="s">
        <v>20</v>
      </c>
      <c r="G32" s="10">
        <v>3827.85</v>
      </c>
      <c r="H32" s="11" t="s">
        <v>390</v>
      </c>
      <c r="I32" s="15" t="s">
        <v>31</v>
      </c>
      <c r="J32" s="16" t="s">
        <v>62</v>
      </c>
      <c r="K32" s="17" t="s">
        <v>20</v>
      </c>
      <c r="L32" s="17" t="s">
        <v>20</v>
      </c>
      <c r="M32" s="18" t="s">
        <v>20</v>
      </c>
      <c r="N32" s="18" t="s">
        <v>20</v>
      </c>
    </row>
    <row r="33" s="1" customFormat="1" ht="17.55" customHeight="1" spans="1:14">
      <c r="A33" s="6" t="s">
        <v>130</v>
      </c>
      <c r="B33" s="7"/>
      <c r="C33" s="8" t="s">
        <v>28</v>
      </c>
      <c r="D33" s="6" t="s">
        <v>20</v>
      </c>
      <c r="E33" s="6" t="s">
        <v>20</v>
      </c>
      <c r="F33" s="9" t="s">
        <v>20</v>
      </c>
      <c r="G33" s="10">
        <v>566.21</v>
      </c>
      <c r="H33" s="11" t="s">
        <v>30</v>
      </c>
      <c r="I33" s="15" t="s">
        <v>31</v>
      </c>
      <c r="J33" s="16" t="s">
        <v>32</v>
      </c>
      <c r="K33" s="17" t="s">
        <v>20</v>
      </c>
      <c r="L33" s="17" t="s">
        <v>20</v>
      </c>
      <c r="M33" s="18" t="s">
        <v>20</v>
      </c>
      <c r="N33" s="18" t="s">
        <v>20</v>
      </c>
    </row>
    <row r="34" s="1" customFormat="1" ht="17.55" customHeight="1" spans="1:14">
      <c r="A34" s="6" t="s">
        <v>130</v>
      </c>
      <c r="B34" s="7"/>
      <c r="C34" s="8" t="s">
        <v>28</v>
      </c>
      <c r="D34" s="6" t="s">
        <v>20</v>
      </c>
      <c r="E34" s="6" t="s">
        <v>20</v>
      </c>
      <c r="F34" s="9" t="s">
        <v>20</v>
      </c>
      <c r="G34" s="10">
        <v>640.48</v>
      </c>
      <c r="H34" s="11" t="s">
        <v>30</v>
      </c>
      <c r="I34" s="15" t="s">
        <v>31</v>
      </c>
      <c r="J34" s="16" t="s">
        <v>32</v>
      </c>
      <c r="K34" s="17" t="s">
        <v>20</v>
      </c>
      <c r="L34" s="17" t="s">
        <v>20</v>
      </c>
      <c r="M34" s="18" t="s">
        <v>20</v>
      </c>
      <c r="N34" s="18" t="s">
        <v>20</v>
      </c>
    </row>
    <row r="35" s="1" customFormat="1" ht="17.55" customHeight="1" spans="1:14">
      <c r="A35" s="6" t="s">
        <v>130</v>
      </c>
      <c r="B35" s="7"/>
      <c r="C35" s="8" t="s">
        <v>28</v>
      </c>
      <c r="D35" s="6" t="s">
        <v>20</v>
      </c>
      <c r="E35" s="6" t="s">
        <v>20</v>
      </c>
      <c r="F35" s="9" t="s">
        <v>20</v>
      </c>
      <c r="G35" s="10">
        <v>106819.02</v>
      </c>
      <c r="H35" s="11" t="s">
        <v>393</v>
      </c>
      <c r="I35" s="15" t="s">
        <v>31</v>
      </c>
      <c r="J35" s="16" t="s">
        <v>35</v>
      </c>
      <c r="K35" s="17" t="s">
        <v>20</v>
      </c>
      <c r="L35" s="17" t="s">
        <v>20</v>
      </c>
      <c r="M35" s="18" t="s">
        <v>20</v>
      </c>
      <c r="N35" s="18" t="s">
        <v>20</v>
      </c>
    </row>
    <row r="36" s="1" customFormat="1" ht="17.55" customHeight="1" spans="1:14">
      <c r="A36" s="6" t="s">
        <v>130</v>
      </c>
      <c r="B36" s="7"/>
      <c r="C36" s="8" t="s">
        <v>15</v>
      </c>
      <c r="D36" s="6" t="s">
        <v>20</v>
      </c>
      <c r="E36" s="6" t="s">
        <v>20</v>
      </c>
      <c r="F36" s="9">
        <v>108.71</v>
      </c>
      <c r="G36" s="10" t="s">
        <v>20</v>
      </c>
      <c r="H36" s="11" t="s">
        <v>136</v>
      </c>
      <c r="I36" s="119" t="s">
        <v>38</v>
      </c>
      <c r="J36" s="120" t="s">
        <v>48</v>
      </c>
      <c r="K36" s="111"/>
      <c r="L36" s="111"/>
      <c r="M36" s="121">
        <v>45881</v>
      </c>
      <c r="N36" s="18" t="s">
        <v>20</v>
      </c>
    </row>
    <row r="37" s="1" customFormat="1" ht="17.55" customHeight="1" spans="1:14">
      <c r="A37" s="6" t="s">
        <v>130</v>
      </c>
      <c r="B37" s="7"/>
      <c r="C37" s="8" t="s">
        <v>58</v>
      </c>
      <c r="D37" s="6" t="s">
        <v>20</v>
      </c>
      <c r="E37" s="6" t="s">
        <v>20</v>
      </c>
      <c r="F37" s="9" t="s">
        <v>20</v>
      </c>
      <c r="G37" s="10">
        <v>2467</v>
      </c>
      <c r="H37" s="11" t="s">
        <v>395</v>
      </c>
      <c r="I37" s="15" t="s">
        <v>31</v>
      </c>
      <c r="J37" s="16" t="s">
        <v>62</v>
      </c>
      <c r="K37" s="17" t="s">
        <v>20</v>
      </c>
      <c r="L37" s="17" t="s">
        <v>20</v>
      </c>
      <c r="M37" s="18" t="s">
        <v>20</v>
      </c>
      <c r="N37" s="18" t="s">
        <v>20</v>
      </c>
    </row>
    <row r="38" s="1" customFormat="1" ht="17.55" customHeight="1" spans="1:14">
      <c r="A38" s="6" t="s">
        <v>130</v>
      </c>
      <c r="B38" s="7"/>
      <c r="C38" s="8" t="s">
        <v>58</v>
      </c>
      <c r="D38" s="6" t="s">
        <v>20</v>
      </c>
      <c r="E38" s="6" t="s">
        <v>20</v>
      </c>
      <c r="F38" s="9" t="s">
        <v>20</v>
      </c>
      <c r="G38" s="10">
        <v>3827</v>
      </c>
      <c r="H38" s="11" t="s">
        <v>395</v>
      </c>
      <c r="I38" s="15" t="s">
        <v>31</v>
      </c>
      <c r="J38" s="16" t="s">
        <v>62</v>
      </c>
      <c r="K38" s="17" t="s">
        <v>20</v>
      </c>
      <c r="L38" s="17" t="s">
        <v>20</v>
      </c>
      <c r="M38" s="18" t="s">
        <v>20</v>
      </c>
      <c r="N38" s="18" t="s">
        <v>20</v>
      </c>
    </row>
    <row r="39" s="1" customFormat="1" ht="17.55" customHeight="1" spans="1:14">
      <c r="A39" s="6" t="s">
        <v>141</v>
      </c>
      <c r="B39" s="7"/>
      <c r="C39" s="8" t="s">
        <v>28</v>
      </c>
      <c r="D39" s="6" t="s">
        <v>24</v>
      </c>
      <c r="E39" s="6"/>
      <c r="F39" s="9"/>
      <c r="G39" s="10">
        <v>4868.87</v>
      </c>
      <c r="H39" s="11" t="s">
        <v>80</v>
      </c>
      <c r="I39" s="15" t="s">
        <v>31</v>
      </c>
      <c r="J39" s="16" t="s">
        <v>81</v>
      </c>
      <c r="K39" s="17"/>
      <c r="L39" s="17"/>
      <c r="M39" s="18"/>
      <c r="N39" s="18"/>
    </row>
    <row r="40" s="1" customFormat="1" ht="17.55" customHeight="1" spans="1:14">
      <c r="A40" s="6" t="s">
        <v>141</v>
      </c>
      <c r="B40" s="7"/>
      <c r="C40" s="8" t="s">
        <v>63</v>
      </c>
      <c r="D40" s="6" t="s">
        <v>24</v>
      </c>
      <c r="E40" s="6"/>
      <c r="F40" s="9">
        <v>-600000</v>
      </c>
      <c r="G40" s="10"/>
      <c r="H40" s="11" t="s">
        <v>229</v>
      </c>
      <c r="I40" s="15" t="s">
        <v>65</v>
      </c>
      <c r="J40" s="16" t="s">
        <v>396</v>
      </c>
      <c r="K40" s="17"/>
      <c r="L40" s="17"/>
      <c r="M40" s="18"/>
      <c r="N40" s="18"/>
    </row>
    <row r="41" s="1" customFormat="1" ht="17.55" customHeight="1" spans="1:14">
      <c r="A41" s="6" t="s">
        <v>141</v>
      </c>
      <c r="B41" s="7"/>
      <c r="C41" s="8" t="s">
        <v>58</v>
      </c>
      <c r="D41" s="6" t="s">
        <v>24</v>
      </c>
      <c r="E41" s="6"/>
      <c r="F41" s="9"/>
      <c r="G41" s="10">
        <v>2240</v>
      </c>
      <c r="H41" s="11" t="s">
        <v>390</v>
      </c>
      <c r="I41" s="15" t="s">
        <v>31</v>
      </c>
      <c r="J41" s="16" t="s">
        <v>62</v>
      </c>
      <c r="K41" s="17"/>
      <c r="L41" s="17"/>
      <c r="M41" s="18"/>
      <c r="N41" s="18"/>
    </row>
    <row r="42" s="1" customFormat="1" ht="17.55" customHeight="1" spans="1:14">
      <c r="A42" s="6" t="s">
        <v>141</v>
      </c>
      <c r="B42" s="7"/>
      <c r="C42" s="8" t="s">
        <v>28</v>
      </c>
      <c r="D42" s="6" t="s">
        <v>24</v>
      </c>
      <c r="E42" s="6"/>
      <c r="F42" s="9"/>
      <c r="G42" s="10">
        <v>949.09</v>
      </c>
      <c r="H42" s="11" t="s">
        <v>30</v>
      </c>
      <c r="I42" s="15" t="s">
        <v>31</v>
      </c>
      <c r="J42" s="16" t="s">
        <v>32</v>
      </c>
      <c r="K42" s="17"/>
      <c r="L42" s="17"/>
      <c r="M42" s="18"/>
      <c r="N42" s="18"/>
    </row>
    <row r="43" s="1" customFormat="1" ht="17.55" customHeight="1" spans="1:14">
      <c r="A43" s="6" t="s">
        <v>141</v>
      </c>
      <c r="B43" s="7"/>
      <c r="C43" s="8" t="s">
        <v>28</v>
      </c>
      <c r="D43" s="6" t="s">
        <v>24</v>
      </c>
      <c r="E43" s="6"/>
      <c r="F43" s="9"/>
      <c r="G43" s="10">
        <v>27466.92</v>
      </c>
      <c r="H43" s="11" t="s">
        <v>393</v>
      </c>
      <c r="I43" s="15" t="s">
        <v>31</v>
      </c>
      <c r="J43" s="16" t="s">
        <v>35</v>
      </c>
      <c r="K43" s="17"/>
      <c r="L43" s="17"/>
      <c r="M43" s="18"/>
      <c r="N43" s="18"/>
    </row>
    <row r="44" s="1" customFormat="1" ht="17.55" customHeight="1" spans="1:14">
      <c r="A44" s="6" t="s">
        <v>144</v>
      </c>
      <c r="B44" s="7"/>
      <c r="C44" s="8" t="s">
        <v>28</v>
      </c>
      <c r="D44" s="6" t="s">
        <v>24</v>
      </c>
      <c r="E44" s="6"/>
      <c r="F44" s="9"/>
      <c r="G44" s="10">
        <v>3157.11</v>
      </c>
      <c r="H44" s="11" t="s">
        <v>114</v>
      </c>
      <c r="I44" s="15" t="s">
        <v>31</v>
      </c>
      <c r="J44" s="16" t="s">
        <v>115</v>
      </c>
      <c r="K44" s="17"/>
      <c r="L44" s="17"/>
      <c r="M44" s="18"/>
      <c r="N44" s="18"/>
    </row>
    <row r="45" s="1" customFormat="1" ht="17.55" customHeight="1" spans="1:14">
      <c r="A45" s="6" t="s">
        <v>144</v>
      </c>
      <c r="B45" s="7"/>
      <c r="C45" s="8" t="s">
        <v>58</v>
      </c>
      <c r="D45" s="6" t="s">
        <v>24</v>
      </c>
      <c r="E45" s="6"/>
      <c r="F45" s="9"/>
      <c r="G45" s="10">
        <v>2349.1</v>
      </c>
      <c r="H45" s="11" t="s">
        <v>390</v>
      </c>
      <c r="I45" s="15" t="s">
        <v>31</v>
      </c>
      <c r="J45" s="16" t="s">
        <v>62</v>
      </c>
      <c r="K45" s="17"/>
      <c r="L45" s="17"/>
      <c r="M45" s="18"/>
      <c r="N45" s="18"/>
    </row>
    <row r="46" s="1" customFormat="1" ht="17.55" customHeight="1" spans="1:14">
      <c r="A46" s="6" t="s">
        <v>144</v>
      </c>
      <c r="B46" s="7"/>
      <c r="C46" s="8" t="s">
        <v>28</v>
      </c>
      <c r="D46" s="6" t="s">
        <v>24</v>
      </c>
      <c r="E46" s="6"/>
      <c r="F46" s="9"/>
      <c r="G46" s="10">
        <v>525.39</v>
      </c>
      <c r="H46" s="11" t="s">
        <v>30</v>
      </c>
      <c r="I46" s="15" t="s">
        <v>31</v>
      </c>
      <c r="J46" s="16" t="s">
        <v>32</v>
      </c>
      <c r="K46" s="17"/>
      <c r="L46" s="17"/>
      <c r="M46" s="18"/>
      <c r="N46" s="18"/>
    </row>
    <row r="47" s="1" customFormat="1" ht="17.55" customHeight="1" spans="1:14">
      <c r="A47" s="6" t="s">
        <v>144</v>
      </c>
      <c r="B47" s="7"/>
      <c r="C47" s="8" t="s">
        <v>28</v>
      </c>
      <c r="D47" s="6" t="s">
        <v>24</v>
      </c>
      <c r="E47" s="6"/>
      <c r="F47" s="9"/>
      <c r="G47" s="10">
        <v>20088.96</v>
      </c>
      <c r="H47" s="11" t="s">
        <v>393</v>
      </c>
      <c r="I47" s="15" t="s">
        <v>31</v>
      </c>
      <c r="J47" s="16" t="s">
        <v>35</v>
      </c>
      <c r="K47" s="17"/>
      <c r="L47" s="17"/>
      <c r="M47" s="18"/>
      <c r="N47" s="18"/>
    </row>
    <row r="48" s="1" customFormat="1" ht="17.55" customHeight="1" spans="1:14">
      <c r="A48" s="6" t="s">
        <v>149</v>
      </c>
      <c r="B48" s="7"/>
      <c r="C48" s="8" t="s">
        <v>58</v>
      </c>
      <c r="D48" s="6" t="s">
        <v>24</v>
      </c>
      <c r="E48" s="6"/>
      <c r="F48" s="9"/>
      <c r="G48" s="10">
        <v>3256.15</v>
      </c>
      <c r="H48" s="11" t="s">
        <v>390</v>
      </c>
      <c r="I48" s="15" t="s">
        <v>31</v>
      </c>
      <c r="J48" s="16" t="s">
        <v>62</v>
      </c>
      <c r="K48" s="17"/>
      <c r="L48" s="17"/>
      <c r="M48" s="18"/>
      <c r="N48" s="18"/>
    </row>
    <row r="49" s="1" customFormat="1" ht="17.55" customHeight="1" spans="1:14">
      <c r="A49" s="6" t="s">
        <v>149</v>
      </c>
      <c r="B49" s="7"/>
      <c r="C49" s="8" t="s">
        <v>28</v>
      </c>
      <c r="D49" s="6" t="s">
        <v>397</v>
      </c>
      <c r="E49" s="6"/>
      <c r="F49" s="9"/>
      <c r="G49" s="10">
        <v>763.99</v>
      </c>
      <c r="H49" s="11" t="s">
        <v>30</v>
      </c>
      <c r="I49" s="15" t="s">
        <v>31</v>
      </c>
      <c r="J49" s="16" t="s">
        <v>32</v>
      </c>
      <c r="K49" s="17"/>
      <c r="L49" s="17"/>
      <c r="M49" s="18"/>
      <c r="N49" s="18"/>
    </row>
    <row r="50" s="1" customFormat="1" ht="17.55" customHeight="1" spans="1:14">
      <c r="A50" s="6" t="s">
        <v>149</v>
      </c>
      <c r="B50" s="7"/>
      <c r="C50" s="8" t="s">
        <v>28</v>
      </c>
      <c r="D50" s="6" t="s">
        <v>392</v>
      </c>
      <c r="E50" s="6"/>
      <c r="F50" s="9"/>
      <c r="G50" s="10">
        <v>20773.27</v>
      </c>
      <c r="H50" s="11" t="s">
        <v>393</v>
      </c>
      <c r="I50" s="15" t="s">
        <v>31</v>
      </c>
      <c r="J50" s="16" t="s">
        <v>35</v>
      </c>
      <c r="K50" s="17"/>
      <c r="L50" s="17"/>
      <c r="M50" s="18"/>
      <c r="N50" s="18"/>
    </row>
    <row r="51" s="1" customFormat="1" ht="17.55" customHeight="1" spans="1:14">
      <c r="A51" s="6" t="s">
        <v>158</v>
      </c>
      <c r="B51" s="7"/>
      <c r="C51" s="8" t="s">
        <v>28</v>
      </c>
      <c r="D51" s="6" t="s">
        <v>398</v>
      </c>
      <c r="E51" s="6"/>
      <c r="F51" s="9"/>
      <c r="G51" s="10">
        <v>7402.23</v>
      </c>
      <c r="H51" s="11" t="s">
        <v>380</v>
      </c>
      <c r="I51" s="15" t="s">
        <v>381</v>
      </c>
      <c r="J51" s="16" t="s">
        <v>382</v>
      </c>
      <c r="K51" s="17" t="s">
        <v>20</v>
      </c>
      <c r="L51" s="17" t="s">
        <v>20</v>
      </c>
      <c r="M51" s="18"/>
      <c r="N51" s="18"/>
    </row>
    <row r="52" s="1" customFormat="1" ht="17.55" customHeight="1" spans="1:14">
      <c r="A52" s="6" t="s">
        <v>158</v>
      </c>
      <c r="B52" s="7"/>
      <c r="C52" s="8" t="s">
        <v>15</v>
      </c>
      <c r="D52" s="6" t="s">
        <v>399</v>
      </c>
      <c r="E52" s="6"/>
      <c r="F52" s="9">
        <v>-1928.99</v>
      </c>
      <c r="G52" s="10"/>
      <c r="H52" s="11" t="s">
        <v>400</v>
      </c>
      <c r="I52" s="15" t="s">
        <v>18</v>
      </c>
      <c r="J52" s="16" t="s">
        <v>19</v>
      </c>
      <c r="K52" s="17" t="s">
        <v>46</v>
      </c>
      <c r="L52" s="17"/>
      <c r="M52" s="18"/>
      <c r="N52" s="18"/>
    </row>
    <row r="53" s="1" customFormat="1" ht="17.55" customHeight="1" spans="1:14">
      <c r="A53" s="6" t="s">
        <v>158</v>
      </c>
      <c r="B53" s="7"/>
      <c r="C53" s="8" t="s">
        <v>58</v>
      </c>
      <c r="D53" s="6" t="s">
        <v>24</v>
      </c>
      <c r="E53" s="6"/>
      <c r="F53" s="9"/>
      <c r="G53" s="10">
        <v>1391</v>
      </c>
      <c r="H53" s="11" t="s">
        <v>390</v>
      </c>
      <c r="I53" s="15" t="s">
        <v>31</v>
      </c>
      <c r="J53" s="16" t="s">
        <v>62</v>
      </c>
      <c r="K53" s="17"/>
      <c r="L53" s="17"/>
      <c r="M53" s="18"/>
      <c r="N53" s="18"/>
    </row>
    <row r="54" s="1" customFormat="1" ht="17.55" customHeight="1" spans="1:14">
      <c r="A54" s="6" t="s">
        <v>158</v>
      </c>
      <c r="B54" s="7"/>
      <c r="C54" s="8" t="s">
        <v>28</v>
      </c>
      <c r="D54" s="6" t="s">
        <v>401</v>
      </c>
      <c r="E54" s="6"/>
      <c r="F54" s="9"/>
      <c r="G54" s="10">
        <v>344.69</v>
      </c>
      <c r="H54" s="11" t="s">
        <v>30</v>
      </c>
      <c r="I54" s="15" t="s">
        <v>31</v>
      </c>
      <c r="J54" s="16" t="s">
        <v>32</v>
      </c>
      <c r="K54" s="17"/>
      <c r="L54" s="17"/>
      <c r="M54" s="18"/>
      <c r="N54" s="18"/>
    </row>
    <row r="55" s="1" customFormat="1" ht="17.55" customHeight="1" spans="1:14">
      <c r="A55" s="6" t="s">
        <v>158</v>
      </c>
      <c r="B55" s="7"/>
      <c r="C55" s="8" t="s">
        <v>28</v>
      </c>
      <c r="D55" s="6" t="s">
        <v>392</v>
      </c>
      <c r="E55" s="6"/>
      <c r="F55" s="9"/>
      <c r="G55" s="10">
        <v>28045.85</v>
      </c>
      <c r="H55" s="11" t="s">
        <v>393</v>
      </c>
      <c r="I55" s="15" t="s">
        <v>31</v>
      </c>
      <c r="J55" s="16" t="s">
        <v>35</v>
      </c>
      <c r="K55" s="17"/>
      <c r="L55" s="17"/>
      <c r="M55" s="18"/>
      <c r="N55" s="18"/>
    </row>
    <row r="56" s="1" customFormat="1" ht="17.55" customHeight="1" spans="1:14">
      <c r="A56" s="6" t="s">
        <v>166</v>
      </c>
      <c r="B56" s="7"/>
      <c r="C56" s="8" t="s">
        <v>28</v>
      </c>
      <c r="D56" s="6" t="s">
        <v>24</v>
      </c>
      <c r="E56" s="6"/>
      <c r="F56" s="9"/>
      <c r="G56" s="10">
        <v>10508.12</v>
      </c>
      <c r="H56" s="11" t="s">
        <v>402</v>
      </c>
      <c r="I56" s="15" t="s">
        <v>403</v>
      </c>
      <c r="J56" s="16" t="s">
        <v>404</v>
      </c>
      <c r="K56" s="17"/>
      <c r="L56" s="17" t="s">
        <v>98</v>
      </c>
      <c r="M56" s="18"/>
      <c r="N56" s="18"/>
    </row>
    <row r="57" s="1" customFormat="1" ht="17.55" customHeight="1" spans="1:14">
      <c r="A57" s="6" t="s">
        <v>166</v>
      </c>
      <c r="B57" s="7"/>
      <c r="C57" s="8" t="s">
        <v>58</v>
      </c>
      <c r="D57" s="6" t="s">
        <v>24</v>
      </c>
      <c r="E57" s="6"/>
      <c r="F57" s="9"/>
      <c r="G57" s="10">
        <v>4092.75</v>
      </c>
      <c r="H57" s="11" t="s">
        <v>390</v>
      </c>
      <c r="I57" s="15" t="s">
        <v>31</v>
      </c>
      <c r="J57" s="16" t="s">
        <v>62</v>
      </c>
      <c r="K57" s="17"/>
      <c r="L57" s="17"/>
      <c r="M57" s="18"/>
      <c r="N57" s="18"/>
    </row>
    <row r="58" s="1" customFormat="1" ht="17.55" customHeight="1" spans="1:14">
      <c r="A58" s="6" t="s">
        <v>166</v>
      </c>
      <c r="B58" s="7"/>
      <c r="C58" s="8" t="s">
        <v>28</v>
      </c>
      <c r="D58" s="6" t="s">
        <v>24</v>
      </c>
      <c r="E58" s="6"/>
      <c r="F58" s="9"/>
      <c r="G58" s="10">
        <v>610.2</v>
      </c>
      <c r="H58" s="11" t="s">
        <v>30</v>
      </c>
      <c r="I58" s="15" t="s">
        <v>31</v>
      </c>
      <c r="J58" s="16" t="s">
        <v>32</v>
      </c>
      <c r="K58" s="17"/>
      <c r="L58" s="17"/>
      <c r="M58" s="18"/>
      <c r="N58" s="18"/>
    </row>
    <row r="59" s="1" customFormat="1" ht="17.55" customHeight="1" spans="1:14">
      <c r="A59" s="6" t="s">
        <v>166</v>
      </c>
      <c r="B59" s="7"/>
      <c r="C59" s="8" t="s">
        <v>28</v>
      </c>
      <c r="D59" s="6" t="s">
        <v>24</v>
      </c>
      <c r="E59" s="6"/>
      <c r="F59" s="9"/>
      <c r="G59" s="10">
        <v>924.71</v>
      </c>
      <c r="H59" s="11" t="s">
        <v>30</v>
      </c>
      <c r="I59" s="15" t="s">
        <v>31</v>
      </c>
      <c r="J59" s="16" t="s">
        <v>32</v>
      </c>
      <c r="K59" s="17"/>
      <c r="L59" s="17"/>
      <c r="M59" s="18"/>
      <c r="N59" s="18"/>
    </row>
    <row r="60" s="1" customFormat="1" ht="17.55" customHeight="1" spans="1:14">
      <c r="A60" s="6" t="s">
        <v>166</v>
      </c>
      <c r="B60" s="7"/>
      <c r="C60" s="8" t="s">
        <v>28</v>
      </c>
      <c r="D60" s="6" t="s">
        <v>24</v>
      </c>
      <c r="E60" s="6"/>
      <c r="F60" s="9"/>
      <c r="G60" s="10">
        <v>1117.28</v>
      </c>
      <c r="H60" s="11" t="s">
        <v>30</v>
      </c>
      <c r="I60" s="15" t="s">
        <v>31</v>
      </c>
      <c r="J60" s="16" t="s">
        <v>32</v>
      </c>
      <c r="K60" s="17"/>
      <c r="L60" s="17"/>
      <c r="M60" s="18"/>
      <c r="N60" s="18"/>
    </row>
    <row r="61" s="1" customFormat="1" ht="17.55" customHeight="1" spans="1:14">
      <c r="A61" s="6" t="s">
        <v>166</v>
      </c>
      <c r="B61" s="7"/>
      <c r="C61" s="8" t="s">
        <v>28</v>
      </c>
      <c r="D61" s="6" t="s">
        <v>24</v>
      </c>
      <c r="E61" s="6"/>
      <c r="F61" s="9"/>
      <c r="G61" s="10">
        <v>102407.42</v>
      </c>
      <c r="H61" s="11" t="s">
        <v>393</v>
      </c>
      <c r="I61" s="15" t="s">
        <v>31</v>
      </c>
      <c r="J61" s="16" t="s">
        <v>35</v>
      </c>
      <c r="K61" s="17"/>
      <c r="L61" s="17"/>
      <c r="M61" s="18"/>
      <c r="N61" s="18"/>
    </row>
    <row r="62" s="1" customFormat="1" ht="17.55" customHeight="1" spans="1:14">
      <c r="A62" s="6" t="s">
        <v>166</v>
      </c>
      <c r="B62" s="7"/>
      <c r="C62" s="8" t="s">
        <v>58</v>
      </c>
      <c r="D62" s="6" t="s">
        <v>24</v>
      </c>
      <c r="E62" s="6"/>
      <c r="F62" s="9"/>
      <c r="G62" s="10">
        <v>3915</v>
      </c>
      <c r="H62" s="11" t="s">
        <v>395</v>
      </c>
      <c r="I62" s="15" t="s">
        <v>31</v>
      </c>
      <c r="J62" s="16" t="s">
        <v>62</v>
      </c>
      <c r="K62" s="17"/>
      <c r="L62" s="17"/>
      <c r="M62" s="18"/>
      <c r="N62" s="18"/>
    </row>
    <row r="63" s="1" customFormat="1" ht="17.55" customHeight="1" spans="1:14">
      <c r="A63" s="6" t="s">
        <v>166</v>
      </c>
      <c r="B63" s="7"/>
      <c r="C63" s="8" t="s">
        <v>58</v>
      </c>
      <c r="D63" s="6" t="s">
        <v>24</v>
      </c>
      <c r="E63" s="6"/>
      <c r="F63" s="9"/>
      <c r="G63" s="10">
        <v>4473.7</v>
      </c>
      <c r="H63" s="11" t="s">
        <v>395</v>
      </c>
      <c r="I63" s="15" t="s">
        <v>31</v>
      </c>
      <c r="J63" s="16" t="s">
        <v>62</v>
      </c>
      <c r="K63" s="17"/>
      <c r="L63" s="17"/>
      <c r="M63" s="18"/>
      <c r="N63" s="18"/>
    </row>
    <row r="64" s="1" customFormat="1" ht="17.55" customHeight="1" spans="1:14">
      <c r="A64" s="6" t="s">
        <v>176</v>
      </c>
      <c r="B64" s="7"/>
      <c r="C64" s="8" t="s">
        <v>28</v>
      </c>
      <c r="D64" s="6" t="s">
        <v>24</v>
      </c>
      <c r="E64" s="6"/>
      <c r="F64" s="9"/>
      <c r="G64" s="10">
        <v>5654.8</v>
      </c>
      <c r="H64" s="11" t="s">
        <v>80</v>
      </c>
      <c r="I64" s="15" t="s">
        <v>31</v>
      </c>
      <c r="J64" s="16" t="s">
        <v>81</v>
      </c>
      <c r="K64" s="17"/>
      <c r="L64" s="17"/>
      <c r="M64" s="18"/>
      <c r="N64" s="18"/>
    </row>
    <row r="65" s="1" customFormat="1" ht="17.55" customHeight="1" spans="1:14">
      <c r="A65" s="6" t="s">
        <v>176</v>
      </c>
      <c r="B65" s="7"/>
      <c r="C65" s="8" t="s">
        <v>58</v>
      </c>
      <c r="D65" s="6" t="s">
        <v>24</v>
      </c>
      <c r="E65" s="6"/>
      <c r="F65" s="9"/>
      <c r="G65" s="10">
        <v>3593.95</v>
      </c>
      <c r="H65" s="11" t="s">
        <v>390</v>
      </c>
      <c r="I65" s="15" t="s">
        <v>31</v>
      </c>
      <c r="J65" s="16" t="s">
        <v>62</v>
      </c>
      <c r="K65" s="17"/>
      <c r="L65" s="17"/>
      <c r="M65" s="18"/>
      <c r="N65" s="18"/>
    </row>
    <row r="66" s="1" customFormat="1" ht="17.55" customHeight="1" spans="1:14">
      <c r="A66" s="6" t="s">
        <v>176</v>
      </c>
      <c r="B66" s="7"/>
      <c r="C66" s="8" t="s">
        <v>28</v>
      </c>
      <c r="D66" s="6" t="s">
        <v>24</v>
      </c>
      <c r="E66" s="6"/>
      <c r="F66" s="9"/>
      <c r="G66" s="10">
        <v>2169.76</v>
      </c>
      <c r="H66" s="11" t="s">
        <v>30</v>
      </c>
      <c r="I66" s="15" t="s">
        <v>31</v>
      </c>
      <c r="J66" s="16" t="s">
        <v>32</v>
      </c>
      <c r="K66" s="17"/>
      <c r="L66" s="17"/>
      <c r="M66" s="18"/>
      <c r="N66" s="18"/>
    </row>
    <row r="67" s="1" customFormat="1" ht="17.55" customHeight="1" spans="1:14">
      <c r="A67" s="6" t="s">
        <v>176</v>
      </c>
      <c r="B67" s="7"/>
      <c r="C67" s="8" t="s">
        <v>28</v>
      </c>
      <c r="D67" s="6" t="s">
        <v>24</v>
      </c>
      <c r="E67" s="6"/>
      <c r="F67" s="9"/>
      <c r="G67" s="10">
        <v>22296.49</v>
      </c>
      <c r="H67" s="11" t="s">
        <v>393</v>
      </c>
      <c r="I67" s="15" t="s">
        <v>31</v>
      </c>
      <c r="J67" s="16" t="s">
        <v>35</v>
      </c>
      <c r="K67" s="17"/>
      <c r="L67" s="17"/>
      <c r="M67" s="18"/>
      <c r="N67" s="18"/>
    </row>
    <row r="68" s="1" customFormat="1" ht="17.55" customHeight="1" spans="1:14">
      <c r="A68" s="6" t="s">
        <v>182</v>
      </c>
      <c r="B68" s="7"/>
      <c r="C68" s="8" t="s">
        <v>28</v>
      </c>
      <c r="D68" s="6" t="s">
        <v>24</v>
      </c>
      <c r="E68" s="6"/>
      <c r="F68" s="9"/>
      <c r="G68" s="10">
        <v>3114.47</v>
      </c>
      <c r="H68" s="11" t="s">
        <v>114</v>
      </c>
      <c r="I68" s="15" t="s">
        <v>31</v>
      </c>
      <c r="J68" s="16" t="s">
        <v>115</v>
      </c>
      <c r="K68" s="17"/>
      <c r="L68" s="17"/>
      <c r="M68" s="18"/>
      <c r="N68" s="18"/>
    </row>
    <row r="69" s="1" customFormat="1" ht="17.55" customHeight="1" spans="1:14">
      <c r="A69" s="6" t="s">
        <v>182</v>
      </c>
      <c r="B69" s="7"/>
      <c r="C69" s="8" t="s">
        <v>63</v>
      </c>
      <c r="D69" s="6" t="s">
        <v>24</v>
      </c>
      <c r="E69" s="6"/>
      <c r="F69" s="9">
        <v>-300000</v>
      </c>
      <c r="G69" s="10"/>
      <c r="H69" s="11" t="s">
        <v>67</v>
      </c>
      <c r="I69" s="15" t="s">
        <v>65</v>
      </c>
      <c r="J69" s="16" t="s">
        <v>342</v>
      </c>
      <c r="K69" s="17"/>
      <c r="L69" s="17"/>
      <c r="M69" s="18"/>
      <c r="N69" s="18"/>
    </row>
    <row r="70" s="1" customFormat="1" ht="17.55" customHeight="1" spans="1:14">
      <c r="A70" s="6" t="s">
        <v>182</v>
      </c>
      <c r="B70" s="7"/>
      <c r="C70" s="8" t="s">
        <v>58</v>
      </c>
      <c r="D70" s="6" t="s">
        <v>24</v>
      </c>
      <c r="E70" s="6"/>
      <c r="F70" s="9"/>
      <c r="G70" s="10">
        <v>2424</v>
      </c>
      <c r="H70" s="11" t="s">
        <v>390</v>
      </c>
      <c r="I70" s="15" t="s">
        <v>31</v>
      </c>
      <c r="J70" s="16" t="s">
        <v>62</v>
      </c>
      <c r="K70" s="17"/>
      <c r="L70" s="17"/>
      <c r="M70" s="18"/>
      <c r="N70" s="18"/>
    </row>
    <row r="71" s="1" customFormat="1" ht="17.55" customHeight="1" spans="1:14">
      <c r="A71" s="6" t="s">
        <v>182</v>
      </c>
      <c r="B71" s="7"/>
      <c r="C71" s="8" t="s">
        <v>28</v>
      </c>
      <c r="D71" s="6" t="s">
        <v>24</v>
      </c>
      <c r="E71" s="6"/>
      <c r="F71" s="9"/>
      <c r="G71" s="10">
        <v>248.82</v>
      </c>
      <c r="H71" s="11" t="s">
        <v>30</v>
      </c>
      <c r="I71" s="15" t="s">
        <v>31</v>
      </c>
      <c r="J71" s="16" t="s">
        <v>32</v>
      </c>
      <c r="K71" s="17"/>
      <c r="L71" s="17"/>
      <c r="M71" s="18"/>
      <c r="N71" s="18"/>
    </row>
    <row r="72" s="1" customFormat="1" ht="17.55" customHeight="1" spans="1:14">
      <c r="A72" s="6" t="s">
        <v>182</v>
      </c>
      <c r="B72" s="7"/>
      <c r="C72" s="8" t="s">
        <v>28</v>
      </c>
      <c r="D72" s="6" t="s">
        <v>24</v>
      </c>
      <c r="E72" s="6"/>
      <c r="F72" s="9"/>
      <c r="G72" s="10">
        <v>28373.27</v>
      </c>
      <c r="H72" s="11" t="s">
        <v>393</v>
      </c>
      <c r="I72" s="15" t="s">
        <v>31</v>
      </c>
      <c r="J72" s="16" t="s">
        <v>35</v>
      </c>
      <c r="K72" s="17"/>
      <c r="L72" s="17"/>
      <c r="M72" s="18"/>
      <c r="N72" s="18"/>
    </row>
    <row r="73" s="1" customFormat="1" ht="17.55" customHeight="1" spans="1:14">
      <c r="A73" s="6" t="s">
        <v>189</v>
      </c>
      <c r="B73" s="7"/>
      <c r="C73" s="8" t="s">
        <v>58</v>
      </c>
      <c r="D73" s="6" t="s">
        <v>24</v>
      </c>
      <c r="E73" s="6"/>
      <c r="F73" s="9"/>
      <c r="G73" s="10">
        <v>1549.45</v>
      </c>
      <c r="H73" s="11" t="s">
        <v>390</v>
      </c>
      <c r="I73" s="15" t="s">
        <v>31</v>
      </c>
      <c r="J73" s="16" t="s">
        <v>62</v>
      </c>
      <c r="K73" s="17"/>
      <c r="L73" s="17"/>
      <c r="M73" s="18"/>
      <c r="N73" s="18"/>
    </row>
    <row r="74" s="1" customFormat="1" ht="17.55" customHeight="1" spans="1:14">
      <c r="A74" s="6" t="s">
        <v>189</v>
      </c>
      <c r="B74" s="7"/>
      <c r="C74" s="8" t="s">
        <v>28</v>
      </c>
      <c r="D74" s="6" t="s">
        <v>24</v>
      </c>
      <c r="E74" s="6"/>
      <c r="F74" s="9"/>
      <c r="G74" s="10">
        <v>728.07</v>
      </c>
      <c r="H74" s="11" t="s">
        <v>30</v>
      </c>
      <c r="I74" s="15" t="s">
        <v>31</v>
      </c>
      <c r="J74" s="16" t="s">
        <v>32</v>
      </c>
      <c r="K74" s="17"/>
      <c r="L74" s="17"/>
      <c r="M74" s="18"/>
      <c r="N74" s="18"/>
    </row>
    <row r="75" s="1" customFormat="1" ht="17.55" customHeight="1" spans="1:14">
      <c r="A75" s="6" t="s">
        <v>189</v>
      </c>
      <c r="B75" s="7"/>
      <c r="C75" s="8" t="s">
        <v>28</v>
      </c>
      <c r="D75" s="6" t="s">
        <v>24</v>
      </c>
      <c r="E75" s="6"/>
      <c r="F75" s="9"/>
      <c r="G75" s="10">
        <v>22098.36</v>
      </c>
      <c r="H75" s="11" t="s">
        <v>393</v>
      </c>
      <c r="I75" s="15" t="s">
        <v>31</v>
      </c>
      <c r="J75" s="16" t="s">
        <v>35</v>
      </c>
      <c r="K75" s="17"/>
      <c r="L75" s="17"/>
      <c r="M75" s="18"/>
      <c r="N75" s="18"/>
    </row>
    <row r="76" s="1" customFormat="1" ht="17.55" customHeight="1" spans="1:14">
      <c r="A76" s="6" t="s">
        <v>196</v>
      </c>
      <c r="B76" s="7"/>
      <c r="C76" s="8" t="s">
        <v>58</v>
      </c>
      <c r="D76" s="6" t="s">
        <v>24</v>
      </c>
      <c r="E76" s="6"/>
      <c r="F76" s="9"/>
      <c r="G76" s="10">
        <v>1319.45</v>
      </c>
      <c r="H76" s="11" t="s">
        <v>390</v>
      </c>
      <c r="I76" s="15" t="s">
        <v>31</v>
      </c>
      <c r="J76" s="16" t="s">
        <v>62</v>
      </c>
      <c r="K76" s="17"/>
      <c r="L76" s="17"/>
      <c r="M76" s="18"/>
      <c r="N76" s="18"/>
    </row>
    <row r="77" s="1" customFormat="1" ht="17.55" customHeight="1" spans="1:14">
      <c r="A77" s="6" t="s">
        <v>196</v>
      </c>
      <c r="B77" s="7"/>
      <c r="C77" s="8" t="s">
        <v>28</v>
      </c>
      <c r="D77" s="6" t="s">
        <v>24</v>
      </c>
      <c r="E77" s="6"/>
      <c r="F77" s="9"/>
      <c r="G77" s="10">
        <v>1550.71</v>
      </c>
      <c r="H77" s="11" t="s">
        <v>30</v>
      </c>
      <c r="I77" s="15" t="s">
        <v>31</v>
      </c>
      <c r="J77" s="16" t="s">
        <v>32</v>
      </c>
      <c r="K77" s="17"/>
      <c r="L77" s="17"/>
      <c r="M77" s="18"/>
      <c r="N77" s="18"/>
    </row>
    <row r="78" s="1" customFormat="1" ht="17.55" customHeight="1" spans="1:14">
      <c r="A78" s="6" t="s">
        <v>196</v>
      </c>
      <c r="B78" s="7"/>
      <c r="C78" s="8" t="s">
        <v>28</v>
      </c>
      <c r="D78" s="6" t="s">
        <v>24</v>
      </c>
      <c r="E78" s="6"/>
      <c r="F78" s="9"/>
      <c r="G78" s="10">
        <v>22871.28</v>
      </c>
      <c r="H78" s="11" t="s">
        <v>393</v>
      </c>
      <c r="I78" s="15" t="s">
        <v>31</v>
      </c>
      <c r="J78" s="16" t="s">
        <v>35</v>
      </c>
      <c r="K78" s="17"/>
      <c r="L78" s="17"/>
      <c r="M78" s="18"/>
      <c r="N78" s="18"/>
    </row>
    <row r="79" s="1" customFormat="1" ht="17.55" customHeight="1" spans="1:14">
      <c r="A79" s="6" t="s">
        <v>200</v>
      </c>
      <c r="B79" s="7"/>
      <c r="C79" s="8" t="s">
        <v>58</v>
      </c>
      <c r="D79" s="6" t="s">
        <v>24</v>
      </c>
      <c r="E79" s="6"/>
      <c r="F79" s="9"/>
      <c r="G79" s="10">
        <v>3955.1</v>
      </c>
      <c r="H79" s="11" t="s">
        <v>395</v>
      </c>
      <c r="I79" s="15" t="s">
        <v>31</v>
      </c>
      <c r="J79" s="16" t="s">
        <v>62</v>
      </c>
      <c r="K79" s="17"/>
      <c r="L79" s="17"/>
      <c r="M79" s="18"/>
      <c r="N79" s="18"/>
    </row>
    <row r="80" s="1" customFormat="1" ht="17.55" customHeight="1" spans="1:14">
      <c r="A80" s="6" t="s">
        <v>200</v>
      </c>
      <c r="B80" s="7"/>
      <c r="C80" s="8" t="s">
        <v>58</v>
      </c>
      <c r="D80" s="6" t="s">
        <v>24</v>
      </c>
      <c r="E80" s="6"/>
      <c r="F80" s="9"/>
      <c r="G80" s="10">
        <v>2938.2</v>
      </c>
      <c r="H80" s="11" t="s">
        <v>395</v>
      </c>
      <c r="I80" s="15" t="s">
        <v>31</v>
      </c>
      <c r="J80" s="16" t="s">
        <v>62</v>
      </c>
      <c r="K80" s="17"/>
      <c r="L80" s="17"/>
      <c r="M80" s="18"/>
      <c r="N80" s="18"/>
    </row>
    <row r="81" s="1" customFormat="1" ht="17.55" customHeight="1" spans="1:14">
      <c r="A81" s="6" t="s">
        <v>200</v>
      </c>
      <c r="B81" s="7"/>
      <c r="C81" s="8" t="s">
        <v>58</v>
      </c>
      <c r="D81" s="6" t="s">
        <v>24</v>
      </c>
      <c r="E81" s="6"/>
      <c r="F81" s="9"/>
      <c r="G81" s="10">
        <v>4831</v>
      </c>
      <c r="H81" s="11" t="s">
        <v>390</v>
      </c>
      <c r="I81" s="15" t="s">
        <v>31</v>
      </c>
      <c r="J81" s="16" t="s">
        <v>62</v>
      </c>
      <c r="K81" s="17"/>
      <c r="L81" s="17"/>
      <c r="M81" s="18"/>
      <c r="N81" s="18"/>
    </row>
    <row r="82" s="1" customFormat="1" ht="17.55" customHeight="1" spans="1:14">
      <c r="A82" s="6" t="s">
        <v>200</v>
      </c>
      <c r="B82" s="7"/>
      <c r="C82" s="8" t="s">
        <v>28</v>
      </c>
      <c r="D82" s="6" t="s">
        <v>24</v>
      </c>
      <c r="E82" s="6"/>
      <c r="F82" s="9"/>
      <c r="G82" s="10">
        <v>442.61</v>
      </c>
      <c r="H82" s="11" t="s">
        <v>30</v>
      </c>
      <c r="I82" s="15" t="s">
        <v>31</v>
      </c>
      <c r="J82" s="16" t="s">
        <v>32</v>
      </c>
      <c r="K82" s="17"/>
      <c r="L82" s="17"/>
      <c r="M82" s="18"/>
      <c r="N82" s="18"/>
    </row>
    <row r="83" s="1" customFormat="1" ht="17.55" customHeight="1" spans="1:14">
      <c r="A83" s="6" t="s">
        <v>200</v>
      </c>
      <c r="B83" s="7"/>
      <c r="C83" s="8" t="s">
        <v>28</v>
      </c>
      <c r="D83" s="6" t="s">
        <v>24</v>
      </c>
      <c r="E83" s="6"/>
      <c r="F83" s="9"/>
      <c r="G83" s="10">
        <v>597.46</v>
      </c>
      <c r="H83" s="11" t="s">
        <v>30</v>
      </c>
      <c r="I83" s="15" t="s">
        <v>31</v>
      </c>
      <c r="J83" s="16" t="s">
        <v>32</v>
      </c>
      <c r="K83" s="17"/>
      <c r="L83" s="17"/>
      <c r="M83" s="18"/>
      <c r="N83" s="18"/>
    </row>
    <row r="84" s="1" customFormat="1" ht="17.55" customHeight="1" spans="1:14">
      <c r="A84" s="6" t="s">
        <v>200</v>
      </c>
      <c r="B84" s="7"/>
      <c r="C84" s="8" t="s">
        <v>28</v>
      </c>
      <c r="D84" s="6" t="s">
        <v>24</v>
      </c>
      <c r="E84" s="6"/>
      <c r="F84" s="9"/>
      <c r="G84" s="10">
        <v>1782.02</v>
      </c>
      <c r="H84" s="11" t="s">
        <v>30</v>
      </c>
      <c r="I84" s="15" t="s">
        <v>31</v>
      </c>
      <c r="J84" s="16" t="s">
        <v>32</v>
      </c>
      <c r="K84" s="17"/>
      <c r="L84" s="17"/>
      <c r="M84" s="18"/>
      <c r="N84" s="18"/>
    </row>
    <row r="85" s="1" customFormat="1" ht="17.55" customHeight="1" spans="1:14">
      <c r="A85" s="6" t="s">
        <v>200</v>
      </c>
      <c r="B85" s="7"/>
      <c r="C85" s="8" t="s">
        <v>28</v>
      </c>
      <c r="D85" s="6" t="s">
        <v>24</v>
      </c>
      <c r="E85" s="6"/>
      <c r="F85" s="9"/>
      <c r="G85" s="10">
        <v>108284.68</v>
      </c>
      <c r="H85" s="11" t="s">
        <v>393</v>
      </c>
      <c r="I85" s="15" t="s">
        <v>31</v>
      </c>
      <c r="J85" s="16" t="s">
        <v>35</v>
      </c>
      <c r="K85" s="17"/>
      <c r="L85" s="17"/>
      <c r="M85" s="18"/>
      <c r="N85" s="18"/>
    </row>
    <row r="86" s="1" customFormat="1" ht="17.55" customHeight="1" spans="1:14">
      <c r="A86" s="6" t="s">
        <v>204</v>
      </c>
      <c r="B86" s="7"/>
      <c r="C86" s="8" t="s">
        <v>28</v>
      </c>
      <c r="D86" s="6" t="s">
        <v>24</v>
      </c>
      <c r="E86" s="6"/>
      <c r="F86" s="9"/>
      <c r="G86" s="10">
        <v>5467.97</v>
      </c>
      <c r="H86" s="11" t="s">
        <v>80</v>
      </c>
      <c r="I86" s="15" t="s">
        <v>31</v>
      </c>
      <c r="J86" s="16" t="s">
        <v>81</v>
      </c>
      <c r="K86" s="17"/>
      <c r="L86" s="17"/>
      <c r="M86" s="18"/>
      <c r="N86" s="18"/>
    </row>
    <row r="87" s="1" customFormat="1" ht="17.55" customHeight="1" spans="1:14">
      <c r="A87" s="6" t="s">
        <v>204</v>
      </c>
      <c r="B87" s="7"/>
      <c r="C87" s="8" t="s">
        <v>58</v>
      </c>
      <c r="D87" s="6" t="s">
        <v>24</v>
      </c>
      <c r="E87" s="6"/>
      <c r="F87" s="9"/>
      <c r="G87" s="10">
        <v>2529.65</v>
      </c>
      <c r="H87" s="11" t="s">
        <v>390</v>
      </c>
      <c r="I87" s="15" t="s">
        <v>31</v>
      </c>
      <c r="J87" s="16" t="s">
        <v>62</v>
      </c>
      <c r="K87" s="17"/>
      <c r="L87" s="17"/>
      <c r="M87" s="18"/>
      <c r="N87" s="18"/>
    </row>
    <row r="88" s="1" customFormat="1" ht="17.55" customHeight="1" spans="1:14">
      <c r="A88" s="6" t="s">
        <v>204</v>
      </c>
      <c r="B88" s="7"/>
      <c r="C88" s="8" t="s">
        <v>28</v>
      </c>
      <c r="D88" s="6" t="s">
        <v>24</v>
      </c>
      <c r="E88" s="6"/>
      <c r="F88" s="9"/>
      <c r="G88" s="10">
        <v>1460.91</v>
      </c>
      <c r="H88" s="11" t="s">
        <v>30</v>
      </c>
      <c r="I88" s="15" t="s">
        <v>31</v>
      </c>
      <c r="J88" s="16" t="s">
        <v>32</v>
      </c>
      <c r="K88" s="17"/>
      <c r="L88" s="17"/>
      <c r="M88" s="18"/>
      <c r="N88" s="18"/>
    </row>
    <row r="89" s="1" customFormat="1" ht="17.55" customHeight="1" spans="1:14">
      <c r="A89" s="6" t="s">
        <v>204</v>
      </c>
      <c r="B89" s="7"/>
      <c r="C89" s="8" t="s">
        <v>28</v>
      </c>
      <c r="D89" s="6" t="s">
        <v>24</v>
      </c>
      <c r="E89" s="6"/>
      <c r="F89" s="9"/>
      <c r="G89" s="10">
        <v>22903.85</v>
      </c>
      <c r="H89" s="11" t="s">
        <v>206</v>
      </c>
      <c r="I89" s="15" t="s">
        <v>31</v>
      </c>
      <c r="J89" s="16" t="s">
        <v>207</v>
      </c>
      <c r="K89" s="17"/>
      <c r="L89" s="17"/>
      <c r="M89" s="18"/>
      <c r="N89" s="18"/>
    </row>
    <row r="90" s="1" customFormat="1" ht="17.55" customHeight="1" spans="1:14">
      <c r="A90" s="6"/>
      <c r="B90" s="7"/>
      <c r="C90" s="8"/>
      <c r="D90" s="6"/>
      <c r="E90" s="6"/>
      <c r="F90" s="9"/>
      <c r="G90" s="10"/>
      <c r="H90" s="11"/>
      <c r="I90" s="15"/>
      <c r="J90" s="16"/>
      <c r="K90" s="17"/>
      <c r="L90" s="17"/>
      <c r="M90" s="18"/>
      <c r="N90" s="18"/>
    </row>
    <row r="91" s="1" customFormat="1" ht="17.55" customHeight="1" spans="1:14">
      <c r="A91" s="6"/>
      <c r="B91" s="7"/>
      <c r="C91" s="8"/>
      <c r="D91" s="6"/>
      <c r="E91" s="6"/>
      <c r="F91" s="9"/>
      <c r="G91" s="10"/>
      <c r="H91" s="11"/>
      <c r="I91" s="15"/>
      <c r="J91" s="16"/>
      <c r="K91" s="17"/>
      <c r="L91" s="17"/>
      <c r="M91" s="18"/>
      <c r="N91" s="18"/>
    </row>
    <row r="92" s="1" customFormat="1" ht="17.55" customHeight="1" spans="1:14">
      <c r="A92" s="6"/>
      <c r="B92" s="7"/>
      <c r="C92" s="8"/>
      <c r="D92" s="6"/>
      <c r="E92" s="6"/>
      <c r="F92" s="9"/>
      <c r="G92" s="10"/>
      <c r="H92" s="11"/>
      <c r="I92" s="15"/>
      <c r="J92" s="16"/>
      <c r="K92" s="17"/>
      <c r="L92" s="17"/>
      <c r="M92" s="18"/>
      <c r="N92" s="18"/>
    </row>
    <row r="93" s="1" customFormat="1" ht="17.55" customHeight="1" spans="1:14">
      <c r="A93" s="6"/>
      <c r="B93" s="7"/>
      <c r="C93" s="8"/>
      <c r="D93" s="6"/>
      <c r="E93" s="6"/>
      <c r="F93" s="9"/>
      <c r="G93" s="10"/>
      <c r="H93" s="11"/>
      <c r="I93" s="15"/>
      <c r="J93" s="16"/>
      <c r="K93" s="17"/>
      <c r="L93" s="17"/>
      <c r="M93" s="18"/>
      <c r="N93" s="18"/>
    </row>
    <row r="94" s="1" customFormat="1" ht="17.55" customHeight="1" spans="1:14">
      <c r="A94" s="6"/>
      <c r="B94" s="7"/>
      <c r="C94" s="8"/>
      <c r="D94" s="6"/>
      <c r="E94" s="6"/>
      <c r="F94" s="9"/>
      <c r="G94" s="10"/>
      <c r="H94" s="11"/>
      <c r="I94" s="15"/>
      <c r="J94" s="16"/>
      <c r="K94" s="17"/>
      <c r="L94" s="17"/>
      <c r="M94" s="18"/>
      <c r="N94" s="18"/>
    </row>
    <row r="95" s="1" customFormat="1" ht="17.55" customHeight="1" spans="1:14">
      <c r="A95" s="6"/>
      <c r="B95" s="7"/>
      <c r="C95" s="8"/>
      <c r="D95" s="6"/>
      <c r="E95" s="6"/>
      <c r="F95" s="9"/>
      <c r="G95" s="10"/>
      <c r="H95" s="11"/>
      <c r="I95" s="15"/>
      <c r="J95" s="16"/>
      <c r="K95" s="17"/>
      <c r="L95" s="17"/>
      <c r="M95" s="18"/>
      <c r="N95" s="18"/>
    </row>
    <row r="96" s="1" customFormat="1" ht="17.55" customHeight="1" spans="1:14">
      <c r="A96" s="6"/>
      <c r="B96" s="7"/>
      <c r="C96" s="8"/>
      <c r="D96" s="6"/>
      <c r="E96" s="6"/>
      <c r="F96" s="9"/>
      <c r="G96" s="10"/>
      <c r="H96" s="11"/>
      <c r="I96" s="15"/>
      <c r="J96" s="16"/>
      <c r="K96" s="17"/>
      <c r="L96" s="17"/>
      <c r="M96" s="18"/>
      <c r="N96" s="18"/>
    </row>
    <row r="97" s="1" customFormat="1" ht="17.55" customHeight="1" spans="1:14">
      <c r="A97" s="6"/>
      <c r="B97" s="7"/>
      <c r="C97" s="8"/>
      <c r="D97" s="6"/>
      <c r="E97" s="6"/>
      <c r="F97" s="9"/>
      <c r="G97" s="10"/>
      <c r="H97" s="11"/>
      <c r="I97" s="15"/>
      <c r="J97" s="16"/>
      <c r="K97" s="17"/>
      <c r="L97" s="17"/>
      <c r="M97" s="18"/>
      <c r="N97" s="18"/>
    </row>
    <row r="98" s="1" customFormat="1" ht="17.55" customHeight="1" spans="1:14">
      <c r="A98" s="6"/>
      <c r="B98" s="7"/>
      <c r="C98" s="8"/>
      <c r="D98" s="6"/>
      <c r="E98" s="6"/>
      <c r="F98" s="9"/>
      <c r="G98" s="10"/>
      <c r="H98" s="11"/>
      <c r="I98" s="15"/>
      <c r="J98" s="16"/>
      <c r="K98" s="17"/>
      <c r="L98" s="17"/>
      <c r="M98" s="18"/>
      <c r="N98" s="18"/>
    </row>
    <row r="99" s="1" customFormat="1" ht="17.55" customHeight="1" spans="1:14">
      <c r="A99" s="6"/>
      <c r="B99" s="7"/>
      <c r="C99" s="8"/>
      <c r="D99" s="6"/>
      <c r="E99" s="6"/>
      <c r="F99" s="9"/>
      <c r="G99" s="10"/>
      <c r="H99" s="11"/>
      <c r="I99" s="15"/>
      <c r="J99" s="16"/>
      <c r="K99" s="17"/>
      <c r="L99" s="17"/>
      <c r="M99" s="18"/>
      <c r="N99" s="18"/>
    </row>
    <row r="100" s="1" customFormat="1" ht="17.55" customHeight="1" spans="1:14">
      <c r="A100" s="6"/>
      <c r="B100" s="7"/>
      <c r="C100" s="8"/>
      <c r="D100" s="6"/>
      <c r="E100" s="6"/>
      <c r="F100" s="9"/>
      <c r="G100" s="10"/>
      <c r="H100" s="11"/>
      <c r="I100" s="15"/>
      <c r="J100" s="16"/>
      <c r="K100" s="17"/>
      <c r="L100" s="17"/>
      <c r="M100" s="18"/>
      <c r="N100" s="18"/>
    </row>
    <row r="101" s="1" customFormat="1" ht="17.55" customHeight="1" spans="1:14">
      <c r="A101" s="6"/>
      <c r="B101" s="7"/>
      <c r="C101" s="8"/>
      <c r="D101" s="6"/>
      <c r="E101" s="6"/>
      <c r="F101" s="9"/>
      <c r="G101" s="10"/>
      <c r="H101" s="11"/>
      <c r="I101" s="15"/>
      <c r="J101" s="16"/>
      <c r="K101" s="17"/>
      <c r="L101" s="17"/>
      <c r="M101" s="18"/>
      <c r="N101" s="18"/>
    </row>
    <row r="102" s="1" customFormat="1" ht="17.55" customHeight="1" spans="1:14">
      <c r="A102" s="6"/>
      <c r="B102" s="7"/>
      <c r="C102" s="8"/>
      <c r="D102" s="6"/>
      <c r="E102" s="6"/>
      <c r="F102" s="9"/>
      <c r="G102" s="10"/>
      <c r="H102" s="11"/>
      <c r="I102" s="15"/>
      <c r="J102" s="16"/>
      <c r="K102" s="17"/>
      <c r="L102" s="17"/>
      <c r="M102" s="18"/>
      <c r="N102" s="18"/>
    </row>
    <row r="103" s="1" customFormat="1" ht="17.55" customHeight="1" spans="1:14">
      <c r="A103" s="6"/>
      <c r="B103" s="7"/>
      <c r="C103" s="8"/>
      <c r="D103" s="6"/>
      <c r="E103" s="6"/>
      <c r="F103" s="9"/>
      <c r="G103" s="10"/>
      <c r="H103" s="11"/>
      <c r="I103" s="15"/>
      <c r="J103" s="16"/>
      <c r="K103" s="17"/>
      <c r="L103" s="17"/>
      <c r="M103" s="18"/>
      <c r="N103" s="18"/>
    </row>
    <row r="104" s="1" customFormat="1" ht="17.55" customHeight="1" spans="1:14">
      <c r="A104" s="6"/>
      <c r="B104" s="7"/>
      <c r="C104" s="8"/>
      <c r="D104" s="6"/>
      <c r="E104" s="6"/>
      <c r="F104" s="9"/>
      <c r="G104" s="10"/>
      <c r="H104" s="11"/>
      <c r="I104" s="15"/>
      <c r="J104" s="16"/>
      <c r="K104" s="17"/>
      <c r="L104" s="17"/>
      <c r="M104" s="18"/>
      <c r="N104" s="18"/>
    </row>
    <row r="105" s="1" customFormat="1" ht="17.55" customHeight="1" spans="1:14">
      <c r="A105" s="6"/>
      <c r="B105" s="7"/>
      <c r="C105" s="8"/>
      <c r="D105" s="6"/>
      <c r="E105" s="6"/>
      <c r="F105" s="9"/>
      <c r="G105" s="10"/>
      <c r="H105" s="11"/>
      <c r="I105" s="15"/>
      <c r="J105" s="16"/>
      <c r="K105" s="17"/>
      <c r="L105" s="17"/>
      <c r="M105" s="18"/>
      <c r="N105" s="18"/>
    </row>
    <row r="106" s="1" customFormat="1" ht="17.55" customHeight="1" spans="1:14">
      <c r="A106" s="6"/>
      <c r="B106" s="7"/>
      <c r="C106" s="8"/>
      <c r="D106" s="6"/>
      <c r="E106" s="6"/>
      <c r="F106" s="9"/>
      <c r="G106" s="10"/>
      <c r="H106" s="11"/>
      <c r="I106" s="15"/>
      <c r="J106" s="16"/>
      <c r="K106" s="17"/>
      <c r="L106" s="17"/>
      <c r="M106" s="18"/>
      <c r="N106" s="18"/>
    </row>
    <row r="107" s="1" customFormat="1" ht="17.55" customHeight="1" spans="1:14">
      <c r="A107" s="6"/>
      <c r="B107" s="7"/>
      <c r="C107" s="8"/>
      <c r="D107" s="6"/>
      <c r="E107" s="6"/>
      <c r="F107" s="9"/>
      <c r="G107" s="10"/>
      <c r="H107" s="11"/>
      <c r="I107" s="15"/>
      <c r="J107" s="16"/>
      <c r="K107" s="17"/>
      <c r="L107" s="17"/>
      <c r="M107" s="18"/>
      <c r="N107" s="18"/>
    </row>
    <row r="108" s="1" customFormat="1" ht="17.55" customHeight="1" spans="1:14">
      <c r="A108" s="6"/>
      <c r="B108" s="7"/>
      <c r="C108" s="8"/>
      <c r="D108" s="6"/>
      <c r="E108" s="6"/>
      <c r="F108" s="9"/>
      <c r="G108" s="10"/>
      <c r="H108" s="11"/>
      <c r="I108" s="15"/>
      <c r="J108" s="16"/>
      <c r="K108" s="17"/>
      <c r="L108" s="17"/>
      <c r="M108" s="18"/>
      <c r="N108" s="18"/>
    </row>
    <row r="109" s="1" customFormat="1" ht="17.55" customHeight="1" spans="1:14">
      <c r="A109" s="6"/>
      <c r="B109" s="7"/>
      <c r="C109" s="8"/>
      <c r="D109" s="6"/>
      <c r="E109" s="6"/>
      <c r="F109" s="9"/>
      <c r="G109" s="10"/>
      <c r="H109" s="11"/>
      <c r="I109" s="15"/>
      <c r="J109" s="16"/>
      <c r="K109" s="17"/>
      <c r="L109" s="17"/>
      <c r="M109" s="18"/>
      <c r="N109" s="18"/>
    </row>
    <row r="110" s="1" customFormat="1" ht="17.55" customHeight="1" spans="1:14">
      <c r="A110" s="6"/>
      <c r="B110" s="7"/>
      <c r="C110" s="8"/>
      <c r="D110" s="6"/>
      <c r="E110" s="6"/>
      <c r="F110" s="9"/>
      <c r="G110" s="10"/>
      <c r="H110" s="11"/>
      <c r="I110" s="15"/>
      <c r="J110" s="16"/>
      <c r="K110" s="17"/>
      <c r="L110" s="17"/>
      <c r="M110" s="18"/>
      <c r="N110" s="18"/>
    </row>
    <row r="111" s="1" customFormat="1" ht="17.55" customHeight="1" spans="1:14">
      <c r="A111" s="6"/>
      <c r="B111" s="7"/>
      <c r="C111" s="8"/>
      <c r="D111" s="6"/>
      <c r="E111" s="6"/>
      <c r="F111" s="9"/>
      <c r="G111" s="10"/>
      <c r="H111" s="11"/>
      <c r="I111" s="15"/>
      <c r="J111" s="16"/>
      <c r="K111" s="17"/>
      <c r="L111" s="17"/>
      <c r="M111" s="18"/>
      <c r="N111" s="18"/>
    </row>
    <row r="112" s="1" customFormat="1" ht="17.55" customHeight="1" spans="1:14">
      <c r="A112" s="6"/>
      <c r="B112" s="7"/>
      <c r="C112" s="8"/>
      <c r="D112" s="6"/>
      <c r="E112" s="6"/>
      <c r="F112" s="9"/>
      <c r="G112" s="10"/>
      <c r="H112" s="11"/>
      <c r="I112" s="15"/>
      <c r="J112" s="16"/>
      <c r="K112" s="17"/>
      <c r="L112" s="17"/>
      <c r="M112" s="18"/>
      <c r="N112" s="18"/>
    </row>
    <row r="114" ht="16.8" customHeight="1" spans="11:11">
      <c r="K114" s="122"/>
    </row>
  </sheetData>
  <autoFilter xmlns:etc="http://www.wps.cn/officeDocument/2017/etCustomData" ref="A2:N118" etc:filterBottomFollowUsedRange="0">
    <extLst/>
  </autoFilter>
  <mergeCells count="1">
    <mergeCell ref="A1:H1"/>
  </mergeCells>
  <conditionalFormatting sqref="I3">
    <cfRule type="containsText" dxfId="0" priority="81" operator="between" text="待">
      <formula>NOT(ISERROR(SEARCH("待",I3)))</formula>
    </cfRule>
    <cfRule type="containsText" dxfId="1" priority="88" operator="between" text="/">
      <formula>NOT(ISERROR(SEARCH("/",I3)))</formula>
    </cfRule>
  </conditionalFormatting>
  <conditionalFormatting sqref="J3">
    <cfRule type="containsText" dxfId="0" priority="95" operator="between" text="待">
      <formula>NOT(ISERROR(SEARCH("待",J3)))</formula>
    </cfRule>
    <cfRule type="containsText" dxfId="1" priority="102" operator="between" text="/">
      <formula>NOT(ISERROR(SEARCH("/",J3)))</formula>
    </cfRule>
  </conditionalFormatting>
  <conditionalFormatting sqref="K3">
    <cfRule type="containsText" dxfId="0" priority="109" operator="between" text="待">
      <formula>NOT(ISERROR(SEARCH("待",K3)))</formula>
    </cfRule>
  </conditionalFormatting>
  <conditionalFormatting sqref="L3">
    <cfRule type="containsText" dxfId="0" priority="116" operator="between" text="待附件">
      <formula>NOT(ISERROR(SEARCH("待附件",L3)))</formula>
    </cfRule>
    <cfRule type="containsText" dxfId="0" priority="123" operator="between" text="待提单">
      <formula>NOT(ISERROR(SEARCH("待提单",L3)))</formula>
    </cfRule>
  </conditionalFormatting>
  <conditionalFormatting sqref="I4">
    <cfRule type="containsText" dxfId="0" priority="80" operator="between" text="待">
      <formula>NOT(ISERROR(SEARCH("待",I4)))</formula>
    </cfRule>
    <cfRule type="containsText" dxfId="1" priority="87" operator="between" text="/">
      <formula>NOT(ISERROR(SEARCH("/",I4)))</formula>
    </cfRule>
  </conditionalFormatting>
  <conditionalFormatting sqref="J4">
    <cfRule type="containsText" dxfId="0" priority="94" operator="between" text="待">
      <formula>NOT(ISERROR(SEARCH("待",J4)))</formula>
    </cfRule>
    <cfRule type="containsText" dxfId="1" priority="101" operator="between" text="/">
      <formula>NOT(ISERROR(SEARCH("/",J4)))</formula>
    </cfRule>
  </conditionalFormatting>
  <conditionalFormatting sqref="K4">
    <cfRule type="containsText" dxfId="0" priority="108" operator="between" text="待">
      <formula>NOT(ISERROR(SEARCH("待",K4)))</formula>
    </cfRule>
  </conditionalFormatting>
  <conditionalFormatting sqref="L4">
    <cfRule type="containsText" dxfId="0" priority="115" operator="between" text="待附件">
      <formula>NOT(ISERROR(SEARCH("待附件",L4)))</formula>
    </cfRule>
    <cfRule type="containsText" dxfId="0" priority="122" operator="between" text="待提单">
      <formula>NOT(ISERROR(SEARCH("待提单",L4)))</formula>
    </cfRule>
  </conditionalFormatting>
  <conditionalFormatting sqref="I5">
    <cfRule type="containsText" dxfId="0" priority="79" operator="between" text="待">
      <formula>NOT(ISERROR(SEARCH("待",I5)))</formula>
    </cfRule>
    <cfRule type="containsText" dxfId="1" priority="86" operator="between" text="/">
      <formula>NOT(ISERROR(SEARCH("/",I5)))</formula>
    </cfRule>
  </conditionalFormatting>
  <conditionalFormatting sqref="J5">
    <cfRule type="containsText" dxfId="0" priority="93" operator="between" text="待">
      <formula>NOT(ISERROR(SEARCH("待",J5)))</formula>
    </cfRule>
    <cfRule type="containsText" dxfId="1" priority="100" operator="between" text="/">
      <formula>NOT(ISERROR(SEARCH("/",J5)))</formula>
    </cfRule>
  </conditionalFormatting>
  <conditionalFormatting sqref="K5">
    <cfRule type="containsText" dxfId="0" priority="107" operator="between" text="待">
      <formula>NOT(ISERROR(SEARCH("待",K5)))</formula>
    </cfRule>
  </conditionalFormatting>
  <conditionalFormatting sqref="L5">
    <cfRule type="containsText" dxfId="0" priority="114" operator="between" text="待附件">
      <formula>NOT(ISERROR(SEARCH("待附件",L5)))</formula>
    </cfRule>
    <cfRule type="containsText" dxfId="0" priority="121" operator="between" text="待提单">
      <formula>NOT(ISERROR(SEARCH("待提单",L5)))</formula>
    </cfRule>
  </conditionalFormatting>
  <conditionalFormatting sqref="I6">
    <cfRule type="containsText" dxfId="0" priority="78" operator="between" text="待">
      <formula>NOT(ISERROR(SEARCH("待",I6)))</formula>
    </cfRule>
    <cfRule type="containsText" dxfId="1" priority="85" operator="between" text="/">
      <formula>NOT(ISERROR(SEARCH("/",I6)))</formula>
    </cfRule>
  </conditionalFormatting>
  <conditionalFormatting sqref="J6">
    <cfRule type="containsText" dxfId="0" priority="92" operator="between" text="待">
      <formula>NOT(ISERROR(SEARCH("待",J6)))</formula>
    </cfRule>
    <cfRule type="containsText" dxfId="1" priority="99" operator="between" text="/">
      <formula>NOT(ISERROR(SEARCH("/",J6)))</formula>
    </cfRule>
  </conditionalFormatting>
  <conditionalFormatting sqref="K6">
    <cfRule type="containsText" dxfId="0" priority="106" operator="between" text="待">
      <formula>NOT(ISERROR(SEARCH("待",K6)))</formula>
    </cfRule>
  </conditionalFormatting>
  <conditionalFormatting sqref="L6">
    <cfRule type="containsText" dxfId="0" priority="113" operator="between" text="待附件">
      <formula>NOT(ISERROR(SEARCH("待附件",L6)))</formula>
    </cfRule>
    <cfRule type="containsText" dxfId="0" priority="120" operator="between" text="待提单">
      <formula>NOT(ISERROR(SEARCH("待提单",L6)))</formula>
    </cfRule>
  </conditionalFormatting>
  <conditionalFormatting sqref="I7">
    <cfRule type="containsText" dxfId="0" priority="77" operator="between" text="待">
      <formula>NOT(ISERROR(SEARCH("待",I7)))</formula>
    </cfRule>
    <cfRule type="containsText" dxfId="1" priority="84" operator="between" text="/">
      <formula>NOT(ISERROR(SEARCH("/",I7)))</formula>
    </cfRule>
  </conditionalFormatting>
  <conditionalFormatting sqref="J7">
    <cfRule type="containsText" dxfId="0" priority="91" operator="between" text="待">
      <formula>NOT(ISERROR(SEARCH("待",J7)))</formula>
    </cfRule>
    <cfRule type="containsText" dxfId="1" priority="98" operator="between" text="/">
      <formula>NOT(ISERROR(SEARCH("/",J7)))</formula>
    </cfRule>
  </conditionalFormatting>
  <conditionalFormatting sqref="K7">
    <cfRule type="containsText" dxfId="0" priority="105" operator="between" text="待">
      <formula>NOT(ISERROR(SEARCH("待",K7)))</formula>
    </cfRule>
  </conditionalFormatting>
  <conditionalFormatting sqref="L7">
    <cfRule type="containsText" dxfId="0" priority="15" operator="between" text="待提单">
      <formula>NOT(ISERROR(SEARCH("待提单",L7)))</formula>
    </cfRule>
    <cfRule type="containsText" dxfId="0" priority="14" operator="between" text="待附件">
      <formula>NOT(ISERROR(SEARCH("待附件",L7)))</formula>
    </cfRule>
  </conditionalFormatting>
  <conditionalFormatting sqref="I8">
    <cfRule type="containsText" dxfId="0" priority="76" operator="between" text="待">
      <formula>NOT(ISERROR(SEARCH("待",I8)))</formula>
    </cfRule>
    <cfRule type="containsText" dxfId="1" priority="83" operator="between" text="/">
      <formula>NOT(ISERROR(SEARCH("/",I8)))</formula>
    </cfRule>
  </conditionalFormatting>
  <conditionalFormatting sqref="J8">
    <cfRule type="containsText" dxfId="0" priority="90" operator="between" text="待">
      <formula>NOT(ISERROR(SEARCH("待",J8)))</formula>
    </cfRule>
    <cfRule type="containsText" dxfId="1" priority="97" operator="between" text="/">
      <formula>NOT(ISERROR(SEARCH("/",J8)))</formula>
    </cfRule>
  </conditionalFormatting>
  <conditionalFormatting sqref="K8">
    <cfRule type="containsText" dxfId="0" priority="104" operator="between" text="待">
      <formula>NOT(ISERROR(SEARCH("待",K8)))</formula>
    </cfRule>
  </conditionalFormatting>
  <conditionalFormatting sqref="L8">
    <cfRule type="containsText" dxfId="0" priority="111" operator="between" text="待附件">
      <formula>NOT(ISERROR(SEARCH("待附件",L8)))</formula>
    </cfRule>
    <cfRule type="containsText" dxfId="0" priority="118" operator="between" text="待提单">
      <formula>NOT(ISERROR(SEARCH("待提单",L8)))</formula>
    </cfRule>
  </conditionalFormatting>
  <conditionalFormatting sqref="I9">
    <cfRule type="containsText" dxfId="0" priority="75" operator="between" text="待">
      <formula>NOT(ISERROR(SEARCH("待",I9)))</formula>
    </cfRule>
    <cfRule type="containsText" dxfId="1" priority="82" operator="between" text="/">
      <formula>NOT(ISERROR(SEARCH("/",I9)))</formula>
    </cfRule>
  </conditionalFormatting>
  <conditionalFormatting sqref="J9">
    <cfRule type="containsText" dxfId="0" priority="89" operator="between" text="待">
      <formula>NOT(ISERROR(SEARCH("待",J9)))</formula>
    </cfRule>
    <cfRule type="containsText" dxfId="1" priority="96" operator="between" text="/">
      <formula>NOT(ISERROR(SEARCH("/",J9)))</formula>
    </cfRule>
  </conditionalFormatting>
  <conditionalFormatting sqref="K9">
    <cfRule type="containsText" dxfId="0" priority="103" operator="between" text="待">
      <formula>NOT(ISERROR(SEARCH("待",K9)))</formula>
    </cfRule>
  </conditionalFormatting>
  <conditionalFormatting sqref="L9">
    <cfRule type="containsText" dxfId="0" priority="110" operator="between" text="待附件">
      <formula>NOT(ISERROR(SEARCH("待附件",L9)))</formula>
    </cfRule>
    <cfRule type="containsText" dxfId="0" priority="117" operator="between" text="待提单">
      <formula>NOT(ISERROR(SEARCH("待提单",L9)))</formula>
    </cfRule>
  </conditionalFormatting>
  <conditionalFormatting sqref="I10">
    <cfRule type="containsText" dxfId="0" priority="138" operator="between" text="待">
      <formula>NOT(ISERROR(SEARCH("待",I10)))</formula>
    </cfRule>
    <cfRule type="containsText" dxfId="1" priority="139" operator="between" text="/">
      <formula>NOT(ISERROR(SEARCH("/",I10)))</formula>
    </cfRule>
  </conditionalFormatting>
  <conditionalFormatting sqref="J10">
    <cfRule type="containsText" dxfId="0" priority="140" operator="between" text="待">
      <formula>NOT(ISERROR(SEARCH("待",J10)))</formula>
    </cfRule>
    <cfRule type="containsText" dxfId="1" priority="141" operator="between" text="/">
      <formula>NOT(ISERROR(SEARCH("/",J10)))</formula>
    </cfRule>
  </conditionalFormatting>
  <conditionalFormatting sqref="I13">
    <cfRule type="containsText" dxfId="0" priority="134" operator="between" text="待">
      <formula>NOT(ISERROR(SEARCH("待",I13)))</formula>
    </cfRule>
    <cfRule type="containsText" dxfId="1" priority="135" operator="between" text="/">
      <formula>NOT(ISERROR(SEARCH("/",I13)))</formula>
    </cfRule>
  </conditionalFormatting>
  <conditionalFormatting sqref="J13">
    <cfRule type="containsText" dxfId="0" priority="136" operator="between" text="待">
      <formula>NOT(ISERROR(SEARCH("待",J13)))</formula>
    </cfRule>
    <cfRule type="containsText" dxfId="1" priority="137" operator="between" text="/">
      <formula>NOT(ISERROR(SEARCH("/",J13)))</formula>
    </cfRule>
  </conditionalFormatting>
  <conditionalFormatting sqref="I19">
    <cfRule type="containsText" dxfId="0" priority="128" operator="between" text="待">
      <formula>NOT(ISERROR(SEARCH("待",I19)))</formula>
    </cfRule>
    <cfRule type="containsText" dxfId="1" priority="129" operator="between" text="/">
      <formula>NOT(ISERROR(SEARCH("/",I19)))</formula>
    </cfRule>
  </conditionalFormatting>
  <conditionalFormatting sqref="J19">
    <cfRule type="containsText" dxfId="0" priority="130" operator="between" text="待">
      <formula>NOT(ISERROR(SEARCH("待",J19)))</formula>
    </cfRule>
    <cfRule type="containsText" dxfId="1" priority="131" operator="between" text="/">
      <formula>NOT(ISERROR(SEARCH("/",J19)))</formula>
    </cfRule>
  </conditionalFormatting>
  <conditionalFormatting sqref="I22:J22">
    <cfRule type="containsText" dxfId="0" priority="133" operator="between" text="待">
      <formula>NOT(ISERROR(SEARCH("待",I22)))</formula>
    </cfRule>
  </conditionalFormatting>
  <conditionalFormatting sqref="J22">
    <cfRule type="containsText" dxfId="1" priority="132" operator="between" text="/">
      <formula>NOT(ISERROR(SEARCH("/",J22)))</formula>
    </cfRule>
  </conditionalFormatting>
  <conditionalFormatting sqref="K22">
    <cfRule type="containsText" dxfId="0" priority="70" operator="between" text="待">
      <formula>NOT(ISERROR(SEARCH("待",K22)))</formula>
    </cfRule>
  </conditionalFormatting>
  <conditionalFormatting sqref="I24:J24">
    <cfRule type="containsText" dxfId="0" priority="73" operator="between" text="待">
      <formula>NOT(ISERROR(SEARCH("待",I24)))</formula>
    </cfRule>
  </conditionalFormatting>
  <conditionalFormatting sqref="J24">
    <cfRule type="containsText" dxfId="1" priority="74" operator="between" text="/">
      <formula>NOT(ISERROR(SEARCH("/",J24)))</formula>
    </cfRule>
  </conditionalFormatting>
  <conditionalFormatting sqref="L27">
    <cfRule type="containsText" dxfId="0" priority="71" operator="between" text="待附件">
      <formula>NOT(ISERROR(SEARCH("待附件",L27)))</formula>
    </cfRule>
    <cfRule type="containsText" dxfId="0" priority="72" operator="between" text="待提单">
      <formula>NOT(ISERROR(SEARCH("待提单",L27)))</formula>
    </cfRule>
  </conditionalFormatting>
  <conditionalFormatting sqref="I29:J29">
    <cfRule type="containsText" dxfId="0" priority="64" operator="between" text="待">
      <formula>NOT(ISERROR(SEARCH("待",I29)))</formula>
    </cfRule>
  </conditionalFormatting>
  <conditionalFormatting sqref="J29">
    <cfRule type="containsText" dxfId="1" priority="65" operator="between" text="/">
      <formula>NOT(ISERROR(SEARCH("/",J29)))</formula>
    </cfRule>
  </conditionalFormatting>
  <conditionalFormatting sqref="I32:J32">
    <cfRule type="containsText" dxfId="0" priority="58" operator="between" text="待">
      <formula>NOT(ISERROR(SEARCH("待",I32)))</formula>
    </cfRule>
  </conditionalFormatting>
  <conditionalFormatting sqref="J32">
    <cfRule type="containsText" dxfId="1" priority="59" operator="between" text="/">
      <formula>NOT(ISERROR(SEARCH("/",J32)))</formula>
    </cfRule>
  </conditionalFormatting>
  <conditionalFormatting sqref="I36:K36">
    <cfRule type="containsText" dxfId="0" priority="63" operator="between" text="待">
      <formula>NOT(ISERROR(SEARCH("待",I36)))</formula>
    </cfRule>
  </conditionalFormatting>
  <conditionalFormatting sqref="J36">
    <cfRule type="containsText" dxfId="1" priority="60" operator="between" text="/">
      <formula>NOT(ISERROR(SEARCH("/",J36)))</formula>
    </cfRule>
  </conditionalFormatting>
  <conditionalFormatting sqref="L36">
    <cfRule type="containsText" dxfId="0" priority="61" operator="between" text="待附件">
      <formula>NOT(ISERROR(SEARCH("待附件",L36)))</formula>
    </cfRule>
    <cfRule type="containsText" dxfId="0" priority="62" operator="between" text="待提单">
      <formula>NOT(ISERROR(SEARCH("待提单",L36)))</formula>
    </cfRule>
  </conditionalFormatting>
  <conditionalFormatting sqref="I37:J37">
    <cfRule type="containsText" dxfId="0" priority="56" operator="between" text="待">
      <formula>NOT(ISERROR(SEARCH("待",I37)))</formula>
    </cfRule>
  </conditionalFormatting>
  <conditionalFormatting sqref="J37">
    <cfRule type="containsText" dxfId="1" priority="57" operator="between" text="/">
      <formula>NOT(ISERROR(SEARCH("/",J37)))</formula>
    </cfRule>
  </conditionalFormatting>
  <conditionalFormatting sqref="I38:J38">
    <cfRule type="containsText" dxfId="0" priority="54" operator="between" text="待">
      <formula>NOT(ISERROR(SEARCH("待",I38)))</formula>
    </cfRule>
  </conditionalFormatting>
  <conditionalFormatting sqref="J38">
    <cfRule type="containsText" dxfId="1" priority="55" operator="between" text="/">
      <formula>NOT(ISERROR(SEARCH("/",J38)))</formula>
    </cfRule>
  </conditionalFormatting>
  <conditionalFormatting sqref="I39:J39">
    <cfRule type="containsText" dxfId="0" priority="52" operator="between" text="待">
      <formula>NOT(ISERROR(SEARCH("待",I39)))</formula>
    </cfRule>
  </conditionalFormatting>
  <conditionalFormatting sqref="J39">
    <cfRule type="containsText" dxfId="1" priority="53" operator="between" text="/">
      <formula>NOT(ISERROR(SEARCH("/",J39)))</formula>
    </cfRule>
  </conditionalFormatting>
  <conditionalFormatting sqref="J42">
    <cfRule type="containsText" dxfId="1" priority="50" operator="between" text="/">
      <formula>NOT(ISERROR(SEARCH("/",J42)))</formula>
    </cfRule>
  </conditionalFormatting>
  <conditionalFormatting sqref="J43">
    <cfRule type="containsText" dxfId="1" priority="51" operator="between" text="/">
      <formula>NOT(ISERROR(SEARCH("/",J43)))</formula>
    </cfRule>
  </conditionalFormatting>
  <conditionalFormatting sqref="J44">
    <cfRule type="containsText" dxfId="1" priority="49" operator="between" text="/">
      <formula>NOT(ISERROR(SEARCH("/",J44)))</formula>
    </cfRule>
  </conditionalFormatting>
  <conditionalFormatting sqref="J45">
    <cfRule type="containsText" dxfId="1" priority="48" operator="between" text="/">
      <formula>NOT(ISERROR(SEARCH("/",J45)))</formula>
    </cfRule>
  </conditionalFormatting>
  <conditionalFormatting sqref="J46">
    <cfRule type="containsText" dxfId="1" priority="46" operator="between" text="/">
      <formula>NOT(ISERROR(SEARCH("/",J46)))</formula>
    </cfRule>
  </conditionalFormatting>
  <conditionalFormatting sqref="J47">
    <cfRule type="containsText" dxfId="1" priority="47" operator="between" text="/">
      <formula>NOT(ISERROR(SEARCH("/",J47)))</formula>
    </cfRule>
  </conditionalFormatting>
  <conditionalFormatting sqref="J51">
    <cfRule type="containsText" dxfId="1" priority="43" operator="between" text="/">
      <formula>NOT(ISERROR(SEARCH("/",J51)))</formula>
    </cfRule>
  </conditionalFormatting>
  <conditionalFormatting sqref="L51">
    <cfRule type="containsText" dxfId="0" priority="45" operator="between" text="待提单">
      <formula>NOT(ISERROR(SEARCH("待提单",L51)))</formula>
    </cfRule>
    <cfRule type="containsText" dxfId="0" priority="44" operator="between" text="待附件">
      <formula>NOT(ISERROR(SEARCH("待附件",L51)))</formula>
    </cfRule>
  </conditionalFormatting>
  <conditionalFormatting sqref="I52">
    <cfRule type="containsText" dxfId="0" priority="41" operator="between" text="待">
      <formula>NOT(ISERROR(SEARCH("待",I52)))</formula>
    </cfRule>
  </conditionalFormatting>
  <conditionalFormatting sqref="K52">
    <cfRule type="containsText" dxfId="0" priority="18" operator="between" text="待">
      <formula>NOT(ISERROR(SEARCH("待",K52)))</formula>
    </cfRule>
  </conditionalFormatting>
  <conditionalFormatting sqref="I56">
    <cfRule type="containsText" dxfId="0" priority="16" operator="between" text="待">
      <formula>NOT(ISERROR(SEARCH("待",I56)))</formula>
    </cfRule>
  </conditionalFormatting>
  <conditionalFormatting sqref="J57">
    <cfRule type="containsText" dxfId="1" priority="36" operator="between" text="/">
      <formula>NOT(ISERROR(SEARCH("/",J57)))</formula>
    </cfRule>
  </conditionalFormatting>
  <conditionalFormatting sqref="J58">
    <cfRule type="containsText" dxfId="1" priority="40" operator="between" text="/">
      <formula>NOT(ISERROR(SEARCH("/",J58)))</formula>
    </cfRule>
  </conditionalFormatting>
  <conditionalFormatting sqref="J59">
    <cfRule type="containsText" dxfId="1" priority="39" operator="between" text="/">
      <formula>NOT(ISERROR(SEARCH("/",J59)))</formula>
    </cfRule>
  </conditionalFormatting>
  <conditionalFormatting sqref="J60">
    <cfRule type="containsText" dxfId="1" priority="38" operator="between" text="/">
      <formula>NOT(ISERROR(SEARCH("/",J60)))</formula>
    </cfRule>
  </conditionalFormatting>
  <conditionalFormatting sqref="J61">
    <cfRule type="containsText" dxfId="1" priority="37" operator="between" text="/">
      <formula>NOT(ISERROR(SEARCH("/",J61)))</formula>
    </cfRule>
  </conditionalFormatting>
  <conditionalFormatting sqref="J62">
    <cfRule type="containsText" dxfId="1" priority="35" operator="between" text="/">
      <formula>NOT(ISERROR(SEARCH("/",J62)))</formula>
    </cfRule>
  </conditionalFormatting>
  <conditionalFormatting sqref="J63">
    <cfRule type="containsText" dxfId="1" priority="34" operator="between" text="/">
      <formula>NOT(ISERROR(SEARCH("/",J63)))</formula>
    </cfRule>
  </conditionalFormatting>
  <conditionalFormatting sqref="I64:J64">
    <cfRule type="containsText" dxfId="0" priority="31" operator="between" text="待">
      <formula>NOT(ISERROR(SEARCH("待",I64)))</formula>
    </cfRule>
  </conditionalFormatting>
  <conditionalFormatting sqref="J64">
    <cfRule type="containsText" dxfId="1" priority="32" operator="between" text="/">
      <formula>NOT(ISERROR(SEARCH("/",J64)))</formula>
    </cfRule>
  </conditionalFormatting>
  <conditionalFormatting sqref="J65">
    <cfRule type="containsText" dxfId="1" priority="27" operator="between" text="/">
      <formula>NOT(ISERROR(SEARCH("/",J65)))</formula>
    </cfRule>
  </conditionalFormatting>
  <conditionalFormatting sqref="J66">
    <cfRule type="containsText" dxfId="1" priority="29" operator="between" text="/">
      <formula>NOT(ISERROR(SEARCH("/",J66)))</formula>
    </cfRule>
  </conditionalFormatting>
  <conditionalFormatting sqref="J67">
    <cfRule type="containsText" dxfId="1" priority="28" operator="between" text="/">
      <formula>NOT(ISERROR(SEARCH("/",J67)))</formula>
    </cfRule>
  </conditionalFormatting>
  <conditionalFormatting sqref="I68:J68">
    <cfRule type="containsText" dxfId="0" priority="25" operator="between" text="待">
      <formula>NOT(ISERROR(SEARCH("待",I68)))</formula>
    </cfRule>
  </conditionalFormatting>
  <conditionalFormatting sqref="J68">
    <cfRule type="containsText" dxfId="1" priority="26" operator="between" text="/">
      <formula>NOT(ISERROR(SEARCH("/",J68)))</formula>
    </cfRule>
  </conditionalFormatting>
  <conditionalFormatting sqref="I69:J69">
    <cfRule type="containsText" dxfId="0" priority="23" operator="between" text="待">
      <formula>NOT(ISERROR(SEARCH("待",I69)))</formula>
    </cfRule>
  </conditionalFormatting>
  <conditionalFormatting sqref="J69">
    <cfRule type="containsText" dxfId="1" priority="24" operator="between" text="/">
      <formula>NOT(ISERROR(SEARCH("/",J69)))</formula>
    </cfRule>
  </conditionalFormatting>
  <conditionalFormatting sqref="J70">
    <cfRule type="containsText" dxfId="1" priority="19" operator="between" text="/">
      <formula>NOT(ISERROR(SEARCH("/",J70)))</formula>
    </cfRule>
  </conditionalFormatting>
  <conditionalFormatting sqref="J71">
    <cfRule type="containsText" dxfId="1" priority="21" operator="between" text="/">
      <formula>NOT(ISERROR(SEARCH("/",J71)))</formula>
    </cfRule>
  </conditionalFormatting>
  <conditionalFormatting sqref="J72">
    <cfRule type="containsText" dxfId="1" priority="20" operator="between" text="/">
      <formula>NOT(ISERROR(SEARCH("/",J72)))</formula>
    </cfRule>
  </conditionalFormatting>
  <conditionalFormatting sqref="J79">
    <cfRule type="containsText" dxfId="1" priority="13" operator="between" text="/">
      <formula>NOT(ISERROR(SEARCH("/",J79)))</formula>
    </cfRule>
  </conditionalFormatting>
  <conditionalFormatting sqref="J80">
    <cfRule type="containsText" dxfId="1" priority="12" operator="between" text="/">
      <formula>NOT(ISERROR(SEARCH("/",J80)))</formula>
    </cfRule>
  </conditionalFormatting>
  <conditionalFormatting sqref="J81">
    <cfRule type="containsText" dxfId="1" priority="11" operator="between" text="/">
      <formula>NOT(ISERROR(SEARCH("/",J81)))</formula>
    </cfRule>
  </conditionalFormatting>
  <conditionalFormatting sqref="J82">
    <cfRule type="containsText" dxfId="1" priority="10" operator="between" text="/">
      <formula>NOT(ISERROR(SEARCH("/",J82)))</formula>
    </cfRule>
  </conditionalFormatting>
  <conditionalFormatting sqref="J83">
    <cfRule type="containsText" dxfId="1" priority="9" operator="between" text="/">
      <formula>NOT(ISERROR(SEARCH("/",J83)))</formula>
    </cfRule>
  </conditionalFormatting>
  <conditionalFormatting sqref="J84">
    <cfRule type="containsText" dxfId="1" priority="8" operator="between" text="/">
      <formula>NOT(ISERROR(SEARCH("/",J84)))</formula>
    </cfRule>
  </conditionalFormatting>
  <conditionalFormatting sqref="J85">
    <cfRule type="containsText" dxfId="1" priority="7" operator="between" text="/">
      <formula>NOT(ISERROR(SEARCH("/",J85)))</formula>
    </cfRule>
  </conditionalFormatting>
  <conditionalFormatting sqref="I86:J86">
    <cfRule type="containsText" dxfId="0" priority="1" operator="between" text="待">
      <formula>NOT(ISERROR(SEARCH("待",I86)))</formula>
    </cfRule>
  </conditionalFormatting>
  <conditionalFormatting sqref="J86">
    <cfRule type="containsText" dxfId="1" priority="2" operator="between" text="/">
      <formula>NOT(ISERROR(SEARCH("/",J86)))</formula>
    </cfRule>
  </conditionalFormatting>
  <conditionalFormatting sqref="J87">
    <cfRule type="containsText" dxfId="1" priority="3" operator="between" text="/">
      <formula>NOT(ISERROR(SEARCH("/",J87)))</formula>
    </cfRule>
  </conditionalFormatting>
  <conditionalFormatting sqref="J88">
    <cfRule type="containsText" dxfId="1" priority="4" operator="between" text="/">
      <formula>NOT(ISERROR(SEARCH("/",J88)))</formula>
    </cfRule>
  </conditionalFormatting>
  <conditionalFormatting sqref="I89:J89">
    <cfRule type="containsText" dxfId="0" priority="5" operator="between" text="待">
      <formula>NOT(ISERROR(SEARCH("待",I89)))</formula>
    </cfRule>
  </conditionalFormatting>
  <conditionalFormatting sqref="J89">
    <cfRule type="containsText" dxfId="1" priority="6" operator="between" text="/">
      <formula>NOT(ISERROR(SEARCH("/",J89)))</formula>
    </cfRule>
  </conditionalFormatting>
  <conditionalFormatting sqref="I117:J117">
    <cfRule type="containsText" dxfId="0" priority="153" operator="between" text="待">
      <formula>NOT(ISERROR(SEARCH("待",I117)))</formula>
    </cfRule>
  </conditionalFormatting>
  <conditionalFormatting sqref="J76:J78">
    <cfRule type="containsText" dxfId="1" priority="17" operator="between" text="/">
      <formula>NOT(ISERROR(SEARCH("/",J76)))</formula>
    </cfRule>
  </conditionalFormatting>
  <conditionalFormatting sqref="I1:I2 I113:I116 I119:I1048576">
    <cfRule type="containsText" dxfId="0" priority="366" operator="between" text="待">
      <formula>NOT(ISERROR(SEARCH("待",I1)))</formula>
    </cfRule>
  </conditionalFormatting>
  <conditionalFormatting sqref="K1:L1 K113:L1048576">
    <cfRule type="containsText" dxfId="0" priority="703" operator="between" text="待附件">
      <formula>NOT(ISERROR(SEARCH("待附件",K1)))</formula>
    </cfRule>
    <cfRule type="containsText" dxfId="0" priority="704" operator="between" text="待提单">
      <formula>NOT(ISERROR(SEARCH("待提单",K1)))</formula>
    </cfRule>
  </conditionalFormatting>
  <conditionalFormatting sqref="I11:K12 K29 K24 K19 K13 K10 I40:K50 J52 I53:K55 J56:K56 I57:K63 K64:K72 I73:K85 K86 I87:K88 K89 I90:K112 K37:K39 I33:K35 K32 I30:K31 I25:K28 I23:K23 I20:K21 I14:K18">
    <cfRule type="containsText" dxfId="0" priority="154" operator="between" text="待">
      <formula>NOT(ISERROR(SEARCH("待",I10)))</formula>
    </cfRule>
  </conditionalFormatting>
  <conditionalFormatting sqref="L10:L26 L37:L50 L52:L112 L28:L35">
    <cfRule type="containsText" dxfId="0" priority="160" operator="between" text="待附件">
      <formula>NOT(ISERROR(SEARCH("待附件",L10)))</formula>
    </cfRule>
    <cfRule type="containsText" dxfId="0" priority="161" operator="between" text="待提单">
      <formula>NOT(ISERROR(SEARCH("待提单",L10)))</formula>
    </cfRule>
  </conditionalFormatting>
  <conditionalFormatting sqref="J11:J12 J48:J50 J52:J56 J73:J75 J90:J112 J40:J41 J33:J35 J30:J31 J25:J28 J23 J20:J21 J14:J18">
    <cfRule type="containsText" dxfId="1" priority="159" operator="between" text="/">
      <formula>NOT(ISERROR(SEARCH("/",J11)))</formula>
    </cfRule>
  </conditionalFormatting>
  <conditionalFormatting sqref="J51:K51 I51">
    <cfRule type="containsText" dxfId="0" priority="42" operator="between" text="待">
      <formula>NOT(ISERROR(SEARCH("待",I51)))</formula>
    </cfRule>
  </conditionalFormatting>
  <conditionalFormatting sqref="I65:J67">
    <cfRule type="containsText" dxfId="0" priority="30" operator="between" text="待">
      <formula>NOT(ISERROR(SEARCH("待",I65)))</formula>
    </cfRule>
  </conditionalFormatting>
  <conditionalFormatting sqref="I70:J72">
    <cfRule type="containsText" dxfId="0" priority="22" operator="between" text="待">
      <formula>NOT(ISERROR(SEARCH("待",I70)))</formula>
    </cfRule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981688894314"/>
  </sheetPr>
  <dimension ref="A1:K167"/>
  <sheetViews>
    <sheetView zoomScale="70" zoomScaleNormal="70" workbookViewId="0">
      <pane xSplit="2" ySplit="2" topLeftCell="C102" activePane="bottomRight" state="frozen"/>
      <selection/>
      <selection pane="topRight"/>
      <selection pane="bottomLeft"/>
      <selection pane="bottomRight" activeCell="G119" sqref="G119"/>
    </sheetView>
  </sheetViews>
  <sheetFormatPr defaultColWidth="36.5142857142857" defaultRowHeight="15"/>
  <cols>
    <col min="1" max="2" width="36.5142857142857" style="19" customWidth="1"/>
    <col min="3" max="5" width="36.5142857142857" style="87" customWidth="1"/>
    <col min="6" max="7" width="36.5142857142857" style="19" customWidth="1"/>
    <col min="8" max="9" width="36.5142857142857" style="17" customWidth="1"/>
    <col min="10" max="10" width="36.5142857142857" style="88" customWidth="1"/>
    <col min="11" max="16384" width="36.5142857142857" style="19" customWidth="1"/>
  </cols>
  <sheetData>
    <row r="1" spans="1:1">
      <c r="A1" s="89" t="s">
        <v>405</v>
      </c>
    </row>
    <row r="2" s="86" customFormat="1" ht="15.75" spans="1:11">
      <c r="A2" s="90" t="s">
        <v>1</v>
      </c>
      <c r="B2" s="90" t="s">
        <v>406</v>
      </c>
      <c r="C2" s="91" t="s">
        <v>5</v>
      </c>
      <c r="D2" s="91" t="s">
        <v>6</v>
      </c>
      <c r="E2" s="91" t="s">
        <v>407</v>
      </c>
      <c r="F2" s="92" t="s">
        <v>8</v>
      </c>
      <c r="G2" s="92" t="s">
        <v>9</v>
      </c>
      <c r="H2" s="92" t="s">
        <v>10</v>
      </c>
      <c r="I2" s="92" t="s">
        <v>11</v>
      </c>
      <c r="J2" s="105" t="s">
        <v>12</v>
      </c>
      <c r="K2" s="92" t="s">
        <v>13</v>
      </c>
    </row>
    <row r="3" s="60" customFormat="1" ht="42.75" spans="1:11">
      <c r="A3" s="93">
        <v>45869</v>
      </c>
      <c r="B3" s="79" t="s">
        <v>408</v>
      </c>
      <c r="C3" s="94">
        <v>87.56</v>
      </c>
      <c r="D3" s="94"/>
      <c r="E3" s="94">
        <v>1908398.17</v>
      </c>
      <c r="F3" s="95" t="s">
        <v>31</v>
      </c>
      <c r="G3" s="95" t="s">
        <v>32</v>
      </c>
      <c r="H3" s="96" t="s">
        <v>20</v>
      </c>
      <c r="I3" s="96" t="s">
        <v>20</v>
      </c>
      <c r="J3" s="106" t="s">
        <v>20</v>
      </c>
      <c r="K3" s="107" t="s">
        <v>20</v>
      </c>
    </row>
    <row r="4" s="60" customFormat="1" ht="28.5" spans="1:11">
      <c r="A4" s="93">
        <v>45869</v>
      </c>
      <c r="B4" s="79" t="s">
        <v>409</v>
      </c>
      <c r="C4" s="94">
        <v>85</v>
      </c>
      <c r="D4" s="94"/>
      <c r="E4" s="94">
        <f>E3-IF(ISNUMBER(C4),C4,0)+IF(ISNUMBER(D4),D4,0)</f>
        <v>1908313.17</v>
      </c>
      <c r="F4" s="95" t="s">
        <v>31</v>
      </c>
      <c r="G4" s="95" t="s">
        <v>62</v>
      </c>
      <c r="H4" s="96" t="s">
        <v>20</v>
      </c>
      <c r="I4" s="96" t="s">
        <v>20</v>
      </c>
      <c r="J4" s="106" t="s">
        <v>20</v>
      </c>
      <c r="K4" s="107" t="s">
        <v>20</v>
      </c>
    </row>
    <row r="5" s="60" customFormat="1" ht="28.5" spans="1:11">
      <c r="A5" s="93">
        <v>45869</v>
      </c>
      <c r="B5" s="79" t="s">
        <v>410</v>
      </c>
      <c r="C5" s="94">
        <v>31.75</v>
      </c>
      <c r="D5" s="94"/>
      <c r="E5" s="94">
        <f>E4-IF(ISNUMBER(C5),C5,0)+IF(ISNUMBER(D5),D5,0)</f>
        <v>1908281.42</v>
      </c>
      <c r="F5" s="97" t="s">
        <v>31</v>
      </c>
      <c r="G5" s="95" t="s">
        <v>35</v>
      </c>
      <c r="H5" s="96" t="s">
        <v>20</v>
      </c>
      <c r="I5" s="96" t="s">
        <v>20</v>
      </c>
      <c r="J5" s="106" t="s">
        <v>20</v>
      </c>
      <c r="K5" s="107" t="s">
        <v>20</v>
      </c>
    </row>
    <row r="6" s="20" customFormat="1" ht="57" spans="1:11">
      <c r="A6" s="98">
        <v>45870</v>
      </c>
      <c r="B6" s="50" t="s">
        <v>411</v>
      </c>
      <c r="C6" s="51">
        <v>952</v>
      </c>
      <c r="D6" s="51" t="s">
        <v>20</v>
      </c>
      <c r="E6" s="51">
        <f>E5-IF(ISNUMBER(C6),C6,0)+IF(ISNUMBER(D6),D6,0)</f>
        <v>1907329.42</v>
      </c>
      <c r="F6" s="99" t="s">
        <v>18</v>
      </c>
      <c r="G6" s="99" t="s">
        <v>19</v>
      </c>
      <c r="H6" s="132" t="s">
        <v>412</v>
      </c>
      <c r="I6" s="17" t="s">
        <v>20</v>
      </c>
      <c r="J6" s="108">
        <v>45875</v>
      </c>
      <c r="K6" s="109" t="s">
        <v>20</v>
      </c>
    </row>
    <row r="7" s="20" customFormat="1" ht="42.75" spans="1:11">
      <c r="A7" s="98">
        <v>45870</v>
      </c>
      <c r="B7" s="50" t="s">
        <v>413</v>
      </c>
      <c r="C7" s="51">
        <v>3800</v>
      </c>
      <c r="D7" s="51" t="s">
        <v>20</v>
      </c>
      <c r="E7" s="51">
        <f t="shared" ref="E7:E38" si="0">E6-IF(ISNUMBER(C7),C7,0)+IF(ISNUMBER(D7),D7,0)</f>
        <v>1903529.42</v>
      </c>
      <c r="F7" s="99" t="s">
        <v>18</v>
      </c>
      <c r="G7" s="99" t="s">
        <v>414</v>
      </c>
      <c r="H7" s="132" t="s">
        <v>415</v>
      </c>
      <c r="I7" s="17" t="s">
        <v>20</v>
      </c>
      <c r="J7" s="108" t="s">
        <v>20</v>
      </c>
      <c r="K7" s="109" t="s">
        <v>20</v>
      </c>
    </row>
    <row r="8" s="20" customFormat="1" ht="28.5" spans="1:11">
      <c r="A8" s="98">
        <v>45870</v>
      </c>
      <c r="B8" s="50" t="s">
        <v>416</v>
      </c>
      <c r="C8" s="51">
        <v>12751.94</v>
      </c>
      <c r="D8" s="51" t="s">
        <v>20</v>
      </c>
      <c r="E8" s="51">
        <f t="shared" si="0"/>
        <v>1890777.48</v>
      </c>
      <c r="F8" s="99" t="s">
        <v>52</v>
      </c>
      <c r="G8" s="99" t="s">
        <v>417</v>
      </c>
      <c r="H8" s="132" t="s">
        <v>418</v>
      </c>
      <c r="I8" s="17" t="s">
        <v>20</v>
      </c>
      <c r="J8" s="108" t="s">
        <v>20</v>
      </c>
      <c r="K8" s="109" t="s">
        <v>20</v>
      </c>
    </row>
    <row r="9" s="20" customFormat="1" ht="42.75" spans="1:11">
      <c r="A9" s="98">
        <v>45870</v>
      </c>
      <c r="B9" s="50" t="s">
        <v>419</v>
      </c>
      <c r="C9" s="51">
        <v>15460.76</v>
      </c>
      <c r="D9" s="51" t="s">
        <v>20</v>
      </c>
      <c r="E9" s="51">
        <f t="shared" si="0"/>
        <v>1875316.72</v>
      </c>
      <c r="F9" s="99" t="s">
        <v>38</v>
      </c>
      <c r="G9" s="99" t="s">
        <v>48</v>
      </c>
      <c r="H9" s="17" t="s">
        <v>20</v>
      </c>
      <c r="I9" s="17" t="s">
        <v>106</v>
      </c>
      <c r="J9" s="108">
        <v>45875</v>
      </c>
      <c r="K9" s="109" t="s">
        <v>20</v>
      </c>
    </row>
    <row r="10" s="20" customFormat="1" ht="28.5" spans="1:11">
      <c r="A10" s="98">
        <v>45870</v>
      </c>
      <c r="B10" s="50" t="s">
        <v>416</v>
      </c>
      <c r="C10" s="51">
        <v>27885.06</v>
      </c>
      <c r="D10" s="51" t="s">
        <v>20</v>
      </c>
      <c r="E10" s="51">
        <f t="shared" si="0"/>
        <v>1847431.66</v>
      </c>
      <c r="F10" s="99" t="s">
        <v>52</v>
      </c>
      <c r="G10" s="99" t="s">
        <v>417</v>
      </c>
      <c r="H10" s="132" t="s">
        <v>420</v>
      </c>
      <c r="I10" s="17" t="s">
        <v>20</v>
      </c>
      <c r="J10" s="108" t="s">
        <v>20</v>
      </c>
      <c r="K10" s="109" t="s">
        <v>20</v>
      </c>
    </row>
    <row r="11" s="20" customFormat="1" ht="28.5" spans="1:11">
      <c r="A11" s="98">
        <v>45870</v>
      </c>
      <c r="B11" s="50" t="s">
        <v>421</v>
      </c>
      <c r="C11" s="51" t="s">
        <v>20</v>
      </c>
      <c r="D11" s="51">
        <v>1430.63</v>
      </c>
      <c r="E11" s="51">
        <f t="shared" si="0"/>
        <v>1848862.29</v>
      </c>
      <c r="F11" s="99" t="s">
        <v>31</v>
      </c>
      <c r="G11" s="99" t="s">
        <v>32</v>
      </c>
      <c r="H11" s="17" t="s">
        <v>20</v>
      </c>
      <c r="I11" s="17" t="s">
        <v>20</v>
      </c>
      <c r="J11" s="108" t="s">
        <v>20</v>
      </c>
      <c r="K11" s="109" t="s">
        <v>20</v>
      </c>
    </row>
    <row r="12" s="20" customFormat="1" ht="28.5" spans="1:11">
      <c r="A12" s="98">
        <v>45870</v>
      </c>
      <c r="B12" s="50" t="s">
        <v>422</v>
      </c>
      <c r="C12" s="51" t="s">
        <v>20</v>
      </c>
      <c r="D12" s="51">
        <v>3005</v>
      </c>
      <c r="E12" s="51">
        <f t="shared" si="0"/>
        <v>1851867.29</v>
      </c>
      <c r="F12" s="99" t="s">
        <v>31</v>
      </c>
      <c r="G12" s="99" t="s">
        <v>62</v>
      </c>
      <c r="H12" s="100" t="s">
        <v>20</v>
      </c>
      <c r="I12" s="17" t="s">
        <v>20</v>
      </c>
      <c r="J12" s="108" t="s">
        <v>20</v>
      </c>
      <c r="K12" s="109" t="s">
        <v>20</v>
      </c>
    </row>
    <row r="13" s="20" customFormat="1" ht="42.75" spans="1:11">
      <c r="A13" s="98">
        <v>45870</v>
      </c>
      <c r="B13" s="50" t="s">
        <v>423</v>
      </c>
      <c r="C13" s="51" t="s">
        <v>20</v>
      </c>
      <c r="D13" s="51">
        <v>30820.48</v>
      </c>
      <c r="E13" s="51">
        <f t="shared" si="0"/>
        <v>1882687.77</v>
      </c>
      <c r="F13" s="99" t="s">
        <v>31</v>
      </c>
      <c r="G13" s="99" t="s">
        <v>35</v>
      </c>
      <c r="H13" s="17" t="s">
        <v>20</v>
      </c>
      <c r="I13" s="17" t="s">
        <v>20</v>
      </c>
      <c r="J13" s="108" t="s">
        <v>20</v>
      </c>
      <c r="K13" s="109" t="s">
        <v>20</v>
      </c>
    </row>
    <row r="14" s="20" customFormat="1" ht="42.75" spans="1:11">
      <c r="A14" s="98">
        <v>45873</v>
      </c>
      <c r="B14" s="50" t="s">
        <v>424</v>
      </c>
      <c r="C14" s="51" t="s">
        <v>20</v>
      </c>
      <c r="D14" s="51">
        <v>2537.25</v>
      </c>
      <c r="E14" s="51">
        <f t="shared" si="0"/>
        <v>1885225.02</v>
      </c>
      <c r="F14" s="99" t="s">
        <v>425</v>
      </c>
      <c r="G14" s="99" t="s">
        <v>426</v>
      </c>
      <c r="H14" s="17" t="s">
        <v>20</v>
      </c>
      <c r="I14" s="17" t="s">
        <v>20</v>
      </c>
      <c r="J14" s="108" t="s">
        <v>20</v>
      </c>
      <c r="K14" s="109" t="s">
        <v>20</v>
      </c>
    </row>
    <row r="15" s="20" customFormat="1" ht="42.75" spans="1:11">
      <c r="A15" s="98">
        <v>45874</v>
      </c>
      <c r="B15" s="50" t="s">
        <v>427</v>
      </c>
      <c r="C15" s="51">
        <v>50</v>
      </c>
      <c r="D15" s="51" t="s">
        <v>20</v>
      </c>
      <c r="E15" s="51">
        <f t="shared" si="0"/>
        <v>1885175.02</v>
      </c>
      <c r="F15" s="99" t="s">
        <v>26</v>
      </c>
      <c r="G15" s="99" t="s">
        <v>27</v>
      </c>
      <c r="H15" s="17" t="s">
        <v>20</v>
      </c>
      <c r="I15" s="17" t="s">
        <v>20</v>
      </c>
      <c r="J15" s="18">
        <v>45875</v>
      </c>
      <c r="K15" s="109" t="s">
        <v>20</v>
      </c>
    </row>
    <row r="16" s="20" customFormat="1" ht="28.5" spans="1:11">
      <c r="A16" s="98">
        <v>45874</v>
      </c>
      <c r="B16" s="50" t="s">
        <v>428</v>
      </c>
      <c r="C16" s="51">
        <v>19537.22</v>
      </c>
      <c r="D16" s="51" t="s">
        <v>20</v>
      </c>
      <c r="E16" s="51">
        <f t="shared" si="0"/>
        <v>1865637.8</v>
      </c>
      <c r="F16" s="16" t="s">
        <v>429</v>
      </c>
      <c r="G16" s="99" t="s">
        <v>430</v>
      </c>
      <c r="H16" s="101" t="s">
        <v>205</v>
      </c>
      <c r="I16" s="17" t="s">
        <v>21</v>
      </c>
      <c r="J16" s="110" t="s">
        <v>20</v>
      </c>
      <c r="K16" s="109" t="s">
        <v>20</v>
      </c>
    </row>
    <row r="17" s="20" customFormat="1" ht="28.5" spans="1:11">
      <c r="A17" s="98">
        <v>45874</v>
      </c>
      <c r="B17" s="50" t="s">
        <v>421</v>
      </c>
      <c r="C17" s="51" t="s">
        <v>20</v>
      </c>
      <c r="D17" s="51">
        <v>1237.36</v>
      </c>
      <c r="E17" s="51">
        <f t="shared" si="0"/>
        <v>1866875.16</v>
      </c>
      <c r="F17" s="99" t="s">
        <v>31</v>
      </c>
      <c r="G17" s="99" t="s">
        <v>32</v>
      </c>
      <c r="H17" s="17" t="s">
        <v>20</v>
      </c>
      <c r="I17" s="17" t="s">
        <v>20</v>
      </c>
      <c r="J17" s="108" t="s">
        <v>20</v>
      </c>
      <c r="K17" s="109" t="s">
        <v>20</v>
      </c>
    </row>
    <row r="18" s="20" customFormat="1" spans="1:11">
      <c r="A18" s="98">
        <v>45874</v>
      </c>
      <c r="B18" s="50" t="s">
        <v>431</v>
      </c>
      <c r="C18" s="51" t="s">
        <v>20</v>
      </c>
      <c r="D18" s="51">
        <v>1340</v>
      </c>
      <c r="E18" s="51">
        <f t="shared" si="0"/>
        <v>1868215.16</v>
      </c>
      <c r="F18" s="16" t="s">
        <v>31</v>
      </c>
      <c r="G18" s="16" t="s">
        <v>62</v>
      </c>
      <c r="H18" s="100" t="s">
        <v>20</v>
      </c>
      <c r="I18" s="17" t="s">
        <v>20</v>
      </c>
      <c r="J18" s="108" t="s">
        <v>20</v>
      </c>
      <c r="K18" s="109" t="s">
        <v>20</v>
      </c>
    </row>
    <row r="19" s="20" customFormat="1" ht="28.5" spans="1:11">
      <c r="A19" s="98">
        <v>45874</v>
      </c>
      <c r="B19" s="50" t="s">
        <v>432</v>
      </c>
      <c r="C19" s="51" t="s">
        <v>20</v>
      </c>
      <c r="D19" s="51">
        <v>2008.61</v>
      </c>
      <c r="E19" s="51">
        <f t="shared" si="0"/>
        <v>1870223.77</v>
      </c>
      <c r="F19" s="102" t="s">
        <v>31</v>
      </c>
      <c r="G19" s="99" t="s">
        <v>32</v>
      </c>
      <c r="H19" s="17" t="s">
        <v>20</v>
      </c>
      <c r="I19" s="17" t="s">
        <v>20</v>
      </c>
      <c r="J19" s="108" t="s">
        <v>20</v>
      </c>
      <c r="K19" s="109" t="s">
        <v>20</v>
      </c>
    </row>
    <row r="20" s="20" customFormat="1" ht="28.5" spans="1:11">
      <c r="A20" s="98">
        <v>45874</v>
      </c>
      <c r="B20" s="50" t="s">
        <v>421</v>
      </c>
      <c r="C20" s="51" t="s">
        <v>20</v>
      </c>
      <c r="D20" s="51">
        <v>2211.83</v>
      </c>
      <c r="E20" s="51">
        <f t="shared" si="0"/>
        <v>1872435.6</v>
      </c>
      <c r="F20" s="99" t="s">
        <v>31</v>
      </c>
      <c r="G20" s="99" t="s">
        <v>32</v>
      </c>
      <c r="H20" s="17" t="s">
        <v>20</v>
      </c>
      <c r="I20" s="17" t="s">
        <v>20</v>
      </c>
      <c r="J20" s="108" t="s">
        <v>20</v>
      </c>
      <c r="K20" s="109" t="s">
        <v>20</v>
      </c>
    </row>
    <row r="21" s="20" customFormat="1" ht="28.5" spans="1:11">
      <c r="A21" s="98">
        <v>45874</v>
      </c>
      <c r="B21" s="50" t="s">
        <v>421</v>
      </c>
      <c r="C21" s="51" t="s">
        <v>20</v>
      </c>
      <c r="D21" s="51">
        <v>2342.63</v>
      </c>
      <c r="E21" s="51">
        <f t="shared" si="0"/>
        <v>1874778.23</v>
      </c>
      <c r="F21" s="99" t="s">
        <v>31</v>
      </c>
      <c r="G21" s="99" t="s">
        <v>32</v>
      </c>
      <c r="H21" s="17" t="s">
        <v>20</v>
      </c>
      <c r="I21" s="17" t="s">
        <v>20</v>
      </c>
      <c r="J21" s="108" t="s">
        <v>20</v>
      </c>
      <c r="K21" s="109" t="s">
        <v>20</v>
      </c>
    </row>
    <row r="22" s="20" customFormat="1" ht="28.5" spans="1:11">
      <c r="A22" s="98">
        <v>45874</v>
      </c>
      <c r="B22" s="50" t="s">
        <v>422</v>
      </c>
      <c r="C22" s="51" t="s">
        <v>20</v>
      </c>
      <c r="D22" s="51">
        <v>2460</v>
      </c>
      <c r="E22" s="51">
        <f t="shared" si="0"/>
        <v>1877238.23</v>
      </c>
      <c r="F22" s="99" t="s">
        <v>31</v>
      </c>
      <c r="G22" s="99" t="s">
        <v>62</v>
      </c>
      <c r="H22" s="17" t="s">
        <v>20</v>
      </c>
      <c r="I22" s="17" t="s">
        <v>20</v>
      </c>
      <c r="J22" s="108" t="s">
        <v>20</v>
      </c>
      <c r="K22" s="109" t="s">
        <v>20</v>
      </c>
    </row>
    <row r="23" s="20" customFormat="1" ht="28.5" spans="1:11">
      <c r="A23" s="98">
        <v>45874</v>
      </c>
      <c r="B23" s="50" t="s">
        <v>422</v>
      </c>
      <c r="C23" s="51" t="s">
        <v>20</v>
      </c>
      <c r="D23" s="51">
        <v>2789</v>
      </c>
      <c r="E23" s="51">
        <f t="shared" si="0"/>
        <v>1880027.23</v>
      </c>
      <c r="F23" s="16" t="s">
        <v>31</v>
      </c>
      <c r="G23" s="16" t="s">
        <v>62</v>
      </c>
      <c r="H23" s="43" t="s">
        <v>20</v>
      </c>
      <c r="I23" s="17" t="s">
        <v>20</v>
      </c>
      <c r="J23" s="108" t="s">
        <v>20</v>
      </c>
      <c r="K23" s="109" t="s">
        <v>20</v>
      </c>
    </row>
    <row r="24" s="20" customFormat="1" ht="57" spans="1:11">
      <c r="A24" s="98">
        <v>45874</v>
      </c>
      <c r="B24" s="50" t="s">
        <v>433</v>
      </c>
      <c r="C24" s="51" t="s">
        <v>20</v>
      </c>
      <c r="D24" s="51">
        <v>3049.33</v>
      </c>
      <c r="E24" s="51">
        <f t="shared" si="0"/>
        <v>1883076.56</v>
      </c>
      <c r="F24" s="99" t="s">
        <v>381</v>
      </c>
      <c r="G24" s="99" t="s">
        <v>434</v>
      </c>
      <c r="H24" s="17" t="s">
        <v>20</v>
      </c>
      <c r="I24" s="17" t="s">
        <v>20</v>
      </c>
      <c r="J24" s="108" t="s">
        <v>20</v>
      </c>
      <c r="K24" s="109" t="s">
        <v>20</v>
      </c>
    </row>
    <row r="25" s="20" customFormat="1" spans="1:11">
      <c r="A25" s="98">
        <v>45874</v>
      </c>
      <c r="B25" s="50" t="s">
        <v>431</v>
      </c>
      <c r="C25" s="51" t="s">
        <v>20</v>
      </c>
      <c r="D25" s="51">
        <v>3175</v>
      </c>
      <c r="E25" s="51">
        <f t="shared" si="0"/>
        <v>1886251.56</v>
      </c>
      <c r="F25" s="16" t="s">
        <v>31</v>
      </c>
      <c r="G25" s="16" t="s">
        <v>62</v>
      </c>
      <c r="H25" s="17" t="s">
        <v>20</v>
      </c>
      <c r="I25" s="17" t="s">
        <v>20</v>
      </c>
      <c r="J25" s="108" t="s">
        <v>20</v>
      </c>
      <c r="K25" s="109" t="s">
        <v>20</v>
      </c>
    </row>
    <row r="26" s="20" customFormat="1" ht="28.5" spans="1:11">
      <c r="A26" s="98">
        <v>45874</v>
      </c>
      <c r="B26" s="50" t="s">
        <v>421</v>
      </c>
      <c r="C26" s="51" t="s">
        <v>20</v>
      </c>
      <c r="D26" s="51">
        <v>3423.46</v>
      </c>
      <c r="E26" s="51">
        <f t="shared" si="0"/>
        <v>1889675.02</v>
      </c>
      <c r="F26" s="99" t="s">
        <v>31</v>
      </c>
      <c r="G26" s="99" t="s">
        <v>32</v>
      </c>
      <c r="H26" s="17" t="s">
        <v>20</v>
      </c>
      <c r="I26" s="17" t="s">
        <v>20</v>
      </c>
      <c r="J26" s="108" t="s">
        <v>20</v>
      </c>
      <c r="K26" s="109" t="s">
        <v>20</v>
      </c>
    </row>
    <row r="27" s="20" customFormat="1" ht="28.5" spans="1:11">
      <c r="A27" s="98">
        <v>45874</v>
      </c>
      <c r="B27" s="50" t="s">
        <v>435</v>
      </c>
      <c r="C27" s="51" t="s">
        <v>20</v>
      </c>
      <c r="D27" s="51">
        <v>6995.88</v>
      </c>
      <c r="E27" s="51">
        <f t="shared" si="0"/>
        <v>1896670.9</v>
      </c>
      <c r="F27" s="99" t="s">
        <v>31</v>
      </c>
      <c r="G27" s="99" t="s">
        <v>81</v>
      </c>
      <c r="H27" s="17" t="s">
        <v>20</v>
      </c>
      <c r="I27" s="17" t="s">
        <v>20</v>
      </c>
      <c r="J27" s="108" t="s">
        <v>20</v>
      </c>
      <c r="K27" s="109" t="s">
        <v>20</v>
      </c>
    </row>
    <row r="28" s="20" customFormat="1" ht="42.75" spans="1:11">
      <c r="A28" s="98">
        <v>45874</v>
      </c>
      <c r="B28" s="50" t="s">
        <v>423</v>
      </c>
      <c r="C28" s="51" t="s">
        <v>20</v>
      </c>
      <c r="D28" s="51">
        <v>169145.15</v>
      </c>
      <c r="E28" s="51">
        <f t="shared" si="0"/>
        <v>2065816.05</v>
      </c>
      <c r="F28" s="99" t="s">
        <v>31</v>
      </c>
      <c r="G28" s="99" t="s">
        <v>35</v>
      </c>
      <c r="H28" s="17" t="s">
        <v>20</v>
      </c>
      <c r="I28" s="17" t="s">
        <v>20</v>
      </c>
      <c r="J28" s="108" t="s">
        <v>20</v>
      </c>
      <c r="K28" s="109" t="s">
        <v>20</v>
      </c>
    </row>
    <row r="29" s="20" customFormat="1" ht="28.5" spans="1:11">
      <c r="A29" s="98">
        <v>45875</v>
      </c>
      <c r="B29" s="50" t="s">
        <v>436</v>
      </c>
      <c r="C29" s="51">
        <v>224.87</v>
      </c>
      <c r="D29" s="51" t="s">
        <v>20</v>
      </c>
      <c r="E29" s="51">
        <f t="shared" si="0"/>
        <v>2065591.18</v>
      </c>
      <c r="F29" s="15" t="s">
        <v>110</v>
      </c>
      <c r="G29" s="16" t="s">
        <v>111</v>
      </c>
      <c r="H29" s="133" t="s">
        <v>437</v>
      </c>
      <c r="I29" s="17" t="s">
        <v>20</v>
      </c>
      <c r="J29" s="18">
        <v>45877</v>
      </c>
      <c r="K29" s="109" t="s">
        <v>20</v>
      </c>
    </row>
    <row r="30" s="20" customFormat="1" ht="28.5" spans="1:11">
      <c r="A30" s="98">
        <v>45875</v>
      </c>
      <c r="B30" s="50" t="s">
        <v>436</v>
      </c>
      <c r="C30" s="51">
        <v>357.28</v>
      </c>
      <c r="D30" s="51" t="s">
        <v>20</v>
      </c>
      <c r="E30" s="51">
        <f t="shared" si="0"/>
        <v>2065233.9</v>
      </c>
      <c r="F30" s="15" t="s">
        <v>110</v>
      </c>
      <c r="G30" s="16" t="s">
        <v>111</v>
      </c>
      <c r="H30" s="133" t="s">
        <v>438</v>
      </c>
      <c r="I30" s="17" t="s">
        <v>20</v>
      </c>
      <c r="J30" s="18">
        <v>45877</v>
      </c>
      <c r="K30" s="109" t="s">
        <v>20</v>
      </c>
    </row>
    <row r="31" s="20" customFormat="1" ht="28.5" spans="1:11">
      <c r="A31" s="98">
        <v>45875</v>
      </c>
      <c r="B31" s="50" t="s">
        <v>421</v>
      </c>
      <c r="C31" s="51" t="s">
        <v>20</v>
      </c>
      <c r="D31" s="51">
        <v>2679.6</v>
      </c>
      <c r="E31" s="51">
        <f t="shared" si="0"/>
        <v>2067913.5</v>
      </c>
      <c r="F31" s="99" t="s">
        <v>31</v>
      </c>
      <c r="G31" s="99" t="s">
        <v>32</v>
      </c>
      <c r="H31" s="17" t="s">
        <v>20</v>
      </c>
      <c r="I31" s="17" t="s">
        <v>20</v>
      </c>
      <c r="J31" s="108" t="s">
        <v>20</v>
      </c>
      <c r="K31" s="109" t="s">
        <v>20</v>
      </c>
    </row>
    <row r="32" s="20" customFormat="1" ht="28.5" spans="1:11">
      <c r="A32" s="98">
        <v>45875</v>
      </c>
      <c r="B32" s="50" t="s">
        <v>422</v>
      </c>
      <c r="C32" s="51" t="s">
        <v>20</v>
      </c>
      <c r="D32" s="51">
        <v>3365</v>
      </c>
      <c r="E32" s="51">
        <f t="shared" si="0"/>
        <v>2071278.5</v>
      </c>
      <c r="F32" s="35" t="s">
        <v>31</v>
      </c>
      <c r="G32" s="16" t="s">
        <v>62</v>
      </c>
      <c r="H32" s="17" t="s">
        <v>20</v>
      </c>
      <c r="I32" s="17" t="s">
        <v>20</v>
      </c>
      <c r="J32" s="108" t="s">
        <v>20</v>
      </c>
      <c r="K32" s="109" t="s">
        <v>20</v>
      </c>
    </row>
    <row r="33" s="20" customFormat="1" ht="42.75" spans="1:11">
      <c r="A33" s="98">
        <v>45875</v>
      </c>
      <c r="B33" s="50" t="s">
        <v>423</v>
      </c>
      <c r="C33" s="51" t="s">
        <v>20</v>
      </c>
      <c r="D33" s="51">
        <v>30522.08</v>
      </c>
      <c r="E33" s="51">
        <f t="shared" si="0"/>
        <v>2101800.58</v>
      </c>
      <c r="F33" s="99" t="s">
        <v>31</v>
      </c>
      <c r="G33" s="99" t="s">
        <v>35</v>
      </c>
      <c r="H33" s="17" t="s">
        <v>20</v>
      </c>
      <c r="I33" s="17" t="s">
        <v>20</v>
      </c>
      <c r="J33" s="108" t="s">
        <v>20</v>
      </c>
      <c r="K33" s="109" t="s">
        <v>20</v>
      </c>
    </row>
    <row r="34" s="20" customFormat="1" ht="34.5" spans="1:11">
      <c r="A34" s="98">
        <v>45876</v>
      </c>
      <c r="B34" s="50" t="s">
        <v>416</v>
      </c>
      <c r="C34" s="51">
        <v>9876.76</v>
      </c>
      <c r="D34" s="51" t="s">
        <v>20</v>
      </c>
      <c r="E34" s="51">
        <f t="shared" si="0"/>
        <v>2091923.82</v>
      </c>
      <c r="F34" s="15" t="s">
        <v>52</v>
      </c>
      <c r="G34" s="103" t="s">
        <v>439</v>
      </c>
      <c r="H34" s="132" t="s">
        <v>440</v>
      </c>
      <c r="I34" s="17" t="s">
        <v>20</v>
      </c>
      <c r="J34" s="18">
        <v>45877</v>
      </c>
      <c r="K34" s="109" t="s">
        <v>20</v>
      </c>
    </row>
    <row r="35" s="20" customFormat="1" ht="28.5" spans="1:11">
      <c r="A35" s="98">
        <v>45876</v>
      </c>
      <c r="B35" s="50" t="s">
        <v>416</v>
      </c>
      <c r="C35" s="51">
        <v>22673.53</v>
      </c>
      <c r="D35" s="51" t="s">
        <v>20</v>
      </c>
      <c r="E35" s="51">
        <f t="shared" si="0"/>
        <v>2069250.29</v>
      </c>
      <c r="F35" s="15" t="s">
        <v>52</v>
      </c>
      <c r="G35" s="99" t="s">
        <v>441</v>
      </c>
      <c r="H35" s="132" t="s">
        <v>442</v>
      </c>
      <c r="I35" s="17" t="s">
        <v>20</v>
      </c>
      <c r="J35" s="18">
        <v>45877</v>
      </c>
      <c r="K35" s="109" t="s">
        <v>20</v>
      </c>
    </row>
    <row r="36" s="20" customFormat="1" ht="28.5" spans="1:11">
      <c r="A36" s="98">
        <v>45876</v>
      </c>
      <c r="B36" s="50" t="s">
        <v>443</v>
      </c>
      <c r="C36" s="51" t="s">
        <v>20</v>
      </c>
      <c r="D36" s="51">
        <v>1723.1</v>
      </c>
      <c r="E36" s="51">
        <f t="shared" si="0"/>
        <v>2070973.39</v>
      </c>
      <c r="F36" s="102" t="s">
        <v>31</v>
      </c>
      <c r="G36" s="99" t="s">
        <v>444</v>
      </c>
      <c r="H36" s="17" t="s">
        <v>20</v>
      </c>
      <c r="I36" s="17" t="s">
        <v>20</v>
      </c>
      <c r="J36" s="108" t="s">
        <v>20</v>
      </c>
      <c r="K36" s="109" t="s">
        <v>20</v>
      </c>
    </row>
    <row r="37" s="20" customFormat="1" ht="28.5" spans="1:11">
      <c r="A37" s="98">
        <v>45876</v>
      </c>
      <c r="B37" s="50" t="s">
        <v>421</v>
      </c>
      <c r="C37" s="51" t="s">
        <v>20</v>
      </c>
      <c r="D37" s="51">
        <v>2412.97</v>
      </c>
      <c r="E37" s="51">
        <f t="shared" si="0"/>
        <v>2073386.36</v>
      </c>
      <c r="F37" s="99" t="s">
        <v>31</v>
      </c>
      <c r="G37" s="99" t="s">
        <v>32</v>
      </c>
      <c r="H37" s="17" t="s">
        <v>20</v>
      </c>
      <c r="I37" s="17" t="s">
        <v>20</v>
      </c>
      <c r="J37" s="108" t="s">
        <v>20</v>
      </c>
      <c r="K37" s="109" t="s">
        <v>20</v>
      </c>
    </row>
    <row r="38" s="20" customFormat="1" ht="28.5" spans="1:11">
      <c r="A38" s="98">
        <v>45876</v>
      </c>
      <c r="B38" s="50" t="s">
        <v>422</v>
      </c>
      <c r="C38" s="51" t="s">
        <v>20</v>
      </c>
      <c r="D38" s="51">
        <v>2850</v>
      </c>
      <c r="E38" s="51">
        <f t="shared" si="0"/>
        <v>2076236.36</v>
      </c>
      <c r="F38" s="15" t="s">
        <v>31</v>
      </c>
      <c r="G38" s="16" t="s">
        <v>62</v>
      </c>
      <c r="H38" s="17" t="s">
        <v>20</v>
      </c>
      <c r="I38" s="17" t="s">
        <v>20</v>
      </c>
      <c r="J38" s="108" t="s">
        <v>20</v>
      </c>
      <c r="K38" s="109" t="s">
        <v>20</v>
      </c>
    </row>
    <row r="39" s="20" customFormat="1" ht="42.75" spans="1:11">
      <c r="A39" s="98">
        <v>45876</v>
      </c>
      <c r="B39" s="50" t="s">
        <v>423</v>
      </c>
      <c r="C39" s="51" t="s">
        <v>20</v>
      </c>
      <c r="D39" s="51">
        <v>31126.63</v>
      </c>
      <c r="E39" s="51">
        <f t="shared" ref="E39:E65" si="1">E38-IF(ISNUMBER(C39),C39,0)+IF(ISNUMBER(D39),D39,0)</f>
        <v>2107362.99</v>
      </c>
      <c r="F39" s="99" t="s">
        <v>31</v>
      </c>
      <c r="G39" s="99" t="s">
        <v>35</v>
      </c>
      <c r="H39" s="17" t="s">
        <v>20</v>
      </c>
      <c r="I39" s="17" t="s">
        <v>20</v>
      </c>
      <c r="J39" s="108" t="s">
        <v>20</v>
      </c>
      <c r="K39" s="109" t="s">
        <v>20</v>
      </c>
    </row>
    <row r="40" s="20" customFormat="1" ht="28.5" spans="1:11">
      <c r="A40" s="98">
        <v>45877</v>
      </c>
      <c r="B40" s="50" t="s">
        <v>445</v>
      </c>
      <c r="C40" s="51">
        <v>1874.08</v>
      </c>
      <c r="D40" s="51" t="s">
        <v>20</v>
      </c>
      <c r="E40" s="51">
        <f t="shared" si="1"/>
        <v>2105488.91</v>
      </c>
      <c r="F40" s="104" t="s">
        <v>202</v>
      </c>
      <c r="G40" s="104" t="s">
        <v>446</v>
      </c>
      <c r="H40" s="17" t="s">
        <v>20</v>
      </c>
      <c r="I40" s="111" t="s">
        <v>98</v>
      </c>
      <c r="J40" s="18">
        <v>45881</v>
      </c>
      <c r="K40" s="109" t="s">
        <v>20</v>
      </c>
    </row>
    <row r="41" s="20" customFormat="1" ht="28.5" spans="1:11">
      <c r="A41" s="98">
        <v>45877</v>
      </c>
      <c r="B41" s="50" t="s">
        <v>445</v>
      </c>
      <c r="C41" s="51">
        <v>2118.29</v>
      </c>
      <c r="D41" s="51" t="s">
        <v>20</v>
      </c>
      <c r="E41" s="51">
        <f t="shared" si="1"/>
        <v>2103370.62</v>
      </c>
      <c r="F41" s="104" t="s">
        <v>202</v>
      </c>
      <c r="G41" s="104" t="s">
        <v>447</v>
      </c>
      <c r="H41" s="17" t="s">
        <v>20</v>
      </c>
      <c r="I41" s="111" t="s">
        <v>98</v>
      </c>
      <c r="J41" s="18">
        <v>45881</v>
      </c>
      <c r="K41" s="109" t="s">
        <v>20</v>
      </c>
    </row>
    <row r="42" s="20" customFormat="1" ht="28.5" spans="1:11">
      <c r="A42" s="98">
        <v>45877</v>
      </c>
      <c r="B42" s="50" t="s">
        <v>445</v>
      </c>
      <c r="C42" s="51">
        <v>2629.77</v>
      </c>
      <c r="D42" s="51" t="s">
        <v>20</v>
      </c>
      <c r="E42" s="51">
        <f t="shared" si="1"/>
        <v>2100740.85</v>
      </c>
      <c r="F42" s="104" t="s">
        <v>202</v>
      </c>
      <c r="G42" s="104" t="s">
        <v>448</v>
      </c>
      <c r="H42" s="17" t="s">
        <v>20</v>
      </c>
      <c r="I42" s="111" t="s">
        <v>98</v>
      </c>
      <c r="J42" s="18">
        <v>45881</v>
      </c>
      <c r="K42" s="109" t="s">
        <v>20</v>
      </c>
    </row>
    <row r="43" s="20" customFormat="1" ht="28.5" spans="1:11">
      <c r="A43" s="98">
        <v>45877</v>
      </c>
      <c r="B43" s="50" t="s">
        <v>445</v>
      </c>
      <c r="C43" s="51">
        <v>3093.71</v>
      </c>
      <c r="D43" s="51" t="s">
        <v>20</v>
      </c>
      <c r="E43" s="51">
        <f t="shared" si="1"/>
        <v>2097647.14</v>
      </c>
      <c r="F43" s="104" t="s">
        <v>202</v>
      </c>
      <c r="G43" s="104" t="s">
        <v>449</v>
      </c>
      <c r="H43" s="17" t="s">
        <v>20</v>
      </c>
      <c r="I43" s="111" t="s">
        <v>98</v>
      </c>
      <c r="J43" s="18">
        <v>45881</v>
      </c>
      <c r="K43" s="109" t="s">
        <v>20</v>
      </c>
    </row>
    <row r="44" s="20" customFormat="1" ht="28.5" spans="1:11">
      <c r="A44" s="98">
        <v>45877</v>
      </c>
      <c r="B44" s="50" t="s">
        <v>445</v>
      </c>
      <c r="C44" s="51">
        <v>3551.16</v>
      </c>
      <c r="D44" s="51" t="s">
        <v>20</v>
      </c>
      <c r="E44" s="51">
        <f t="shared" si="1"/>
        <v>2094095.98</v>
      </c>
      <c r="F44" s="104" t="s">
        <v>202</v>
      </c>
      <c r="G44" s="101" t="s">
        <v>450</v>
      </c>
      <c r="H44" s="17" t="s">
        <v>20</v>
      </c>
      <c r="I44" s="111" t="s">
        <v>98</v>
      </c>
      <c r="J44" s="18">
        <v>45881</v>
      </c>
      <c r="K44" s="109" t="s">
        <v>20</v>
      </c>
    </row>
    <row r="45" s="20" customFormat="1" ht="28.5" spans="1:11">
      <c r="A45" s="98">
        <v>45877</v>
      </c>
      <c r="B45" s="50" t="s">
        <v>445</v>
      </c>
      <c r="C45" s="51">
        <v>4355.49</v>
      </c>
      <c r="D45" s="51" t="s">
        <v>20</v>
      </c>
      <c r="E45" s="51">
        <f t="shared" si="1"/>
        <v>2089740.49</v>
      </c>
      <c r="F45" s="104" t="s">
        <v>202</v>
      </c>
      <c r="G45" s="104" t="s">
        <v>451</v>
      </c>
      <c r="H45" s="17" t="s">
        <v>20</v>
      </c>
      <c r="I45" s="111" t="s">
        <v>98</v>
      </c>
      <c r="J45" s="18">
        <v>45881</v>
      </c>
      <c r="K45" s="109" t="s">
        <v>20</v>
      </c>
    </row>
    <row r="46" s="20" customFormat="1" ht="28.5" spans="1:11">
      <c r="A46" s="98">
        <v>45877</v>
      </c>
      <c r="B46" s="50" t="s">
        <v>445</v>
      </c>
      <c r="C46" s="51">
        <v>6109.09</v>
      </c>
      <c r="D46" s="51" t="s">
        <v>20</v>
      </c>
      <c r="E46" s="51">
        <f t="shared" si="1"/>
        <v>2083631.4</v>
      </c>
      <c r="F46" s="104" t="s">
        <v>202</v>
      </c>
      <c r="G46" s="104" t="s">
        <v>452</v>
      </c>
      <c r="H46" s="17" t="s">
        <v>20</v>
      </c>
      <c r="I46" s="111" t="s">
        <v>98</v>
      </c>
      <c r="J46" s="18">
        <v>45881</v>
      </c>
      <c r="K46" s="109" t="s">
        <v>20</v>
      </c>
    </row>
    <row r="47" s="20" customFormat="1" ht="28.5" spans="1:11">
      <c r="A47" s="98">
        <v>45877</v>
      </c>
      <c r="B47" s="50" t="s">
        <v>445</v>
      </c>
      <c r="C47" s="51">
        <v>7476.38</v>
      </c>
      <c r="D47" s="51" t="s">
        <v>20</v>
      </c>
      <c r="E47" s="51">
        <f t="shared" si="1"/>
        <v>2076155.02</v>
      </c>
      <c r="F47" s="104" t="s">
        <v>202</v>
      </c>
      <c r="G47" s="104" t="s">
        <v>453</v>
      </c>
      <c r="H47" s="17" t="s">
        <v>20</v>
      </c>
      <c r="I47" s="111" t="s">
        <v>98</v>
      </c>
      <c r="J47" s="18">
        <v>45881</v>
      </c>
      <c r="K47" s="109" t="s">
        <v>20</v>
      </c>
    </row>
    <row r="48" s="20" customFormat="1" ht="28.5" spans="1:11">
      <c r="A48" s="98">
        <v>45877</v>
      </c>
      <c r="B48" s="50" t="s">
        <v>422</v>
      </c>
      <c r="C48" s="51" t="s">
        <v>20</v>
      </c>
      <c r="D48" s="51">
        <v>1.1</v>
      </c>
      <c r="E48" s="51">
        <f t="shared" si="1"/>
        <v>2076156.12</v>
      </c>
      <c r="F48" s="16" t="s">
        <v>227</v>
      </c>
      <c r="G48" s="99" t="s">
        <v>454</v>
      </c>
      <c r="H48" s="100" t="s">
        <v>20</v>
      </c>
      <c r="I48" s="17" t="s">
        <v>20</v>
      </c>
      <c r="J48" s="108" t="s">
        <v>20</v>
      </c>
      <c r="K48" s="109" t="s">
        <v>20</v>
      </c>
    </row>
    <row r="49" s="20" customFormat="1" ht="28.5" spans="1:11">
      <c r="A49" s="98">
        <v>45877</v>
      </c>
      <c r="B49" s="50" t="s">
        <v>421</v>
      </c>
      <c r="C49" s="51" t="s">
        <v>20</v>
      </c>
      <c r="D49" s="51">
        <v>1363.48</v>
      </c>
      <c r="E49" s="51">
        <f t="shared" si="1"/>
        <v>2077519.6</v>
      </c>
      <c r="F49" s="99" t="s">
        <v>31</v>
      </c>
      <c r="G49" s="99" t="s">
        <v>32</v>
      </c>
      <c r="H49" s="17" t="s">
        <v>20</v>
      </c>
      <c r="I49" s="17" t="s">
        <v>20</v>
      </c>
      <c r="J49" s="108" t="s">
        <v>20</v>
      </c>
      <c r="K49" s="109" t="s">
        <v>20</v>
      </c>
    </row>
    <row r="50" s="20" customFormat="1" ht="28.5" spans="1:11">
      <c r="A50" s="98">
        <v>45877</v>
      </c>
      <c r="B50" s="50" t="s">
        <v>422</v>
      </c>
      <c r="C50" s="51" t="s">
        <v>20</v>
      </c>
      <c r="D50" s="51">
        <v>3339</v>
      </c>
      <c r="E50" s="51">
        <f t="shared" si="1"/>
        <v>2080858.6</v>
      </c>
      <c r="F50" s="16" t="s">
        <v>31</v>
      </c>
      <c r="G50" s="16" t="s">
        <v>62</v>
      </c>
      <c r="H50" s="17" t="s">
        <v>20</v>
      </c>
      <c r="I50" s="17" t="s">
        <v>20</v>
      </c>
      <c r="J50" s="108" t="s">
        <v>20</v>
      </c>
      <c r="K50" s="109" t="s">
        <v>20</v>
      </c>
    </row>
    <row r="51" s="20" customFormat="1" ht="42.75" spans="1:11">
      <c r="A51" s="98">
        <v>45877</v>
      </c>
      <c r="B51" s="50" t="s">
        <v>423</v>
      </c>
      <c r="C51" s="51" t="s">
        <v>20</v>
      </c>
      <c r="D51" s="51">
        <v>33631.47</v>
      </c>
      <c r="E51" s="51">
        <f t="shared" si="1"/>
        <v>2114490.07</v>
      </c>
      <c r="F51" s="99" t="s">
        <v>31</v>
      </c>
      <c r="G51" s="99" t="s">
        <v>35</v>
      </c>
      <c r="H51" s="17" t="s">
        <v>20</v>
      </c>
      <c r="I51" s="17" t="s">
        <v>20</v>
      </c>
      <c r="J51" s="108" t="s">
        <v>20</v>
      </c>
      <c r="K51" s="109" t="s">
        <v>20</v>
      </c>
    </row>
    <row r="52" s="20" customFormat="1" ht="57" spans="1:11">
      <c r="A52" s="98">
        <v>45880</v>
      </c>
      <c r="B52" s="50" t="s">
        <v>455</v>
      </c>
      <c r="C52" s="51">
        <v>20</v>
      </c>
      <c r="D52" s="51" t="s">
        <v>20</v>
      </c>
      <c r="E52" s="51">
        <f t="shared" si="1"/>
        <v>2114470.07</v>
      </c>
      <c r="F52" s="16" t="s">
        <v>227</v>
      </c>
      <c r="G52" s="99" t="s">
        <v>456</v>
      </c>
      <c r="H52" s="17" t="s">
        <v>20</v>
      </c>
      <c r="I52" s="17" t="s">
        <v>20</v>
      </c>
      <c r="J52" s="108" t="s">
        <v>20</v>
      </c>
      <c r="K52" s="109" t="s">
        <v>20</v>
      </c>
    </row>
    <row r="53" s="20" customFormat="1" ht="28.5" spans="1:11">
      <c r="A53" s="98">
        <v>45880</v>
      </c>
      <c r="B53" s="50" t="s">
        <v>422</v>
      </c>
      <c r="C53" s="51" t="s">
        <v>20</v>
      </c>
      <c r="D53" s="51">
        <v>1525</v>
      </c>
      <c r="E53" s="51">
        <f t="shared" si="1"/>
        <v>2115995.07</v>
      </c>
      <c r="F53" s="16" t="s">
        <v>31</v>
      </c>
      <c r="G53" s="16" t="s">
        <v>62</v>
      </c>
      <c r="H53" s="17" t="s">
        <v>20</v>
      </c>
      <c r="I53" s="17" t="s">
        <v>20</v>
      </c>
      <c r="J53" s="108" t="s">
        <v>20</v>
      </c>
      <c r="K53" s="109" t="s">
        <v>20</v>
      </c>
    </row>
    <row r="54" s="20" customFormat="1" ht="28.5" spans="1:11">
      <c r="A54" s="98">
        <v>45880</v>
      </c>
      <c r="B54" s="50" t="s">
        <v>421</v>
      </c>
      <c r="C54" s="51" t="s">
        <v>20</v>
      </c>
      <c r="D54" s="51">
        <v>1920.5</v>
      </c>
      <c r="E54" s="51">
        <f t="shared" si="1"/>
        <v>2117915.57</v>
      </c>
      <c r="F54" s="99" t="s">
        <v>31</v>
      </c>
      <c r="G54" s="99" t="s">
        <v>32</v>
      </c>
      <c r="H54" s="17" t="s">
        <v>20</v>
      </c>
      <c r="I54" s="17" t="s">
        <v>20</v>
      </c>
      <c r="J54" s="108" t="s">
        <v>20</v>
      </c>
      <c r="K54" s="109" t="s">
        <v>20</v>
      </c>
    </row>
    <row r="55" s="20" customFormat="1" ht="28.5" spans="1:11">
      <c r="A55" s="98">
        <v>45880</v>
      </c>
      <c r="B55" s="50" t="s">
        <v>422</v>
      </c>
      <c r="C55" s="51" t="s">
        <v>20</v>
      </c>
      <c r="D55" s="51">
        <v>2080</v>
      </c>
      <c r="E55" s="51">
        <f t="shared" si="1"/>
        <v>2119995.57</v>
      </c>
      <c r="F55" s="99" t="s">
        <v>31</v>
      </c>
      <c r="G55" s="99" t="s">
        <v>62</v>
      </c>
      <c r="H55" s="17" t="s">
        <v>20</v>
      </c>
      <c r="I55" s="17" t="s">
        <v>20</v>
      </c>
      <c r="J55" s="108" t="s">
        <v>20</v>
      </c>
      <c r="K55" s="109" t="s">
        <v>20</v>
      </c>
    </row>
    <row r="56" s="20" customFormat="1" ht="28.5" spans="1:11">
      <c r="A56" s="98">
        <v>45880</v>
      </c>
      <c r="B56" s="50" t="s">
        <v>421</v>
      </c>
      <c r="C56" s="51" t="s">
        <v>20</v>
      </c>
      <c r="D56" s="51">
        <v>2321.03</v>
      </c>
      <c r="E56" s="51">
        <f t="shared" si="1"/>
        <v>2122316.6</v>
      </c>
      <c r="F56" s="99" t="s">
        <v>31</v>
      </c>
      <c r="G56" s="99" t="s">
        <v>32</v>
      </c>
      <c r="H56" s="17" t="s">
        <v>20</v>
      </c>
      <c r="I56" s="17" t="s">
        <v>20</v>
      </c>
      <c r="J56" s="108" t="s">
        <v>20</v>
      </c>
      <c r="K56" s="109" t="s">
        <v>20</v>
      </c>
    </row>
    <row r="57" s="20" customFormat="1" ht="17.25" spans="1:11">
      <c r="A57" s="98">
        <v>45880</v>
      </c>
      <c r="B57" s="50" t="s">
        <v>431</v>
      </c>
      <c r="C57" s="51" t="s">
        <v>20</v>
      </c>
      <c r="D57" s="51">
        <v>3140</v>
      </c>
      <c r="E57" s="51">
        <f t="shared" si="1"/>
        <v>2125456.6</v>
      </c>
      <c r="F57" s="99" t="s">
        <v>31</v>
      </c>
      <c r="G57" s="99" t="s">
        <v>62</v>
      </c>
      <c r="H57" s="17" t="s">
        <v>20</v>
      </c>
      <c r="I57" s="17" t="s">
        <v>20</v>
      </c>
      <c r="J57" s="108" t="s">
        <v>20</v>
      </c>
      <c r="K57" s="109" t="s">
        <v>20</v>
      </c>
    </row>
    <row r="58" s="20" customFormat="1" ht="28.5" spans="1:11">
      <c r="A58" s="98">
        <v>45880</v>
      </c>
      <c r="B58" s="50" t="s">
        <v>432</v>
      </c>
      <c r="C58" s="51" t="s">
        <v>20</v>
      </c>
      <c r="D58" s="51">
        <v>3287.57</v>
      </c>
      <c r="E58" s="51">
        <f t="shared" si="1"/>
        <v>2128744.17</v>
      </c>
      <c r="F58" s="99" t="s">
        <v>31</v>
      </c>
      <c r="G58" s="99" t="s">
        <v>32</v>
      </c>
      <c r="H58" s="17" t="s">
        <v>20</v>
      </c>
      <c r="I58" s="17" t="s">
        <v>20</v>
      </c>
      <c r="J58" s="108" t="s">
        <v>20</v>
      </c>
      <c r="K58" s="109" t="s">
        <v>20</v>
      </c>
    </row>
    <row r="59" s="20" customFormat="1" ht="28.5" spans="1:11">
      <c r="A59" s="98">
        <v>45880</v>
      </c>
      <c r="B59" s="50" t="s">
        <v>421</v>
      </c>
      <c r="C59" s="51" t="s">
        <v>20</v>
      </c>
      <c r="D59" s="51">
        <v>3891.52</v>
      </c>
      <c r="E59" s="51">
        <f t="shared" si="1"/>
        <v>2132635.69</v>
      </c>
      <c r="F59" s="99" t="s">
        <v>31</v>
      </c>
      <c r="G59" s="99" t="s">
        <v>32</v>
      </c>
      <c r="H59" s="17" t="s">
        <v>20</v>
      </c>
      <c r="I59" s="17" t="s">
        <v>20</v>
      </c>
      <c r="J59" s="108" t="s">
        <v>20</v>
      </c>
      <c r="K59" s="109" t="s">
        <v>20</v>
      </c>
    </row>
    <row r="60" s="20" customFormat="1" ht="42.75" spans="1:11">
      <c r="A60" s="98">
        <v>45880</v>
      </c>
      <c r="B60" s="50" t="s">
        <v>423</v>
      </c>
      <c r="C60" s="51" t="s">
        <v>20</v>
      </c>
      <c r="D60" s="51">
        <v>120648.71</v>
      </c>
      <c r="E60" s="51">
        <f t="shared" si="1"/>
        <v>2253284.4</v>
      </c>
      <c r="F60" s="99" t="s">
        <v>31</v>
      </c>
      <c r="G60" s="99" t="s">
        <v>35</v>
      </c>
      <c r="H60" s="17" t="s">
        <v>20</v>
      </c>
      <c r="I60" s="17" t="s">
        <v>20</v>
      </c>
      <c r="J60" s="108" t="s">
        <v>20</v>
      </c>
      <c r="K60" s="109" t="s">
        <v>20</v>
      </c>
    </row>
    <row r="61" s="20" customFormat="1" ht="42.75" spans="1:11">
      <c r="A61" s="98">
        <v>45881</v>
      </c>
      <c r="B61" s="50" t="s">
        <v>457</v>
      </c>
      <c r="C61" s="51" t="s">
        <v>20</v>
      </c>
      <c r="D61" s="51">
        <v>1151.59</v>
      </c>
      <c r="E61" s="51">
        <f t="shared" ref="E61:E78" si="2">E60-IF(ISNUMBER(C61),C61,0)+IF(ISNUMBER(D61),D61,0)</f>
        <v>2254435.99</v>
      </c>
      <c r="F61" s="99" t="s">
        <v>31</v>
      </c>
      <c r="G61" s="99" t="s">
        <v>458</v>
      </c>
      <c r="H61" s="17" t="s">
        <v>20</v>
      </c>
      <c r="I61" s="17" t="s">
        <v>20</v>
      </c>
      <c r="J61" s="108" t="s">
        <v>20</v>
      </c>
      <c r="K61" s="109" t="s">
        <v>20</v>
      </c>
    </row>
    <row r="62" s="20" customFormat="1" ht="42.75" spans="1:11">
      <c r="A62" s="98">
        <v>45881</v>
      </c>
      <c r="B62" s="50" t="s">
        <v>459</v>
      </c>
      <c r="C62" s="51">
        <v>5</v>
      </c>
      <c r="D62" s="51"/>
      <c r="E62" s="51">
        <f t="shared" si="2"/>
        <v>2254430.99</v>
      </c>
      <c r="F62" s="99" t="s">
        <v>26</v>
      </c>
      <c r="G62" s="99" t="s">
        <v>460</v>
      </c>
      <c r="H62" s="17"/>
      <c r="I62" s="17"/>
      <c r="J62" s="108">
        <v>45881</v>
      </c>
      <c r="K62" s="109"/>
    </row>
    <row r="63" s="20" customFormat="1" ht="42.75" spans="1:11">
      <c r="A63" s="98">
        <v>45881</v>
      </c>
      <c r="B63" s="50" t="s">
        <v>423</v>
      </c>
      <c r="C63" s="51"/>
      <c r="D63" s="51">
        <v>32307.94</v>
      </c>
      <c r="E63" s="51">
        <f t="shared" si="2"/>
        <v>2286738.93</v>
      </c>
      <c r="F63" s="99" t="s">
        <v>31</v>
      </c>
      <c r="G63" s="99" t="s">
        <v>35</v>
      </c>
      <c r="H63" s="17"/>
      <c r="I63" s="17"/>
      <c r="J63" s="108"/>
      <c r="K63" s="109"/>
    </row>
    <row r="64" s="20" customFormat="1" ht="28.5" spans="1:11">
      <c r="A64" s="98">
        <v>45881</v>
      </c>
      <c r="B64" s="50" t="s">
        <v>421</v>
      </c>
      <c r="C64" s="51"/>
      <c r="D64" s="51">
        <v>3403.12</v>
      </c>
      <c r="E64" s="51">
        <f t="shared" si="2"/>
        <v>2290142.05</v>
      </c>
      <c r="F64" s="99" t="s">
        <v>31</v>
      </c>
      <c r="G64" s="99" t="s">
        <v>32</v>
      </c>
      <c r="H64" s="17"/>
      <c r="I64" s="17"/>
      <c r="J64" s="108"/>
      <c r="K64" s="109"/>
    </row>
    <row r="65" s="20" customFormat="1" ht="28.5" spans="1:11">
      <c r="A65" s="98">
        <v>45881</v>
      </c>
      <c r="B65" s="50" t="s">
        <v>422</v>
      </c>
      <c r="C65" s="51"/>
      <c r="D65" s="51">
        <v>2165</v>
      </c>
      <c r="E65" s="51">
        <f t="shared" si="2"/>
        <v>2292307.05</v>
      </c>
      <c r="F65" s="99" t="s">
        <v>31</v>
      </c>
      <c r="G65" s="99" t="s">
        <v>62</v>
      </c>
      <c r="H65" s="17"/>
      <c r="I65" s="17"/>
      <c r="J65" s="108"/>
      <c r="K65" s="109"/>
    </row>
    <row r="66" s="20" customFormat="1" ht="28.5" spans="1:11">
      <c r="A66" s="98">
        <v>45881</v>
      </c>
      <c r="B66" s="50" t="s">
        <v>461</v>
      </c>
      <c r="C66" s="51">
        <v>40.06</v>
      </c>
      <c r="D66" s="51"/>
      <c r="E66" s="51">
        <f t="shared" si="2"/>
        <v>2292266.99</v>
      </c>
      <c r="F66" s="99" t="s">
        <v>44</v>
      </c>
      <c r="G66" s="99" t="s">
        <v>462</v>
      </c>
      <c r="H66" s="132" t="s">
        <v>463</v>
      </c>
      <c r="I66" s="17"/>
      <c r="J66" s="108"/>
      <c r="K66" s="109"/>
    </row>
    <row r="67" s="20" customFormat="1" ht="28.5" spans="1:11">
      <c r="A67" s="98">
        <v>45881</v>
      </c>
      <c r="B67" s="50" t="s">
        <v>461</v>
      </c>
      <c r="C67" s="51">
        <v>1180.89</v>
      </c>
      <c r="D67" s="51"/>
      <c r="E67" s="51">
        <f t="shared" si="2"/>
        <v>2291086.1</v>
      </c>
      <c r="F67" s="99" t="s">
        <v>44</v>
      </c>
      <c r="G67" s="99" t="s">
        <v>464</v>
      </c>
      <c r="H67" s="132" t="s">
        <v>465</v>
      </c>
      <c r="I67" s="17"/>
      <c r="J67" s="108"/>
      <c r="K67" s="109"/>
    </row>
    <row r="68" s="20" customFormat="1" ht="28.5" spans="1:11">
      <c r="A68" s="98">
        <v>45881</v>
      </c>
      <c r="B68" s="50" t="s">
        <v>435</v>
      </c>
      <c r="C68" s="51"/>
      <c r="D68" s="51">
        <v>5465.53</v>
      </c>
      <c r="E68" s="51">
        <f t="shared" si="2"/>
        <v>2296551.63</v>
      </c>
      <c r="F68" s="99" t="s">
        <v>31</v>
      </c>
      <c r="G68" s="99" t="s">
        <v>81</v>
      </c>
      <c r="H68" s="17"/>
      <c r="I68" s="17"/>
      <c r="J68" s="108"/>
      <c r="K68" s="109"/>
    </row>
    <row r="69" s="20" customFormat="1" ht="28.5" spans="1:11">
      <c r="A69" s="98">
        <v>45882</v>
      </c>
      <c r="B69" s="50" t="s">
        <v>422</v>
      </c>
      <c r="C69" s="51"/>
      <c r="D69" s="51">
        <v>1173</v>
      </c>
      <c r="E69" s="51">
        <f t="shared" si="2"/>
        <v>2297724.63</v>
      </c>
      <c r="F69" s="99" t="s">
        <v>31</v>
      </c>
      <c r="G69" s="99" t="s">
        <v>62</v>
      </c>
      <c r="H69" s="17"/>
      <c r="I69" s="17"/>
      <c r="J69" s="108"/>
      <c r="K69" s="109"/>
    </row>
    <row r="70" s="20" customFormat="1" ht="28.5" spans="1:11">
      <c r="A70" s="98">
        <v>45882</v>
      </c>
      <c r="B70" s="50" t="s">
        <v>443</v>
      </c>
      <c r="C70" s="51"/>
      <c r="D70" s="51">
        <v>1943.1</v>
      </c>
      <c r="E70" s="51">
        <f t="shared" si="2"/>
        <v>2299667.73</v>
      </c>
      <c r="F70" s="99" t="s">
        <v>31</v>
      </c>
      <c r="G70" s="99" t="s">
        <v>444</v>
      </c>
      <c r="H70" s="17"/>
      <c r="I70" s="17"/>
      <c r="J70" s="108"/>
      <c r="K70" s="109"/>
    </row>
    <row r="71" s="20" customFormat="1" ht="28.5" spans="1:11">
      <c r="A71" s="98">
        <v>45882</v>
      </c>
      <c r="B71" s="50" t="s">
        <v>421</v>
      </c>
      <c r="C71" s="51"/>
      <c r="D71" s="51">
        <v>2537.84</v>
      </c>
      <c r="E71" s="51">
        <f t="shared" si="2"/>
        <v>2302205.57</v>
      </c>
      <c r="F71" s="99" t="s">
        <v>31</v>
      </c>
      <c r="G71" s="99" t="s">
        <v>32</v>
      </c>
      <c r="H71" s="17"/>
      <c r="I71" s="17"/>
      <c r="J71" s="108"/>
      <c r="K71" s="109"/>
    </row>
    <row r="72" s="20" customFormat="1" ht="42.75" spans="1:11">
      <c r="A72" s="98">
        <v>45882</v>
      </c>
      <c r="B72" s="50" t="s">
        <v>423</v>
      </c>
      <c r="C72" s="51"/>
      <c r="D72" s="51">
        <v>27149.39</v>
      </c>
      <c r="E72" s="51">
        <f t="shared" si="2"/>
        <v>2329354.96</v>
      </c>
      <c r="F72" s="99" t="s">
        <v>31</v>
      </c>
      <c r="G72" s="99" t="s">
        <v>35</v>
      </c>
      <c r="H72" s="17"/>
      <c r="I72" s="17"/>
      <c r="J72" s="108"/>
      <c r="K72" s="109"/>
    </row>
    <row r="73" s="20" customFormat="1" ht="42.75" spans="1:11">
      <c r="A73" s="98">
        <v>45883</v>
      </c>
      <c r="B73" s="50" t="s">
        <v>423</v>
      </c>
      <c r="C73" s="51"/>
      <c r="D73" s="51">
        <v>30592.48</v>
      </c>
      <c r="E73" s="51">
        <f t="shared" si="2"/>
        <v>2359947.44</v>
      </c>
      <c r="F73" s="99" t="s">
        <v>31</v>
      </c>
      <c r="G73" s="99" t="s">
        <v>35</v>
      </c>
      <c r="H73" s="17"/>
      <c r="I73" s="17"/>
      <c r="J73" s="108"/>
      <c r="K73" s="109"/>
    </row>
    <row r="74" s="20" customFormat="1" ht="28.5" spans="1:11">
      <c r="A74" s="98">
        <v>45883</v>
      </c>
      <c r="B74" s="50" t="s">
        <v>422</v>
      </c>
      <c r="C74" s="51"/>
      <c r="D74" s="51">
        <v>2720</v>
      </c>
      <c r="E74" s="51">
        <f t="shared" si="2"/>
        <v>2362667.44</v>
      </c>
      <c r="F74" s="99" t="s">
        <v>31</v>
      </c>
      <c r="G74" s="99" t="s">
        <v>62</v>
      </c>
      <c r="H74" s="17"/>
      <c r="I74" s="17"/>
      <c r="J74" s="108"/>
      <c r="K74" s="109"/>
    </row>
    <row r="75" s="20" customFormat="1" ht="28.5" spans="1:11">
      <c r="A75" s="98">
        <v>45883</v>
      </c>
      <c r="B75" s="50" t="s">
        <v>421</v>
      </c>
      <c r="C75" s="51"/>
      <c r="D75" s="51">
        <v>2547.91</v>
      </c>
      <c r="E75" s="51">
        <f t="shared" si="2"/>
        <v>2365215.35</v>
      </c>
      <c r="F75" s="99" t="s">
        <v>31</v>
      </c>
      <c r="G75" s="99" t="s">
        <v>32</v>
      </c>
      <c r="H75" s="17"/>
      <c r="I75" s="17"/>
      <c r="J75" s="108"/>
      <c r="K75" s="109"/>
    </row>
    <row r="76" s="20" customFormat="1" ht="42.75" spans="1:11">
      <c r="A76" s="98">
        <v>45884</v>
      </c>
      <c r="B76" s="50" t="s">
        <v>423</v>
      </c>
      <c r="C76" s="51"/>
      <c r="D76" s="51">
        <v>30631.3</v>
      </c>
      <c r="E76" s="51">
        <f t="shared" si="2"/>
        <v>2395846.65</v>
      </c>
      <c r="F76" s="99" t="s">
        <v>31</v>
      </c>
      <c r="G76" s="99" t="s">
        <v>35</v>
      </c>
      <c r="H76" s="17"/>
      <c r="I76" s="17"/>
      <c r="J76" s="108"/>
      <c r="K76" s="109"/>
    </row>
    <row r="77" s="20" customFormat="1" ht="28.5" spans="1:11">
      <c r="A77" s="98">
        <v>45884</v>
      </c>
      <c r="B77" s="50" t="s">
        <v>422</v>
      </c>
      <c r="C77" s="51"/>
      <c r="D77" s="51">
        <v>2599</v>
      </c>
      <c r="E77" s="51">
        <f t="shared" si="2"/>
        <v>2398445.65</v>
      </c>
      <c r="F77" s="99" t="s">
        <v>31</v>
      </c>
      <c r="G77" s="99" t="s">
        <v>62</v>
      </c>
      <c r="H77" s="17"/>
      <c r="I77" s="17"/>
      <c r="J77" s="108"/>
      <c r="K77" s="109"/>
    </row>
    <row r="78" s="20" customFormat="1" ht="28.5" spans="1:11">
      <c r="A78" s="98">
        <v>45884</v>
      </c>
      <c r="B78" s="50" t="s">
        <v>421</v>
      </c>
      <c r="C78" s="51"/>
      <c r="D78" s="51">
        <v>1708.04</v>
      </c>
      <c r="E78" s="51">
        <f t="shared" si="2"/>
        <v>2400153.69</v>
      </c>
      <c r="F78" s="99" t="s">
        <v>31</v>
      </c>
      <c r="G78" s="99" t="s">
        <v>32</v>
      </c>
      <c r="H78" s="17"/>
      <c r="I78" s="17"/>
      <c r="J78" s="108"/>
      <c r="K78" s="109"/>
    </row>
    <row r="79" s="20" customFormat="1" ht="42.75" spans="1:11">
      <c r="A79" s="98">
        <v>45887</v>
      </c>
      <c r="B79" s="50" t="s">
        <v>423</v>
      </c>
      <c r="C79" s="51"/>
      <c r="D79" s="51">
        <v>145652.43</v>
      </c>
      <c r="E79" s="51">
        <f t="shared" ref="E79:E87" si="3">E78-IF(ISNUMBER(C79),C79,0)+IF(ISNUMBER(D79),D79,0)</f>
        <v>2545806.12</v>
      </c>
      <c r="F79" s="99" t="s">
        <v>31</v>
      </c>
      <c r="G79" s="99" t="s">
        <v>35</v>
      </c>
      <c r="H79" s="17"/>
      <c r="I79" s="17"/>
      <c r="J79" s="108"/>
      <c r="K79" s="109"/>
    </row>
    <row r="80" s="20" customFormat="1" ht="28.5" spans="1:11">
      <c r="A80" s="98">
        <v>45887</v>
      </c>
      <c r="B80" s="50" t="s">
        <v>432</v>
      </c>
      <c r="C80" s="51"/>
      <c r="D80" s="51">
        <v>3863.81</v>
      </c>
      <c r="E80" s="51">
        <f t="shared" si="3"/>
        <v>2549669.93</v>
      </c>
      <c r="F80" s="99" t="s">
        <v>31</v>
      </c>
      <c r="G80" s="99" t="s">
        <v>32</v>
      </c>
      <c r="H80" s="17"/>
      <c r="I80" s="17"/>
      <c r="J80" s="108"/>
      <c r="K80" s="109"/>
    </row>
    <row r="81" s="20" customFormat="1" ht="28.5" spans="1:11">
      <c r="A81" s="98">
        <v>45887</v>
      </c>
      <c r="B81" s="50" t="s">
        <v>422</v>
      </c>
      <c r="C81" s="51"/>
      <c r="D81" s="51">
        <v>3825</v>
      </c>
      <c r="E81" s="51">
        <f t="shared" si="3"/>
        <v>2553494.93</v>
      </c>
      <c r="F81" s="99" t="s">
        <v>31</v>
      </c>
      <c r="G81" s="99" t="s">
        <v>62</v>
      </c>
      <c r="H81" s="17"/>
      <c r="I81" s="17"/>
      <c r="J81" s="108"/>
      <c r="K81" s="109"/>
    </row>
    <row r="82" s="20" customFormat="1" ht="28.5" spans="1:11">
      <c r="A82" s="98">
        <v>45887</v>
      </c>
      <c r="B82" s="50" t="s">
        <v>422</v>
      </c>
      <c r="C82" s="51"/>
      <c r="D82" s="51">
        <v>2698</v>
      </c>
      <c r="E82" s="51">
        <f t="shared" si="3"/>
        <v>2556192.93</v>
      </c>
      <c r="F82" s="99" t="s">
        <v>31</v>
      </c>
      <c r="G82" s="99" t="s">
        <v>62</v>
      </c>
      <c r="H82" s="17"/>
      <c r="I82" s="17"/>
      <c r="J82" s="108"/>
      <c r="K82" s="109"/>
    </row>
    <row r="83" s="20" customFormat="1" ht="17.25" spans="1:11">
      <c r="A83" s="98">
        <v>45887</v>
      </c>
      <c r="B83" s="50" t="s">
        <v>431</v>
      </c>
      <c r="C83" s="51"/>
      <c r="D83" s="51">
        <v>2554</v>
      </c>
      <c r="E83" s="51">
        <f t="shared" si="3"/>
        <v>2558746.93</v>
      </c>
      <c r="F83" s="99" t="s">
        <v>31</v>
      </c>
      <c r="G83" s="99" t="s">
        <v>62</v>
      </c>
      <c r="H83" s="17"/>
      <c r="I83" s="17"/>
      <c r="J83" s="108"/>
      <c r="K83" s="109"/>
    </row>
    <row r="84" s="20" customFormat="1" ht="28.5" spans="1:11">
      <c r="A84" s="98">
        <v>45887</v>
      </c>
      <c r="B84" s="50" t="s">
        <v>421</v>
      </c>
      <c r="C84" s="51"/>
      <c r="D84" s="51">
        <v>2221.39</v>
      </c>
      <c r="E84" s="51">
        <f t="shared" si="3"/>
        <v>2560968.32</v>
      </c>
      <c r="F84" s="99" t="s">
        <v>31</v>
      </c>
      <c r="G84" s="99" t="s">
        <v>32</v>
      </c>
      <c r="H84" s="17"/>
      <c r="I84" s="17"/>
      <c r="J84" s="108"/>
      <c r="K84" s="109"/>
    </row>
    <row r="85" s="20" customFormat="1" ht="28.5" spans="1:11">
      <c r="A85" s="98">
        <v>45887</v>
      </c>
      <c r="B85" s="50" t="s">
        <v>421</v>
      </c>
      <c r="C85" s="51"/>
      <c r="D85" s="51">
        <v>2136.47</v>
      </c>
      <c r="E85" s="51">
        <f t="shared" si="3"/>
        <v>2563104.79</v>
      </c>
      <c r="F85" s="99" t="s">
        <v>31</v>
      </c>
      <c r="G85" s="99" t="s">
        <v>32</v>
      </c>
      <c r="H85" s="17"/>
      <c r="I85" s="17"/>
      <c r="J85" s="108"/>
      <c r="K85" s="109"/>
    </row>
    <row r="86" s="20" customFormat="1" ht="28.5" spans="1:11">
      <c r="A86" s="98">
        <v>45887</v>
      </c>
      <c r="B86" s="50" t="s">
        <v>421</v>
      </c>
      <c r="C86" s="51"/>
      <c r="D86" s="51">
        <v>1314.19</v>
      </c>
      <c r="E86" s="51">
        <f t="shared" si="3"/>
        <v>2564418.98</v>
      </c>
      <c r="F86" s="99" t="s">
        <v>31</v>
      </c>
      <c r="G86" s="99" t="s">
        <v>32</v>
      </c>
      <c r="H86" s="17"/>
      <c r="I86" s="17"/>
      <c r="J86" s="108"/>
      <c r="K86" s="109"/>
    </row>
    <row r="87" s="20" customFormat="1" ht="42.75" spans="1:11">
      <c r="A87" s="98">
        <v>45887</v>
      </c>
      <c r="B87" s="50" t="s">
        <v>466</v>
      </c>
      <c r="C87" s="51"/>
      <c r="D87" s="51">
        <v>948.36</v>
      </c>
      <c r="E87" s="51">
        <f t="shared" si="3"/>
        <v>2565367.34</v>
      </c>
      <c r="F87" s="99" t="s">
        <v>31</v>
      </c>
      <c r="G87" s="99" t="s">
        <v>458</v>
      </c>
      <c r="H87" s="17"/>
      <c r="I87" s="17"/>
      <c r="J87" s="108"/>
      <c r="K87" s="109"/>
    </row>
    <row r="88" s="20" customFormat="1" ht="28.5" spans="1:11">
      <c r="A88" s="98">
        <v>45888</v>
      </c>
      <c r="B88" s="50" t="s">
        <v>422</v>
      </c>
      <c r="C88" s="51"/>
      <c r="D88" s="51">
        <v>2132.5</v>
      </c>
      <c r="E88" s="51">
        <f t="shared" ref="E88:E97" si="4">E87-IF(ISNUMBER(C88),C88,0)+IF(ISNUMBER(D88),D88,0)</f>
        <v>2567499.84</v>
      </c>
      <c r="F88" s="99" t="s">
        <v>31</v>
      </c>
      <c r="G88" s="99" t="s">
        <v>62</v>
      </c>
      <c r="H88" s="17"/>
      <c r="I88" s="17"/>
      <c r="J88" s="108"/>
      <c r="K88" s="109"/>
    </row>
    <row r="89" s="20" customFormat="1" ht="28.5" spans="1:11">
      <c r="A89" s="98">
        <v>45888</v>
      </c>
      <c r="B89" s="50" t="s">
        <v>421</v>
      </c>
      <c r="C89" s="51"/>
      <c r="D89" s="51">
        <v>2254.29</v>
      </c>
      <c r="E89" s="51">
        <f t="shared" si="4"/>
        <v>2569754.13</v>
      </c>
      <c r="F89" s="99" t="s">
        <v>31</v>
      </c>
      <c r="G89" s="99" t="s">
        <v>32</v>
      </c>
      <c r="H89" s="17"/>
      <c r="I89" s="17"/>
      <c r="J89" s="108"/>
      <c r="K89" s="109"/>
    </row>
    <row r="90" s="20" customFormat="1" ht="28.5" spans="1:11">
      <c r="A90" s="98">
        <v>45888</v>
      </c>
      <c r="B90" s="50" t="s">
        <v>435</v>
      </c>
      <c r="C90" s="51"/>
      <c r="D90" s="51">
        <v>5122.51</v>
      </c>
      <c r="E90" s="51">
        <f t="shared" si="4"/>
        <v>2574876.64</v>
      </c>
      <c r="F90" s="99" t="s">
        <v>31</v>
      </c>
      <c r="G90" s="99" t="s">
        <v>81</v>
      </c>
      <c r="H90" s="17"/>
      <c r="I90" s="17"/>
      <c r="J90" s="108"/>
      <c r="K90" s="109"/>
    </row>
    <row r="91" s="20" customFormat="1" ht="30" spans="1:11">
      <c r="A91" s="98">
        <v>45888</v>
      </c>
      <c r="B91" s="50" t="s">
        <v>416</v>
      </c>
      <c r="C91" s="51">
        <v>21121.02</v>
      </c>
      <c r="D91" s="51"/>
      <c r="E91" s="51">
        <f t="shared" si="4"/>
        <v>2553755.62</v>
      </c>
      <c r="F91" s="99" t="s">
        <v>52</v>
      </c>
      <c r="G91" s="103" t="s">
        <v>467</v>
      </c>
      <c r="H91" s="16" t="s">
        <v>468</v>
      </c>
      <c r="I91" s="17"/>
      <c r="J91" s="114">
        <v>45888</v>
      </c>
      <c r="K91" s="109"/>
    </row>
    <row r="92" s="20" customFormat="1" ht="42.75" spans="1:11">
      <c r="A92" s="98">
        <v>45888</v>
      </c>
      <c r="B92" s="50" t="s">
        <v>423</v>
      </c>
      <c r="C92" s="51"/>
      <c r="D92" s="51">
        <v>33064.94</v>
      </c>
      <c r="E92" s="51">
        <f t="shared" si="4"/>
        <v>2586820.56</v>
      </c>
      <c r="F92" s="99" t="s">
        <v>31</v>
      </c>
      <c r="G92" s="99" t="s">
        <v>35</v>
      </c>
      <c r="H92" s="17"/>
      <c r="I92" s="17"/>
      <c r="J92" s="108"/>
      <c r="K92" s="109"/>
    </row>
    <row r="93" s="20" customFormat="1" ht="28.5" spans="1:11">
      <c r="A93" s="98">
        <v>45888</v>
      </c>
      <c r="B93" s="50" t="s">
        <v>416</v>
      </c>
      <c r="C93" s="51">
        <v>50345.51</v>
      </c>
      <c r="D93" s="51"/>
      <c r="E93" s="51">
        <f t="shared" si="4"/>
        <v>2536475.05</v>
      </c>
      <c r="F93" s="99" t="s">
        <v>52</v>
      </c>
      <c r="G93" s="103" t="s">
        <v>469</v>
      </c>
      <c r="H93" s="131" t="s">
        <v>470</v>
      </c>
      <c r="I93" s="115"/>
      <c r="J93" s="114">
        <v>45888</v>
      </c>
      <c r="K93" s="109"/>
    </row>
    <row r="94" s="20" customFormat="1" ht="28.5" spans="1:11">
      <c r="A94" s="98">
        <v>45889</v>
      </c>
      <c r="B94" s="50" t="s">
        <v>443</v>
      </c>
      <c r="C94" s="51"/>
      <c r="D94" s="51">
        <v>2165.21</v>
      </c>
      <c r="E94" s="51">
        <f t="shared" si="4"/>
        <v>2538640.26</v>
      </c>
      <c r="F94" s="99" t="s">
        <v>31</v>
      </c>
      <c r="G94" s="99" t="s">
        <v>444</v>
      </c>
      <c r="H94" s="17"/>
      <c r="I94" s="17"/>
      <c r="J94" s="108"/>
      <c r="K94" s="109"/>
    </row>
    <row r="95" s="20" customFormat="1" ht="42.75" spans="1:11">
      <c r="A95" s="98">
        <v>45889</v>
      </c>
      <c r="B95" s="50" t="s">
        <v>423</v>
      </c>
      <c r="C95" s="51"/>
      <c r="D95" s="51">
        <v>29943.85</v>
      </c>
      <c r="E95" s="51">
        <f t="shared" si="4"/>
        <v>2568584.11</v>
      </c>
      <c r="F95" s="99" t="s">
        <v>31</v>
      </c>
      <c r="G95" s="99" t="s">
        <v>35</v>
      </c>
      <c r="H95" s="17"/>
      <c r="I95" s="17"/>
      <c r="J95" s="108"/>
      <c r="K95" s="109"/>
    </row>
    <row r="96" s="20" customFormat="1" ht="28.5" spans="1:11">
      <c r="A96" s="98">
        <v>45889</v>
      </c>
      <c r="B96" s="50" t="s">
        <v>422</v>
      </c>
      <c r="C96" s="51"/>
      <c r="D96" s="51">
        <v>2660</v>
      </c>
      <c r="E96" s="51">
        <f t="shared" si="4"/>
        <v>2571244.11</v>
      </c>
      <c r="F96" s="99" t="s">
        <v>31</v>
      </c>
      <c r="G96" s="99" t="s">
        <v>62</v>
      </c>
      <c r="H96" s="17"/>
      <c r="I96" s="17"/>
      <c r="J96" s="108"/>
      <c r="K96" s="109"/>
    </row>
    <row r="97" s="20" customFormat="1" ht="28.5" spans="1:11">
      <c r="A97" s="98">
        <v>45889</v>
      </c>
      <c r="B97" s="50" t="s">
        <v>421</v>
      </c>
      <c r="C97" s="51"/>
      <c r="D97" s="51">
        <v>1391.2</v>
      </c>
      <c r="E97" s="51">
        <f t="shared" si="4"/>
        <v>2572635.31</v>
      </c>
      <c r="F97" s="99" t="s">
        <v>31</v>
      </c>
      <c r="G97" s="99" t="s">
        <v>32</v>
      </c>
      <c r="H97" s="17"/>
      <c r="I97" s="17"/>
      <c r="J97" s="108"/>
      <c r="K97" s="109"/>
    </row>
    <row r="98" s="20" customFormat="1" ht="42.75" spans="1:11">
      <c r="A98" s="98">
        <v>45890</v>
      </c>
      <c r="B98" s="112" t="s">
        <v>423</v>
      </c>
      <c r="C98" s="51"/>
      <c r="D98" s="51">
        <v>32100.01</v>
      </c>
      <c r="E98" s="51">
        <f t="shared" ref="E98:E104" si="5">E97-IF(ISNUMBER(C98),C98,0)+IF(ISNUMBER(D98),D98,0)</f>
        <v>2604735.32</v>
      </c>
      <c r="F98" s="99" t="s">
        <v>31</v>
      </c>
      <c r="G98" s="99" t="s">
        <v>35</v>
      </c>
      <c r="H98" s="17"/>
      <c r="I98" s="17"/>
      <c r="J98" s="108"/>
      <c r="K98" s="109"/>
    </row>
    <row r="99" s="20" customFormat="1" ht="28.5" spans="1:11">
      <c r="A99" s="98">
        <v>45890</v>
      </c>
      <c r="B99" s="112" t="s">
        <v>422</v>
      </c>
      <c r="C99" s="51"/>
      <c r="D99" s="51">
        <v>2884.95</v>
      </c>
      <c r="E99" s="51">
        <f t="shared" si="5"/>
        <v>2607620.27</v>
      </c>
      <c r="F99" s="99" t="s">
        <v>31</v>
      </c>
      <c r="G99" s="99" t="s">
        <v>62</v>
      </c>
      <c r="H99" s="17"/>
      <c r="I99" s="17"/>
      <c r="J99" s="108"/>
      <c r="K99" s="109"/>
    </row>
    <row r="100" s="20" customFormat="1" ht="28.5" spans="1:11">
      <c r="A100" s="98">
        <v>45890</v>
      </c>
      <c r="B100" s="112" t="s">
        <v>421</v>
      </c>
      <c r="C100" s="51"/>
      <c r="D100" s="51">
        <v>1343.6</v>
      </c>
      <c r="E100" s="51">
        <f t="shared" si="5"/>
        <v>2608963.87</v>
      </c>
      <c r="F100" s="99" t="s">
        <v>31</v>
      </c>
      <c r="G100" s="99" t="s">
        <v>32</v>
      </c>
      <c r="H100" s="17"/>
      <c r="I100" s="17"/>
      <c r="J100" s="108"/>
      <c r="K100" s="109"/>
    </row>
    <row r="101" s="20" customFormat="1" ht="42.75" spans="1:11">
      <c r="A101" s="98">
        <v>45891</v>
      </c>
      <c r="B101" s="50" t="s">
        <v>423</v>
      </c>
      <c r="C101" s="51"/>
      <c r="D101" s="51">
        <v>29849.65</v>
      </c>
      <c r="E101" s="51">
        <f t="shared" si="5"/>
        <v>2638813.52</v>
      </c>
      <c r="F101" s="99" t="s">
        <v>31</v>
      </c>
      <c r="G101" s="99" t="s">
        <v>35</v>
      </c>
      <c r="H101" s="17"/>
      <c r="I101" s="17"/>
      <c r="J101" s="108"/>
      <c r="K101" s="109"/>
    </row>
    <row r="102" s="20" customFormat="1" ht="28.5" spans="1:11">
      <c r="A102" s="98">
        <v>45891</v>
      </c>
      <c r="B102" s="50" t="s">
        <v>422</v>
      </c>
      <c r="C102" s="51"/>
      <c r="D102" s="51">
        <v>1852</v>
      </c>
      <c r="E102" s="51">
        <f t="shared" si="5"/>
        <v>2640665.52</v>
      </c>
      <c r="F102" s="99" t="s">
        <v>31</v>
      </c>
      <c r="G102" s="99" t="s">
        <v>62</v>
      </c>
      <c r="H102" s="17"/>
      <c r="I102" s="17"/>
      <c r="J102" s="108"/>
      <c r="K102" s="109"/>
    </row>
    <row r="103" s="20" customFormat="1" ht="28.5" spans="1:11">
      <c r="A103" s="98">
        <v>45891</v>
      </c>
      <c r="B103" s="50" t="s">
        <v>421</v>
      </c>
      <c r="C103" s="51"/>
      <c r="D103" s="51">
        <v>1781.64</v>
      </c>
      <c r="E103" s="51">
        <f t="shared" si="5"/>
        <v>2642447.16</v>
      </c>
      <c r="F103" s="99" t="s">
        <v>31</v>
      </c>
      <c r="G103" s="99" t="s">
        <v>32</v>
      </c>
      <c r="H103" s="17"/>
      <c r="I103" s="17"/>
      <c r="J103" s="108"/>
      <c r="K103" s="109"/>
    </row>
    <row r="104" s="20" customFormat="1" ht="42.75" spans="1:11">
      <c r="A104" s="98">
        <v>45894</v>
      </c>
      <c r="B104" s="50" t="s">
        <v>459</v>
      </c>
      <c r="C104" s="51">
        <v>5</v>
      </c>
      <c r="D104" s="51"/>
      <c r="E104" s="51">
        <f t="shared" si="5"/>
        <v>2642442.16</v>
      </c>
      <c r="F104" s="99" t="s">
        <v>38</v>
      </c>
      <c r="G104" s="99" t="s">
        <v>471</v>
      </c>
      <c r="H104" s="17"/>
      <c r="I104" s="17"/>
      <c r="J104" s="114" t="s">
        <v>146</v>
      </c>
      <c r="K104" s="109"/>
    </row>
    <row r="105" s="20" customFormat="1" ht="42.75" spans="1:11">
      <c r="A105" s="98">
        <v>45894</v>
      </c>
      <c r="B105" s="50" t="s">
        <v>423</v>
      </c>
      <c r="C105" s="51"/>
      <c r="D105" s="51">
        <v>119694.96</v>
      </c>
      <c r="E105" s="51">
        <f t="shared" ref="E105:E114" si="6">E104-IF(ISNUMBER(C105),C105,0)+IF(ISNUMBER(D105),D105,0)</f>
        <v>2762137.12</v>
      </c>
      <c r="F105" s="99" t="s">
        <v>31</v>
      </c>
      <c r="G105" s="99" t="s">
        <v>35</v>
      </c>
      <c r="H105" s="17"/>
      <c r="I105" s="17"/>
      <c r="J105" s="108"/>
      <c r="K105" s="109"/>
    </row>
    <row r="106" s="20" customFormat="1" ht="28.5" spans="1:11">
      <c r="A106" s="98">
        <v>45894</v>
      </c>
      <c r="B106" s="50" t="s">
        <v>432</v>
      </c>
      <c r="C106" s="51"/>
      <c r="D106" s="51">
        <v>5409.98</v>
      </c>
      <c r="E106" s="51">
        <f t="shared" si="6"/>
        <v>2767547.1</v>
      </c>
      <c r="F106" s="99" t="s">
        <v>31</v>
      </c>
      <c r="G106" s="99" t="s">
        <v>32</v>
      </c>
      <c r="H106" s="17"/>
      <c r="I106" s="17"/>
      <c r="J106" s="108"/>
      <c r="K106" s="109"/>
    </row>
    <row r="107" s="20" customFormat="1" ht="28.5" spans="1:11">
      <c r="A107" s="98">
        <v>45894</v>
      </c>
      <c r="B107" s="50" t="s">
        <v>421</v>
      </c>
      <c r="C107" s="51"/>
      <c r="D107" s="51">
        <v>4379.23</v>
      </c>
      <c r="E107" s="51">
        <f t="shared" si="6"/>
        <v>2771926.33</v>
      </c>
      <c r="F107" s="99" t="s">
        <v>31</v>
      </c>
      <c r="G107" s="99" t="s">
        <v>32</v>
      </c>
      <c r="H107" s="17"/>
      <c r="I107" s="17"/>
      <c r="J107" s="108"/>
      <c r="K107" s="109"/>
    </row>
    <row r="108" s="20" customFormat="1" ht="17.25" spans="1:11">
      <c r="A108" s="98">
        <v>45894</v>
      </c>
      <c r="B108" s="50" t="s">
        <v>431</v>
      </c>
      <c r="C108" s="51"/>
      <c r="D108" s="51">
        <v>3166.75</v>
      </c>
      <c r="E108" s="51">
        <f t="shared" si="6"/>
        <v>2775093.08</v>
      </c>
      <c r="F108" s="99" t="s">
        <v>31</v>
      </c>
      <c r="G108" s="99" t="s">
        <v>62</v>
      </c>
      <c r="H108" s="17"/>
      <c r="I108" s="17"/>
      <c r="J108" s="108"/>
      <c r="K108" s="109"/>
    </row>
    <row r="109" s="20" customFormat="1" ht="28.5" spans="1:11">
      <c r="A109" s="98">
        <v>45894</v>
      </c>
      <c r="B109" s="50" t="s">
        <v>422</v>
      </c>
      <c r="C109" s="51"/>
      <c r="D109" s="51">
        <v>2553</v>
      </c>
      <c r="E109" s="51">
        <f t="shared" si="6"/>
        <v>2777646.08</v>
      </c>
      <c r="F109" s="99" t="s">
        <v>31</v>
      </c>
      <c r="G109" s="99" t="s">
        <v>62</v>
      </c>
      <c r="H109" s="17"/>
      <c r="I109" s="17"/>
      <c r="J109" s="108"/>
      <c r="K109" s="109"/>
    </row>
    <row r="110" s="20" customFormat="1" ht="28.5" spans="1:11">
      <c r="A110" s="98">
        <v>45894</v>
      </c>
      <c r="B110" s="50" t="s">
        <v>421</v>
      </c>
      <c r="C110" s="51"/>
      <c r="D110" s="51">
        <v>2059.91</v>
      </c>
      <c r="E110" s="51">
        <f t="shared" si="6"/>
        <v>2779705.99</v>
      </c>
      <c r="F110" s="99" t="s">
        <v>31</v>
      </c>
      <c r="G110" s="99" t="s">
        <v>32</v>
      </c>
      <c r="H110" s="17"/>
      <c r="I110" s="17"/>
      <c r="J110" s="108"/>
      <c r="K110" s="109"/>
    </row>
    <row r="111" s="20" customFormat="1" ht="42.75" spans="1:11">
      <c r="A111" s="98">
        <v>45895</v>
      </c>
      <c r="B111" s="50" t="s">
        <v>472</v>
      </c>
      <c r="C111" s="51"/>
      <c r="D111" s="51">
        <v>1229.61</v>
      </c>
      <c r="E111" s="51">
        <f t="shared" si="6"/>
        <v>2780935.6</v>
      </c>
      <c r="F111" s="99" t="s">
        <v>31</v>
      </c>
      <c r="G111" s="99" t="s">
        <v>458</v>
      </c>
      <c r="H111" s="17"/>
      <c r="I111" s="17"/>
      <c r="J111" s="108"/>
      <c r="K111" s="109"/>
    </row>
    <row r="112" s="20" customFormat="1" ht="28.5" spans="1:11">
      <c r="A112" s="98">
        <v>45894</v>
      </c>
      <c r="B112" s="50" t="s">
        <v>421</v>
      </c>
      <c r="C112" s="51"/>
      <c r="D112" s="51">
        <v>1187.18</v>
      </c>
      <c r="E112" s="51">
        <f t="shared" si="6"/>
        <v>2782122.78</v>
      </c>
      <c r="F112" s="99" t="s">
        <v>31</v>
      </c>
      <c r="G112" s="99" t="s">
        <v>32</v>
      </c>
      <c r="H112" s="17"/>
      <c r="I112" s="17"/>
      <c r="J112" s="108"/>
      <c r="K112" s="109"/>
    </row>
    <row r="113" s="20" customFormat="1" ht="28.5" spans="1:11">
      <c r="A113" s="98">
        <v>45894</v>
      </c>
      <c r="B113" s="50" t="s">
        <v>422</v>
      </c>
      <c r="C113" s="51"/>
      <c r="D113" s="51">
        <v>630</v>
      </c>
      <c r="E113" s="51">
        <f t="shared" si="6"/>
        <v>2782752.78</v>
      </c>
      <c r="F113" s="99" t="s">
        <v>31</v>
      </c>
      <c r="G113" s="99" t="s">
        <v>62</v>
      </c>
      <c r="H113" s="17"/>
      <c r="I113" s="17"/>
      <c r="J113" s="108"/>
      <c r="K113" s="109"/>
    </row>
    <row r="114" s="20" customFormat="1" ht="42.75" spans="1:11">
      <c r="A114" s="98">
        <v>45894</v>
      </c>
      <c r="B114" s="50" t="s">
        <v>473</v>
      </c>
      <c r="C114" s="51"/>
      <c r="D114" s="51">
        <v>50</v>
      </c>
      <c r="E114" s="51">
        <f t="shared" si="6"/>
        <v>2782802.78</v>
      </c>
      <c r="F114" s="99" t="s">
        <v>31</v>
      </c>
      <c r="G114" s="99" t="s">
        <v>474</v>
      </c>
      <c r="H114" s="17"/>
      <c r="I114" s="17"/>
      <c r="J114" s="108"/>
      <c r="K114" s="109"/>
    </row>
    <row r="115" s="20" customFormat="1" ht="28.5" spans="1:11">
      <c r="A115" s="98">
        <v>45895</v>
      </c>
      <c r="B115" s="50" t="s">
        <v>416</v>
      </c>
      <c r="C115" s="51">
        <v>21486.47</v>
      </c>
      <c r="D115" s="51"/>
      <c r="E115" s="51">
        <f t="shared" ref="E115:E120" si="7">E114-IF(ISNUMBER(C115),C115,0)+IF(ISNUMBER(D115),D115,0)</f>
        <v>2761316.31</v>
      </c>
      <c r="F115" s="99" t="s">
        <v>52</v>
      </c>
      <c r="G115" s="99" t="s">
        <v>475</v>
      </c>
      <c r="H115" s="132" t="s">
        <v>476</v>
      </c>
      <c r="I115" s="17"/>
      <c r="J115" s="114" t="s">
        <v>146</v>
      </c>
      <c r="K115" s="109"/>
    </row>
    <row r="116" s="20" customFormat="1" ht="28.5" spans="1:11">
      <c r="A116" s="98">
        <v>45895</v>
      </c>
      <c r="B116" s="50" t="s">
        <v>416</v>
      </c>
      <c r="C116" s="51">
        <v>19512.97</v>
      </c>
      <c r="D116" s="51"/>
      <c r="E116" s="51">
        <f t="shared" si="7"/>
        <v>2741803.34</v>
      </c>
      <c r="F116" s="99" t="s">
        <v>52</v>
      </c>
      <c r="G116" s="99" t="s">
        <v>477</v>
      </c>
      <c r="H116" s="132" t="s">
        <v>478</v>
      </c>
      <c r="I116" s="17"/>
      <c r="J116" s="114" t="s">
        <v>146</v>
      </c>
      <c r="K116" s="109"/>
    </row>
    <row r="117" s="20" customFormat="1" ht="28.5" spans="1:11">
      <c r="A117" s="98">
        <v>45895</v>
      </c>
      <c r="B117" s="50" t="s">
        <v>416</v>
      </c>
      <c r="C117" s="51">
        <v>18850.45</v>
      </c>
      <c r="D117" s="51"/>
      <c r="E117" s="51">
        <f t="shared" si="7"/>
        <v>2722952.89</v>
      </c>
      <c r="F117" s="99" t="s">
        <v>52</v>
      </c>
      <c r="G117" s="99" t="s">
        <v>479</v>
      </c>
      <c r="H117" s="132" t="s">
        <v>480</v>
      </c>
      <c r="I117" s="17"/>
      <c r="J117" s="114" t="s">
        <v>146</v>
      </c>
      <c r="K117" s="109"/>
    </row>
    <row r="118" s="20" customFormat="1" ht="42.75" spans="1:11">
      <c r="A118" s="98">
        <v>45895</v>
      </c>
      <c r="B118" s="50" t="s">
        <v>423</v>
      </c>
      <c r="C118" s="51"/>
      <c r="D118" s="51">
        <v>30817.24</v>
      </c>
      <c r="E118" s="51">
        <f t="shared" si="7"/>
        <v>2753770.13</v>
      </c>
      <c r="F118" s="99" t="s">
        <v>31</v>
      </c>
      <c r="G118" s="99" t="s">
        <v>35</v>
      </c>
      <c r="H118" s="17"/>
      <c r="I118" s="17"/>
      <c r="J118" s="108"/>
      <c r="K118" s="109"/>
    </row>
    <row r="119" s="20" customFormat="1" ht="28.5" spans="1:11">
      <c r="A119" s="98">
        <v>45895</v>
      </c>
      <c r="B119" s="50" t="s">
        <v>422</v>
      </c>
      <c r="C119" s="51"/>
      <c r="D119" s="51">
        <v>2041</v>
      </c>
      <c r="E119" s="51">
        <f t="shared" si="7"/>
        <v>2755811.13</v>
      </c>
      <c r="F119" s="99" t="s">
        <v>31</v>
      </c>
      <c r="G119" s="99" t="s">
        <v>62</v>
      </c>
      <c r="H119" s="17"/>
      <c r="I119" s="17"/>
      <c r="J119" s="108"/>
      <c r="K119" s="109"/>
    </row>
    <row r="120" s="20" customFormat="1" ht="28.5" spans="1:11">
      <c r="A120" s="98">
        <v>45895</v>
      </c>
      <c r="B120" s="50" t="s">
        <v>421</v>
      </c>
      <c r="C120" s="51"/>
      <c r="D120" s="51">
        <v>1829.89</v>
      </c>
      <c r="E120" s="51">
        <f t="shared" si="7"/>
        <v>2757641.02</v>
      </c>
      <c r="F120" s="99" t="s">
        <v>31</v>
      </c>
      <c r="G120" s="99" t="s">
        <v>32</v>
      </c>
      <c r="H120" s="17"/>
      <c r="I120" s="17"/>
      <c r="J120" s="108"/>
      <c r="K120" s="109"/>
    </row>
    <row r="121" spans="1:1">
      <c r="A121" s="113"/>
    </row>
    <row r="122" ht="17.25" spans="1:7">
      <c r="A122" s="113"/>
      <c r="F122" s="99"/>
      <c r="G122" s="99"/>
    </row>
    <row r="123" spans="1:1">
      <c r="A123" s="113"/>
    </row>
    <row r="124" ht="17.25" spans="1:7">
      <c r="A124" s="113"/>
      <c r="F124" s="99"/>
      <c r="G124" s="99"/>
    </row>
    <row r="125" ht="17.25" spans="1:7">
      <c r="A125" s="113"/>
      <c r="F125" s="99"/>
      <c r="G125" s="99"/>
    </row>
    <row r="126" ht="17.25" spans="1:7">
      <c r="A126" s="113"/>
      <c r="F126" s="99"/>
      <c r="G126" s="99"/>
    </row>
    <row r="127" spans="1:1">
      <c r="A127" s="113"/>
    </row>
    <row r="128" ht="17.25" spans="1:7">
      <c r="A128" s="113"/>
      <c r="F128" s="99"/>
      <c r="G128" s="99"/>
    </row>
    <row r="129" spans="1:1">
      <c r="A129" s="113"/>
    </row>
    <row r="130" spans="1:1">
      <c r="A130" s="113"/>
    </row>
    <row r="131" spans="1:1">
      <c r="A131" s="113"/>
    </row>
    <row r="132" spans="1:1">
      <c r="A132" s="113"/>
    </row>
    <row r="133" spans="1:1">
      <c r="A133" s="113"/>
    </row>
    <row r="134" spans="1:1">
      <c r="A134" s="113"/>
    </row>
    <row r="135" spans="1:1">
      <c r="A135" s="113"/>
    </row>
    <row r="136" spans="1:1">
      <c r="A136" s="113"/>
    </row>
    <row r="137" spans="1:1">
      <c r="A137" s="113"/>
    </row>
    <row r="138" spans="1:1">
      <c r="A138" s="113"/>
    </row>
    <row r="139" spans="1:1">
      <c r="A139" s="113"/>
    </row>
    <row r="140" spans="1:1">
      <c r="A140" s="113"/>
    </row>
    <row r="141" spans="1:1">
      <c r="A141" s="113"/>
    </row>
    <row r="142" spans="1:1">
      <c r="A142" s="113"/>
    </row>
    <row r="143" spans="1:1">
      <c r="A143" s="113"/>
    </row>
    <row r="144" spans="1:1">
      <c r="A144" s="113"/>
    </row>
    <row r="145" spans="1:1">
      <c r="A145" s="113"/>
    </row>
    <row r="146" spans="1:1">
      <c r="A146" s="113"/>
    </row>
    <row r="147" spans="1:1">
      <c r="A147" s="113"/>
    </row>
    <row r="148" spans="1:1">
      <c r="A148" s="113"/>
    </row>
    <row r="149" spans="1:1">
      <c r="A149" s="113"/>
    </row>
    <row r="150" spans="1:1">
      <c r="A150" s="113"/>
    </row>
    <row r="151" spans="1:1">
      <c r="A151" s="113"/>
    </row>
    <row r="152" spans="1:1">
      <c r="A152" s="113"/>
    </row>
    <row r="153" spans="1:1">
      <c r="A153" s="113"/>
    </row>
    <row r="154" spans="1:1">
      <c r="A154" s="113"/>
    </row>
    <row r="155" spans="1:1">
      <c r="A155" s="113"/>
    </row>
    <row r="156" spans="1:1">
      <c r="A156" s="113"/>
    </row>
    <row r="157" spans="1:1">
      <c r="A157" s="113"/>
    </row>
    <row r="158" spans="1:1">
      <c r="A158" s="113"/>
    </row>
    <row r="159" spans="1:1">
      <c r="A159" s="113"/>
    </row>
    <row r="160" spans="1:1">
      <c r="A160" s="113"/>
    </row>
    <row r="161" spans="1:1">
      <c r="A161" s="113"/>
    </row>
    <row r="162" spans="1:1">
      <c r="A162" s="113"/>
    </row>
    <row r="163" spans="1:1">
      <c r="A163" s="113"/>
    </row>
    <row r="164" spans="1:1">
      <c r="A164" s="113"/>
    </row>
    <row r="165" spans="1:1">
      <c r="A165" s="113"/>
    </row>
    <row r="166" spans="1:1">
      <c r="A166" s="113"/>
    </row>
    <row r="167" spans="1:1">
      <c r="A167" s="113"/>
    </row>
  </sheetData>
  <autoFilter xmlns:etc="http://www.wps.cn/officeDocument/2017/etCustomData" ref="A2:K128" etc:filterBottomFollowUsedRange="0">
    <sortState ref="A2:K128">
      <sortCondition ref="A2"/>
    </sortState>
    <extLst/>
  </autoFilter>
  <conditionalFormatting sqref="H1">
    <cfRule type="containsText" dxfId="0" priority="333" operator="between" text="待">
      <formula>NOT(ISERROR(SEARCH("待",H1)))</formula>
    </cfRule>
  </conditionalFormatting>
  <conditionalFormatting sqref="I1">
    <cfRule type="containsText" dxfId="0" priority="331" operator="between" text="待附件">
      <formula>NOT(ISERROR(SEARCH("待附件",I1)))</formula>
    </cfRule>
    <cfRule type="containsText" dxfId="0" priority="332" operator="between" text="待提单">
      <formula>NOT(ISERROR(SEARCH("待提单",I1)))</formula>
    </cfRule>
  </conditionalFormatting>
  <conditionalFormatting sqref="F2:H2">
    <cfRule type="containsText" dxfId="0" priority="329" operator="between" text="待">
      <formula>NOT(ISERROR(SEARCH("待",F2)))</formula>
    </cfRule>
  </conditionalFormatting>
  <conditionalFormatting sqref="I2">
    <cfRule type="containsText" dxfId="0" priority="330" operator="between" text="待">
      <formula>NOT(ISERROR(SEARCH("待",I2)))</formula>
    </cfRule>
  </conditionalFormatting>
  <conditionalFormatting sqref="K2">
    <cfRule type="containsText" dxfId="0" priority="403" operator="between" text="待">
      <formula>NOT(ISERROR(SEARCH("待",K2)))</formula>
    </cfRule>
  </conditionalFormatting>
  <conditionalFormatting sqref="F5:G5">
    <cfRule type="containsText" dxfId="0" priority="180" operator="between" text="待">
      <formula>NOT(ISERROR(SEARCH("待",F5)))</formula>
    </cfRule>
  </conditionalFormatting>
  <conditionalFormatting sqref="F6:G6">
    <cfRule type="containsText" dxfId="0" priority="230" operator="between" text="待">
      <formula>NOT(ISERROR(SEARCH("待",F6)))</formula>
    </cfRule>
  </conditionalFormatting>
  <conditionalFormatting sqref="G6">
    <cfRule type="containsText" dxfId="1" priority="244" operator="between" text="/">
      <formula>NOT(ISERROR(SEARCH("/",G6)))</formula>
    </cfRule>
  </conditionalFormatting>
  <conditionalFormatting sqref="H6:I6">
    <cfRule type="containsText" dxfId="0" priority="202" operator="between" text="待附件">
      <formula>NOT(ISERROR(SEARCH("待附件",H6)))</formula>
    </cfRule>
    <cfRule type="containsText" dxfId="0" priority="216" operator="between" text="待提单">
      <formula>NOT(ISERROR(SEARCH("待提单",H6)))</formula>
    </cfRule>
  </conditionalFormatting>
  <conditionalFormatting sqref="F7:G7">
    <cfRule type="containsText" dxfId="0" priority="228" operator="between" text="待">
      <formula>NOT(ISERROR(SEARCH("待",F7)))</formula>
    </cfRule>
  </conditionalFormatting>
  <conditionalFormatting sqref="G7">
    <cfRule type="containsText" dxfId="1" priority="242" operator="between" text="/">
      <formula>NOT(ISERROR(SEARCH("/",G7)))</formula>
    </cfRule>
  </conditionalFormatting>
  <conditionalFormatting sqref="H7:I7">
    <cfRule type="containsText" dxfId="0" priority="200" operator="between" text="待附件">
      <formula>NOT(ISERROR(SEARCH("待附件",H7)))</formula>
    </cfRule>
    <cfRule type="containsText" dxfId="0" priority="214" operator="between" text="待提单">
      <formula>NOT(ISERROR(SEARCH("待提单",H7)))</formula>
    </cfRule>
  </conditionalFormatting>
  <conditionalFormatting sqref="F8:G8">
    <cfRule type="containsText" dxfId="0" priority="227" operator="between" text="待">
      <formula>NOT(ISERROR(SEARCH("待",F8)))</formula>
    </cfRule>
  </conditionalFormatting>
  <conditionalFormatting sqref="G8">
    <cfRule type="containsText" dxfId="1" priority="241" operator="between" text="/">
      <formula>NOT(ISERROR(SEARCH("/",G8)))</formula>
    </cfRule>
  </conditionalFormatting>
  <conditionalFormatting sqref="H8:I8">
    <cfRule type="containsText" dxfId="0" priority="199" operator="between" text="待附件">
      <formula>NOT(ISERROR(SEARCH("待附件",H8)))</formula>
    </cfRule>
    <cfRule type="containsText" dxfId="0" priority="213" operator="between" text="待提单">
      <formula>NOT(ISERROR(SEARCH("待提单",H8)))</formula>
    </cfRule>
  </conditionalFormatting>
  <conditionalFormatting sqref="F9:G9">
    <cfRule type="containsText" dxfId="0" priority="226" operator="between" text="待">
      <formula>NOT(ISERROR(SEARCH("待",F9)))</formula>
    </cfRule>
  </conditionalFormatting>
  <conditionalFormatting sqref="G9">
    <cfRule type="containsText" dxfId="1" priority="240" operator="between" text="/">
      <formula>NOT(ISERROR(SEARCH("/",G9)))</formula>
    </cfRule>
  </conditionalFormatting>
  <conditionalFormatting sqref="H9:I9">
    <cfRule type="containsText" dxfId="0" priority="198" operator="between" text="待附件">
      <formula>NOT(ISERROR(SEARCH("待附件",H9)))</formula>
    </cfRule>
    <cfRule type="containsText" dxfId="0" priority="212" operator="between" text="待提单">
      <formula>NOT(ISERROR(SEARCH("待提单",H9)))</formula>
    </cfRule>
  </conditionalFormatting>
  <conditionalFormatting sqref="F10:G10">
    <cfRule type="containsText" dxfId="0" priority="225" operator="between" text="待">
      <formula>NOT(ISERROR(SEARCH("待",F10)))</formula>
    </cfRule>
  </conditionalFormatting>
  <conditionalFormatting sqref="G10">
    <cfRule type="containsText" dxfId="1" priority="239" operator="between" text="/">
      <formula>NOT(ISERROR(SEARCH("/",G10)))</formula>
    </cfRule>
  </conditionalFormatting>
  <conditionalFormatting sqref="H10:I10">
    <cfRule type="containsText" dxfId="0" priority="197" operator="between" text="待附件">
      <formula>NOT(ISERROR(SEARCH("待附件",H10)))</formula>
    </cfRule>
    <cfRule type="containsText" dxfId="0" priority="211" operator="between" text="待提单">
      <formula>NOT(ISERROR(SEARCH("待提单",H10)))</formula>
    </cfRule>
  </conditionalFormatting>
  <conditionalFormatting sqref="F11:G11">
    <cfRule type="containsText" dxfId="0" priority="224" operator="between" text="待">
      <formula>NOT(ISERROR(SEARCH("待",F11)))</formula>
    </cfRule>
  </conditionalFormatting>
  <conditionalFormatting sqref="G11">
    <cfRule type="containsText" dxfId="1" priority="238" operator="between" text="/">
      <formula>NOT(ISERROR(SEARCH("/",G11)))</formula>
    </cfRule>
  </conditionalFormatting>
  <conditionalFormatting sqref="H11:I11">
    <cfRule type="containsText" dxfId="0" priority="196" operator="between" text="待附件">
      <formula>NOT(ISERROR(SEARCH("待附件",H11)))</formula>
    </cfRule>
    <cfRule type="containsText" dxfId="0" priority="210" operator="between" text="待提单">
      <formula>NOT(ISERROR(SEARCH("待提单",H11)))</formula>
    </cfRule>
  </conditionalFormatting>
  <conditionalFormatting sqref="F12:G12">
    <cfRule type="containsText" dxfId="0" priority="223" operator="between" text="待">
      <formula>NOT(ISERROR(SEARCH("待",F12)))</formula>
    </cfRule>
  </conditionalFormatting>
  <conditionalFormatting sqref="G12">
    <cfRule type="containsText" dxfId="1" priority="237" operator="between" text="/">
      <formula>NOT(ISERROR(SEARCH("/",G12)))</formula>
    </cfRule>
  </conditionalFormatting>
  <conditionalFormatting sqref="H12:I12">
    <cfRule type="containsText" dxfId="0" priority="195" operator="between" text="待附件">
      <formula>NOT(ISERROR(SEARCH("待附件",H12)))</formula>
    </cfRule>
    <cfRule type="containsText" dxfId="0" priority="209" operator="between" text="待提单">
      <formula>NOT(ISERROR(SEARCH("待提单",H12)))</formula>
    </cfRule>
  </conditionalFormatting>
  <conditionalFormatting sqref="F13:G13">
    <cfRule type="containsText" dxfId="0" priority="222" operator="between" text="待">
      <formula>NOT(ISERROR(SEARCH("待",F13)))</formula>
    </cfRule>
  </conditionalFormatting>
  <conditionalFormatting sqref="G13">
    <cfRule type="containsText" dxfId="1" priority="236" operator="between" text="/">
      <formula>NOT(ISERROR(SEARCH("/",G13)))</formula>
    </cfRule>
  </conditionalFormatting>
  <conditionalFormatting sqref="H13:I13">
    <cfRule type="containsText" dxfId="0" priority="194" operator="between" text="待附件">
      <formula>NOT(ISERROR(SEARCH("待附件",H13)))</formula>
    </cfRule>
    <cfRule type="containsText" dxfId="0" priority="208" operator="between" text="待提单">
      <formula>NOT(ISERROR(SEARCH("待提单",H13)))</formula>
    </cfRule>
  </conditionalFormatting>
  <conditionalFormatting sqref="F14:G14">
    <cfRule type="containsText" dxfId="0" priority="219" operator="between" text="待">
      <formula>NOT(ISERROR(SEARCH("待",F14)))</formula>
    </cfRule>
  </conditionalFormatting>
  <conditionalFormatting sqref="G14">
    <cfRule type="containsText" dxfId="1" priority="233" operator="between" text="/">
      <formula>NOT(ISERROR(SEARCH("/",G14)))</formula>
    </cfRule>
  </conditionalFormatting>
  <conditionalFormatting sqref="H14:I14">
    <cfRule type="containsText" dxfId="0" priority="191" operator="between" text="待附件">
      <formula>NOT(ISERROR(SEARCH("待附件",H14)))</formula>
    </cfRule>
    <cfRule type="containsText" dxfId="0" priority="205" operator="between" text="待提单">
      <formula>NOT(ISERROR(SEARCH("待提单",H14)))</formula>
    </cfRule>
  </conditionalFormatting>
  <conditionalFormatting sqref="F15:G15">
    <cfRule type="containsText" dxfId="0" priority="218" operator="between" text="待">
      <formula>NOT(ISERROR(SEARCH("待",F15)))</formula>
    </cfRule>
  </conditionalFormatting>
  <conditionalFormatting sqref="G15">
    <cfRule type="containsText" dxfId="1" priority="232" operator="between" text="/">
      <formula>NOT(ISERROR(SEARCH("/",G15)))</formula>
    </cfRule>
  </conditionalFormatting>
  <conditionalFormatting sqref="H15:I15">
    <cfRule type="containsText" dxfId="0" priority="190" operator="between" text="待附件">
      <formula>NOT(ISERROR(SEARCH("待附件",H15)))</formula>
    </cfRule>
    <cfRule type="containsText" dxfId="0" priority="204" operator="between" text="待提单">
      <formula>NOT(ISERROR(SEARCH("待提单",H15)))</formula>
    </cfRule>
  </conditionalFormatting>
  <conditionalFormatting sqref="F16:G16">
    <cfRule type="containsText" dxfId="0" priority="217" operator="between" text="待">
      <formula>NOT(ISERROR(SEARCH("待",F16)))</formula>
    </cfRule>
  </conditionalFormatting>
  <conditionalFormatting sqref="G16">
    <cfRule type="containsText" dxfId="1" priority="231" operator="between" text="/">
      <formula>NOT(ISERROR(SEARCH("/",G16)))</formula>
    </cfRule>
  </conditionalFormatting>
  <conditionalFormatting sqref="H16:I16">
    <cfRule type="containsText" dxfId="0" priority="189" operator="between" text="待附件">
      <formula>NOT(ISERROR(SEARCH("待附件",H16)))</formula>
    </cfRule>
    <cfRule type="containsText" dxfId="0" priority="203" operator="between" text="待提单">
      <formula>NOT(ISERROR(SEARCH("待提单",H16)))</formula>
    </cfRule>
  </conditionalFormatting>
  <conditionalFormatting sqref="F17">
    <cfRule type="containsText" dxfId="0" priority="277" operator="between" text="待">
      <formula>NOT(ISERROR(SEARCH("待",F17)))</formula>
    </cfRule>
    <cfRule type="containsText" dxfId="1" priority="278" operator="between" text="/">
      <formula>NOT(ISERROR(SEARCH("/",F17)))</formula>
    </cfRule>
  </conditionalFormatting>
  <conditionalFormatting sqref="G17">
    <cfRule type="containsText" dxfId="0" priority="279" operator="between" text="待">
      <formula>NOT(ISERROR(SEARCH("待",G17)))</formula>
    </cfRule>
    <cfRule type="containsText" dxfId="1" priority="280" operator="between" text="/">
      <formula>NOT(ISERROR(SEARCH("/",G17)))</formula>
    </cfRule>
  </conditionalFormatting>
  <conditionalFormatting sqref="F22">
    <cfRule type="containsText" dxfId="0" priority="269" operator="between" text="待">
      <formula>NOT(ISERROR(SEARCH("待",F22)))</formula>
    </cfRule>
    <cfRule type="containsText" dxfId="1" priority="270" operator="between" text="/">
      <formula>NOT(ISERROR(SEARCH("/",F22)))</formula>
    </cfRule>
  </conditionalFormatting>
  <conditionalFormatting sqref="G22">
    <cfRule type="containsText" dxfId="0" priority="271" operator="between" text="待">
      <formula>NOT(ISERROR(SEARCH("待",G22)))</formula>
    </cfRule>
    <cfRule type="containsText" dxfId="1" priority="272" operator="between" text="/">
      <formula>NOT(ISERROR(SEARCH("/",G22)))</formula>
    </cfRule>
  </conditionalFormatting>
  <conditionalFormatting sqref="F23">
    <cfRule type="containsText" dxfId="0" priority="250" operator="between" text="待">
      <formula>NOT(ISERROR(SEARCH("待",F23)))</formula>
    </cfRule>
    <cfRule type="containsText" dxfId="1" priority="251" operator="between" text="/">
      <formula>NOT(ISERROR(SEARCH("/",F23)))</formula>
    </cfRule>
  </conditionalFormatting>
  <conditionalFormatting sqref="H23">
    <cfRule type="containsText" dxfId="2" priority="245" operator="between" text="待">
      <formula>NOT(ISERROR(SEARCH("待",H23)))</formula>
    </cfRule>
  </conditionalFormatting>
  <conditionalFormatting sqref="F26">
    <cfRule type="containsText" dxfId="0" priority="253" operator="between" text="待">
      <formula>NOT(ISERROR(SEARCH("待",F26)))</formula>
    </cfRule>
    <cfRule type="containsText" dxfId="1" priority="254" operator="between" text="/">
      <formula>NOT(ISERROR(SEARCH("/",F26)))</formula>
    </cfRule>
  </conditionalFormatting>
  <conditionalFormatting sqref="G26">
    <cfRule type="containsText" dxfId="0" priority="255" operator="between" text="待">
      <formula>NOT(ISERROR(SEARCH("待",G26)))</formula>
    </cfRule>
    <cfRule type="containsText" dxfId="1" priority="256" operator="between" text="/">
      <formula>NOT(ISERROR(SEARCH("/",G26)))</formula>
    </cfRule>
  </conditionalFormatting>
  <conditionalFormatting sqref="F27">
    <cfRule type="containsText" dxfId="0" priority="167" operator="between" text="待">
      <formula>NOT(ISERROR(SEARCH("待",F27)))</formula>
    </cfRule>
  </conditionalFormatting>
  <conditionalFormatting sqref="F30">
    <cfRule type="containsText" dxfId="0" priority="176" operator="between" text="待">
      <formula>NOT(ISERROR(SEARCH("待",F30)))</formula>
    </cfRule>
    <cfRule type="containsText" dxfId="1" priority="177" operator="between" text="/">
      <formula>NOT(ISERROR(SEARCH("/",F30)))</formula>
    </cfRule>
  </conditionalFormatting>
  <conditionalFormatting sqref="G30">
    <cfRule type="containsText" dxfId="0" priority="178" operator="between" text="待">
      <formula>NOT(ISERROR(SEARCH("待",G30)))</formula>
    </cfRule>
    <cfRule type="containsText" dxfId="1" priority="179" operator="between" text="/">
      <formula>NOT(ISERROR(SEARCH("/",G30)))</formula>
    </cfRule>
  </conditionalFormatting>
  <conditionalFormatting sqref="F32">
    <cfRule type="containsText" dxfId="2" priority="175" operator="between" text="待">
      <formula>NOT(ISERROR(SEARCH("待",F32)))</formula>
    </cfRule>
  </conditionalFormatting>
  <conditionalFormatting sqref="G40">
    <cfRule type="containsText" dxfId="0" priority="151" operator="between" text="待">
      <formula>NOT(ISERROR(SEARCH("待",G40)))</formula>
    </cfRule>
    <cfRule type="containsText" dxfId="1" priority="152" operator="between" text="/">
      <formula>NOT(ISERROR(SEARCH("/",G40)))</formula>
    </cfRule>
  </conditionalFormatting>
  <conditionalFormatting sqref="G41">
    <cfRule type="containsText" dxfId="0" priority="149" operator="between" text="待">
      <formula>NOT(ISERROR(SEARCH("待",G41)))</formula>
    </cfRule>
    <cfRule type="containsText" dxfId="1" priority="150" operator="between" text="/">
      <formula>NOT(ISERROR(SEARCH("/",G41)))</formula>
    </cfRule>
  </conditionalFormatting>
  <conditionalFormatting sqref="G42">
    <cfRule type="containsText" dxfId="0" priority="153" operator="between" text="待">
      <formula>NOT(ISERROR(SEARCH("待",G42)))</formula>
    </cfRule>
    <cfRule type="containsText" dxfId="1" priority="154" operator="between" text="/">
      <formula>NOT(ISERROR(SEARCH("/",G42)))</formula>
    </cfRule>
  </conditionalFormatting>
  <conditionalFormatting sqref="G43">
    <cfRule type="containsText" dxfId="0" priority="147" operator="between" text="待">
      <formula>NOT(ISERROR(SEARCH("待",G43)))</formula>
    </cfRule>
    <cfRule type="containsText" dxfId="1" priority="148" operator="between" text="/">
      <formula>NOT(ISERROR(SEARCH("/",G43)))</formula>
    </cfRule>
  </conditionalFormatting>
  <conditionalFormatting sqref="G44">
    <cfRule type="containsText" dxfId="0" priority="165" operator="between" text="待">
      <formula>NOT(ISERROR(SEARCH("待",G44)))</formula>
    </cfRule>
  </conditionalFormatting>
  <conditionalFormatting sqref="G45">
    <cfRule type="containsText" dxfId="0" priority="145" operator="between" text="待">
      <formula>NOT(ISERROR(SEARCH("待",G45)))</formula>
    </cfRule>
    <cfRule type="containsText" dxfId="1" priority="146" operator="between" text="/">
      <formula>NOT(ISERROR(SEARCH("/",G45)))</formula>
    </cfRule>
  </conditionalFormatting>
  <conditionalFormatting sqref="G46">
    <cfRule type="containsText" dxfId="0" priority="143" operator="between" text="待">
      <formula>NOT(ISERROR(SEARCH("待",G46)))</formula>
    </cfRule>
    <cfRule type="containsText" dxfId="1" priority="144" operator="between" text="/">
      <formula>NOT(ISERROR(SEARCH("/",G46)))</formula>
    </cfRule>
  </conditionalFormatting>
  <conditionalFormatting sqref="G47">
    <cfRule type="containsText" dxfId="0" priority="141" operator="between" text="待">
      <formula>NOT(ISERROR(SEARCH("待",G47)))</formula>
    </cfRule>
    <cfRule type="containsText" dxfId="1" priority="142" operator="between" text="/">
      <formula>NOT(ISERROR(SEARCH("/",G47)))</formula>
    </cfRule>
  </conditionalFormatting>
  <conditionalFormatting sqref="I47">
    <cfRule type="containsText" dxfId="0" priority="136" operator="between" text="待提单">
      <formula>NOT(ISERROR(SEARCH("待提单",I47)))</formula>
    </cfRule>
    <cfRule type="containsText" dxfId="0" priority="135" operator="between" text="待附件">
      <formula>NOT(ISERROR(SEARCH("待附件",I47)))</formula>
    </cfRule>
  </conditionalFormatting>
  <conditionalFormatting sqref="F48">
    <cfRule type="containsText" dxfId="0" priority="139" operator="between" text="待">
      <formula>NOT(ISERROR(SEARCH("待",F48)))</formula>
    </cfRule>
    <cfRule type="containsText" dxfId="1" priority="140" operator="between" text="/">
      <formula>NOT(ISERROR(SEARCH("/",F48)))</formula>
    </cfRule>
  </conditionalFormatting>
  <conditionalFormatting sqref="F52">
    <cfRule type="containsText" dxfId="0" priority="157" operator="between" text="待">
      <formula>NOT(ISERROR(SEARCH("待",F52)))</formula>
    </cfRule>
    <cfRule type="containsText" dxfId="1" priority="158" operator="between" text="/">
      <formula>NOT(ISERROR(SEARCH("/",F52)))</formula>
    </cfRule>
  </conditionalFormatting>
  <conditionalFormatting sqref="G53">
    <cfRule type="containsText" dxfId="1" priority="161" operator="between" text="/">
      <formula>NOT(ISERROR(SEARCH("/",G53)))</formula>
    </cfRule>
  </conditionalFormatting>
  <conditionalFormatting sqref="F55:G55">
    <cfRule type="containsText" dxfId="0" priority="94" operator="between" text="待">
      <formula>NOT(ISERROR(SEARCH("待",F55)))</formula>
    </cfRule>
  </conditionalFormatting>
  <conditionalFormatting sqref="G55">
    <cfRule type="containsText" dxfId="1" priority="114" operator="between" text="/">
      <formula>NOT(ISERROR(SEARCH("/",G55)))</formula>
    </cfRule>
  </conditionalFormatting>
  <conditionalFormatting sqref="H55">
    <cfRule type="containsText" dxfId="0" priority="134" operator="between" text="待">
      <formula>NOT(ISERROR(SEARCH("待",H55)))</formula>
    </cfRule>
  </conditionalFormatting>
  <conditionalFormatting sqref="I55">
    <cfRule type="containsText" dxfId="0" priority="74" operator="between" text="待提单">
      <formula>NOT(ISERROR(SEARCH("待提单",I55)))</formula>
    </cfRule>
    <cfRule type="containsText" dxfId="0" priority="54" operator="between" text="待附件">
      <formula>NOT(ISERROR(SEARCH("待附件",I55)))</formula>
    </cfRule>
  </conditionalFormatting>
  <conditionalFormatting sqref="F56:G56">
    <cfRule type="containsText" dxfId="0" priority="93" operator="between" text="待">
      <formula>NOT(ISERROR(SEARCH("待",F56)))</formula>
    </cfRule>
  </conditionalFormatting>
  <conditionalFormatting sqref="G56">
    <cfRule type="containsText" dxfId="1" priority="113" operator="between" text="/">
      <formula>NOT(ISERROR(SEARCH("/",G56)))</formula>
    </cfRule>
  </conditionalFormatting>
  <conditionalFormatting sqref="H56">
    <cfRule type="containsText" dxfId="0" priority="133" operator="between" text="待">
      <formula>NOT(ISERROR(SEARCH("待",H56)))</formula>
    </cfRule>
  </conditionalFormatting>
  <conditionalFormatting sqref="I56">
    <cfRule type="containsText" dxfId="0" priority="73" operator="between" text="待提单">
      <formula>NOT(ISERROR(SEARCH("待提单",I56)))</formula>
    </cfRule>
    <cfRule type="containsText" dxfId="0" priority="53" operator="between" text="待附件">
      <formula>NOT(ISERROR(SEARCH("待附件",I56)))</formula>
    </cfRule>
  </conditionalFormatting>
  <conditionalFormatting sqref="F57:G57">
    <cfRule type="containsText" dxfId="0" priority="92" operator="between" text="待">
      <formula>NOT(ISERROR(SEARCH("待",F57)))</formula>
    </cfRule>
  </conditionalFormatting>
  <conditionalFormatting sqref="G57">
    <cfRule type="containsText" dxfId="1" priority="112" operator="between" text="/">
      <formula>NOT(ISERROR(SEARCH("/",G57)))</formula>
    </cfRule>
  </conditionalFormatting>
  <conditionalFormatting sqref="H57">
    <cfRule type="containsText" dxfId="0" priority="132" operator="between" text="待">
      <formula>NOT(ISERROR(SEARCH("待",H57)))</formula>
    </cfRule>
  </conditionalFormatting>
  <conditionalFormatting sqref="I57">
    <cfRule type="containsText" dxfId="0" priority="72" operator="between" text="待提单">
      <formula>NOT(ISERROR(SEARCH("待提单",I57)))</formula>
    </cfRule>
    <cfRule type="containsText" dxfId="0" priority="52" operator="between" text="待附件">
      <formula>NOT(ISERROR(SEARCH("待附件",I57)))</formula>
    </cfRule>
  </conditionalFormatting>
  <conditionalFormatting sqref="F58:G58">
    <cfRule type="containsText" dxfId="0" priority="91" operator="between" text="待">
      <formula>NOT(ISERROR(SEARCH("待",F58)))</formula>
    </cfRule>
  </conditionalFormatting>
  <conditionalFormatting sqref="G58">
    <cfRule type="containsText" dxfId="1" priority="111" operator="between" text="/">
      <formula>NOT(ISERROR(SEARCH("/",G58)))</formula>
    </cfRule>
  </conditionalFormatting>
  <conditionalFormatting sqref="H58">
    <cfRule type="containsText" dxfId="0" priority="131" operator="between" text="待">
      <formula>NOT(ISERROR(SEARCH("待",H58)))</formula>
    </cfRule>
  </conditionalFormatting>
  <conditionalFormatting sqref="I58">
    <cfRule type="containsText" dxfId="0" priority="71" operator="between" text="待提单">
      <formula>NOT(ISERROR(SEARCH("待提单",I58)))</formula>
    </cfRule>
    <cfRule type="containsText" dxfId="0" priority="51" operator="between" text="待附件">
      <formula>NOT(ISERROR(SEARCH("待附件",I58)))</formula>
    </cfRule>
  </conditionalFormatting>
  <conditionalFormatting sqref="F59:G59">
    <cfRule type="containsText" dxfId="0" priority="90" operator="between" text="待">
      <formula>NOT(ISERROR(SEARCH("待",F59)))</formula>
    </cfRule>
  </conditionalFormatting>
  <conditionalFormatting sqref="G59">
    <cfRule type="containsText" dxfId="1" priority="110" operator="between" text="/">
      <formula>NOT(ISERROR(SEARCH("/",G59)))</formula>
    </cfRule>
  </conditionalFormatting>
  <conditionalFormatting sqref="H59">
    <cfRule type="containsText" dxfId="0" priority="130" operator="between" text="待">
      <formula>NOT(ISERROR(SEARCH("待",H59)))</formula>
    </cfRule>
  </conditionalFormatting>
  <conditionalFormatting sqref="I59">
    <cfRule type="containsText" dxfId="0" priority="70" operator="between" text="待提单">
      <formula>NOT(ISERROR(SEARCH("待提单",I59)))</formula>
    </cfRule>
    <cfRule type="containsText" dxfId="0" priority="50" operator="between" text="待附件">
      <formula>NOT(ISERROR(SEARCH("待附件",I59)))</formula>
    </cfRule>
  </conditionalFormatting>
  <conditionalFormatting sqref="F60:G60">
    <cfRule type="containsText" dxfId="0" priority="89" operator="between" text="待">
      <formula>NOT(ISERROR(SEARCH("待",F60)))</formula>
    </cfRule>
  </conditionalFormatting>
  <conditionalFormatting sqref="G60">
    <cfRule type="containsText" dxfId="1" priority="109" operator="between" text="/">
      <formula>NOT(ISERROR(SEARCH("/",G60)))</formula>
    </cfRule>
  </conditionalFormatting>
  <conditionalFormatting sqref="H60">
    <cfRule type="containsText" dxfId="0" priority="129" operator="between" text="待">
      <formula>NOT(ISERROR(SEARCH("待",H60)))</formula>
    </cfRule>
  </conditionalFormatting>
  <conditionalFormatting sqref="I60">
    <cfRule type="containsText" dxfId="0" priority="69" operator="between" text="待提单">
      <formula>NOT(ISERROR(SEARCH("待提单",I60)))</formula>
    </cfRule>
    <cfRule type="containsText" dxfId="0" priority="49" operator="between" text="待附件">
      <formula>NOT(ISERROR(SEARCH("待附件",I60)))</formula>
    </cfRule>
  </conditionalFormatting>
  <conditionalFormatting sqref="F61:G61">
    <cfRule type="containsText" dxfId="0" priority="88" operator="between" text="待">
      <formula>NOT(ISERROR(SEARCH("待",F61)))</formula>
    </cfRule>
  </conditionalFormatting>
  <conditionalFormatting sqref="G61">
    <cfRule type="containsText" dxfId="1" priority="108" operator="between" text="/">
      <formula>NOT(ISERROR(SEARCH("/",G61)))</formula>
    </cfRule>
  </conditionalFormatting>
  <conditionalFormatting sqref="H61">
    <cfRule type="containsText" dxfId="0" priority="128" operator="between" text="待">
      <formula>NOT(ISERROR(SEARCH("待",H61)))</formula>
    </cfRule>
  </conditionalFormatting>
  <conditionalFormatting sqref="I61">
    <cfRule type="containsText" dxfId="0" priority="68" operator="between" text="待提单">
      <formula>NOT(ISERROR(SEARCH("待提单",I61)))</formula>
    </cfRule>
    <cfRule type="containsText" dxfId="0" priority="48" operator="between" text="待附件">
      <formula>NOT(ISERROR(SEARCH("待附件",I61)))</formula>
    </cfRule>
  </conditionalFormatting>
  <conditionalFormatting sqref="F62:G62">
    <cfRule type="containsText" dxfId="0" priority="87" operator="between" text="待">
      <formula>NOT(ISERROR(SEARCH("待",F62)))</formula>
    </cfRule>
  </conditionalFormatting>
  <conditionalFormatting sqref="G62">
    <cfRule type="containsText" dxfId="1" priority="107" operator="between" text="/">
      <formula>NOT(ISERROR(SEARCH("/",G62)))</formula>
    </cfRule>
  </conditionalFormatting>
  <conditionalFormatting sqref="H62">
    <cfRule type="containsText" dxfId="0" priority="127" operator="between" text="待">
      <formula>NOT(ISERROR(SEARCH("待",H62)))</formula>
    </cfRule>
  </conditionalFormatting>
  <conditionalFormatting sqref="I62">
    <cfRule type="containsText" dxfId="0" priority="67" operator="between" text="待提单">
      <formula>NOT(ISERROR(SEARCH("待提单",I62)))</formula>
    </cfRule>
    <cfRule type="containsText" dxfId="0" priority="47" operator="between" text="待附件">
      <formula>NOT(ISERROR(SEARCH("待附件",I62)))</formula>
    </cfRule>
  </conditionalFormatting>
  <conditionalFormatting sqref="F63:G63">
    <cfRule type="containsText" dxfId="0" priority="86" operator="between" text="待">
      <formula>NOT(ISERROR(SEARCH("待",F63)))</formula>
    </cfRule>
  </conditionalFormatting>
  <conditionalFormatting sqref="G63">
    <cfRule type="containsText" dxfId="1" priority="106" operator="between" text="/">
      <formula>NOT(ISERROR(SEARCH("/",G63)))</formula>
    </cfRule>
  </conditionalFormatting>
  <conditionalFormatting sqref="H63">
    <cfRule type="containsText" dxfId="0" priority="126" operator="between" text="待">
      <formula>NOT(ISERROR(SEARCH("待",H63)))</formula>
    </cfRule>
  </conditionalFormatting>
  <conditionalFormatting sqref="I63">
    <cfRule type="containsText" dxfId="0" priority="66" operator="between" text="待提单">
      <formula>NOT(ISERROR(SEARCH("待提单",I63)))</formula>
    </cfRule>
    <cfRule type="containsText" dxfId="0" priority="46" operator="between" text="待附件">
      <formula>NOT(ISERROR(SEARCH("待附件",I63)))</formula>
    </cfRule>
  </conditionalFormatting>
  <conditionalFormatting sqref="F64:G64">
    <cfRule type="containsText" dxfId="0" priority="85" operator="between" text="待">
      <formula>NOT(ISERROR(SEARCH("待",F64)))</formula>
    </cfRule>
  </conditionalFormatting>
  <conditionalFormatting sqref="G64">
    <cfRule type="containsText" dxfId="1" priority="105" operator="between" text="/">
      <formula>NOT(ISERROR(SEARCH("/",G64)))</formula>
    </cfRule>
  </conditionalFormatting>
  <conditionalFormatting sqref="H64">
    <cfRule type="containsText" dxfId="0" priority="125" operator="between" text="待">
      <formula>NOT(ISERROR(SEARCH("待",H64)))</formula>
    </cfRule>
  </conditionalFormatting>
  <conditionalFormatting sqref="I64">
    <cfRule type="containsText" dxfId="0" priority="65" operator="between" text="待提单">
      <formula>NOT(ISERROR(SEARCH("待提单",I64)))</formula>
    </cfRule>
    <cfRule type="containsText" dxfId="0" priority="45" operator="between" text="待附件">
      <formula>NOT(ISERROR(SEARCH("待附件",I64)))</formula>
    </cfRule>
  </conditionalFormatting>
  <conditionalFormatting sqref="F65:G65">
    <cfRule type="containsText" dxfId="0" priority="84" operator="between" text="待">
      <formula>NOT(ISERROR(SEARCH("待",F65)))</formula>
    </cfRule>
  </conditionalFormatting>
  <conditionalFormatting sqref="G65">
    <cfRule type="containsText" dxfId="1" priority="104" operator="between" text="/">
      <formula>NOT(ISERROR(SEARCH("/",G65)))</formula>
    </cfRule>
  </conditionalFormatting>
  <conditionalFormatting sqref="H65">
    <cfRule type="containsText" dxfId="0" priority="124" operator="between" text="待">
      <formula>NOT(ISERROR(SEARCH("待",H65)))</formula>
    </cfRule>
  </conditionalFormatting>
  <conditionalFormatting sqref="I65">
    <cfRule type="containsText" dxfId="0" priority="64" operator="between" text="待提单">
      <formula>NOT(ISERROR(SEARCH("待提单",I65)))</formula>
    </cfRule>
    <cfRule type="containsText" dxfId="0" priority="44" operator="between" text="待附件">
      <formula>NOT(ISERROR(SEARCH("待附件",I65)))</formula>
    </cfRule>
  </conditionalFormatting>
  <conditionalFormatting sqref="F66">
    <cfRule type="containsText" dxfId="0" priority="29" operator="between" text="待">
      <formula>NOT(ISERROR(SEARCH("待",F66)))</formula>
    </cfRule>
  </conditionalFormatting>
  <conditionalFormatting sqref="G66">
    <cfRule type="containsText" dxfId="1" priority="103" operator="between" text="/">
      <formula>NOT(ISERROR(SEARCH("/",G66)))</formula>
    </cfRule>
    <cfRule type="containsText" dxfId="0" priority="83" operator="between" text="待">
      <formula>NOT(ISERROR(SEARCH("待",G66)))</formula>
    </cfRule>
  </conditionalFormatting>
  <conditionalFormatting sqref="H66">
    <cfRule type="containsText" dxfId="0" priority="123" operator="between" text="待">
      <formula>NOT(ISERROR(SEARCH("待",H66)))</formula>
    </cfRule>
  </conditionalFormatting>
  <conditionalFormatting sqref="I66">
    <cfRule type="containsText" dxfId="0" priority="43" operator="between" text="待附件">
      <formula>NOT(ISERROR(SEARCH("待附件",I66)))</formula>
    </cfRule>
    <cfRule type="containsText" dxfId="0" priority="63" operator="between" text="待提单">
      <formula>NOT(ISERROR(SEARCH("待提单",I66)))</formula>
    </cfRule>
  </conditionalFormatting>
  <conditionalFormatting sqref="F67:G67">
    <cfRule type="containsText" dxfId="0" priority="32" operator="between" text="待">
      <formula>NOT(ISERROR(SEARCH("待",F67)))</formula>
    </cfRule>
  </conditionalFormatting>
  <conditionalFormatting sqref="G67">
    <cfRule type="containsText" dxfId="1" priority="33" operator="between" text="/">
      <formula>NOT(ISERROR(SEARCH("/",G67)))</formula>
    </cfRule>
  </conditionalFormatting>
  <conditionalFormatting sqref="H67">
    <cfRule type="containsText" dxfId="0" priority="28" operator="between" text="待">
      <formula>NOT(ISERROR(SEARCH("待",H67)))</formula>
    </cfRule>
  </conditionalFormatting>
  <conditionalFormatting sqref="I67">
    <cfRule type="containsText" dxfId="0" priority="31" operator="between" text="待提单">
      <formula>NOT(ISERROR(SEARCH("待提单",I67)))</formula>
    </cfRule>
    <cfRule type="containsText" dxfId="0" priority="30" operator="between" text="待附件">
      <formula>NOT(ISERROR(SEARCH("待附件",I67)))</formula>
    </cfRule>
  </conditionalFormatting>
  <conditionalFormatting sqref="F68:G68">
    <cfRule type="containsText" dxfId="0" priority="82" operator="between" text="待">
      <formula>NOT(ISERROR(SEARCH("待",F68)))</formula>
    </cfRule>
  </conditionalFormatting>
  <conditionalFormatting sqref="G68">
    <cfRule type="containsText" dxfId="1" priority="102" operator="between" text="/">
      <formula>NOT(ISERROR(SEARCH("/",G68)))</formula>
    </cfRule>
  </conditionalFormatting>
  <conditionalFormatting sqref="H68">
    <cfRule type="containsText" dxfId="0" priority="122" operator="between" text="待">
      <formula>NOT(ISERROR(SEARCH("待",H68)))</formula>
    </cfRule>
  </conditionalFormatting>
  <conditionalFormatting sqref="I68">
    <cfRule type="containsText" dxfId="0" priority="42" operator="between" text="待附件">
      <formula>NOT(ISERROR(SEARCH("待附件",I68)))</formula>
    </cfRule>
    <cfRule type="containsText" dxfId="0" priority="62" operator="between" text="待提单">
      <formula>NOT(ISERROR(SEARCH("待提单",I68)))</formula>
    </cfRule>
  </conditionalFormatting>
  <conditionalFormatting sqref="F69:G69">
    <cfRule type="containsText" dxfId="0" priority="81" operator="between" text="待">
      <formula>NOT(ISERROR(SEARCH("待",F69)))</formula>
    </cfRule>
  </conditionalFormatting>
  <conditionalFormatting sqref="G69">
    <cfRule type="containsText" dxfId="1" priority="101" operator="between" text="/">
      <formula>NOT(ISERROR(SEARCH("/",G69)))</formula>
    </cfRule>
  </conditionalFormatting>
  <conditionalFormatting sqref="H69">
    <cfRule type="containsText" dxfId="0" priority="121" operator="between" text="待">
      <formula>NOT(ISERROR(SEARCH("待",H69)))</formula>
    </cfRule>
  </conditionalFormatting>
  <conditionalFormatting sqref="I69">
    <cfRule type="containsText" dxfId="0" priority="41" operator="between" text="待附件">
      <formula>NOT(ISERROR(SEARCH("待附件",I69)))</formula>
    </cfRule>
    <cfRule type="containsText" dxfId="0" priority="61" operator="between" text="待提单">
      <formula>NOT(ISERROR(SEARCH("待提单",I69)))</formula>
    </cfRule>
  </conditionalFormatting>
  <conditionalFormatting sqref="F70:G70">
    <cfRule type="containsText" dxfId="0" priority="80" operator="between" text="待">
      <formula>NOT(ISERROR(SEARCH("待",F70)))</formula>
    </cfRule>
  </conditionalFormatting>
  <conditionalFormatting sqref="G70">
    <cfRule type="containsText" dxfId="1" priority="100" operator="between" text="/">
      <formula>NOT(ISERROR(SEARCH("/",G70)))</formula>
    </cfRule>
  </conditionalFormatting>
  <conditionalFormatting sqref="H70">
    <cfRule type="containsText" dxfId="0" priority="120" operator="between" text="待">
      <formula>NOT(ISERROR(SEARCH("待",H70)))</formula>
    </cfRule>
  </conditionalFormatting>
  <conditionalFormatting sqref="I70">
    <cfRule type="containsText" dxfId="0" priority="40" operator="between" text="待附件">
      <formula>NOT(ISERROR(SEARCH("待附件",I70)))</formula>
    </cfRule>
    <cfRule type="containsText" dxfId="0" priority="60" operator="between" text="待提单">
      <formula>NOT(ISERROR(SEARCH("待提单",I70)))</formula>
    </cfRule>
  </conditionalFormatting>
  <conditionalFormatting sqref="F71:G71">
    <cfRule type="containsText" dxfId="0" priority="79" operator="between" text="待">
      <formula>NOT(ISERROR(SEARCH("待",F71)))</formula>
    </cfRule>
  </conditionalFormatting>
  <conditionalFormatting sqref="G71">
    <cfRule type="containsText" dxfId="1" priority="99" operator="between" text="/">
      <formula>NOT(ISERROR(SEARCH("/",G71)))</formula>
    </cfRule>
  </conditionalFormatting>
  <conditionalFormatting sqref="H71">
    <cfRule type="containsText" dxfId="0" priority="119" operator="between" text="待">
      <formula>NOT(ISERROR(SEARCH("待",H71)))</formula>
    </cfRule>
  </conditionalFormatting>
  <conditionalFormatting sqref="I71">
    <cfRule type="containsText" dxfId="0" priority="39" operator="between" text="待附件">
      <formula>NOT(ISERROR(SEARCH("待附件",I71)))</formula>
    </cfRule>
    <cfRule type="containsText" dxfId="0" priority="59" operator="between" text="待提单">
      <formula>NOT(ISERROR(SEARCH("待提单",I71)))</formula>
    </cfRule>
  </conditionalFormatting>
  <conditionalFormatting sqref="F72:G72">
    <cfRule type="containsText" dxfId="0" priority="78" operator="between" text="待">
      <formula>NOT(ISERROR(SEARCH("待",F72)))</formula>
    </cfRule>
  </conditionalFormatting>
  <conditionalFormatting sqref="G72">
    <cfRule type="containsText" dxfId="1" priority="98" operator="between" text="/">
      <formula>NOT(ISERROR(SEARCH("/",G72)))</formula>
    </cfRule>
  </conditionalFormatting>
  <conditionalFormatting sqref="H72">
    <cfRule type="containsText" dxfId="0" priority="118" operator="between" text="待">
      <formula>NOT(ISERROR(SEARCH("待",H72)))</formula>
    </cfRule>
  </conditionalFormatting>
  <conditionalFormatting sqref="I72">
    <cfRule type="containsText" dxfId="0" priority="38" operator="between" text="待附件">
      <formula>NOT(ISERROR(SEARCH("待附件",I72)))</formula>
    </cfRule>
    <cfRule type="containsText" dxfId="0" priority="58" operator="between" text="待提单">
      <formula>NOT(ISERROR(SEARCH("待提单",I72)))</formula>
    </cfRule>
  </conditionalFormatting>
  <conditionalFormatting sqref="F73:G73">
    <cfRule type="containsText" dxfId="0" priority="77" operator="between" text="待">
      <formula>NOT(ISERROR(SEARCH("待",F73)))</formula>
    </cfRule>
  </conditionalFormatting>
  <conditionalFormatting sqref="G73">
    <cfRule type="containsText" dxfId="1" priority="97" operator="between" text="/">
      <formula>NOT(ISERROR(SEARCH("/",G73)))</formula>
    </cfRule>
  </conditionalFormatting>
  <conditionalFormatting sqref="H73">
    <cfRule type="containsText" dxfId="0" priority="117" operator="between" text="待">
      <formula>NOT(ISERROR(SEARCH("待",H73)))</formula>
    </cfRule>
  </conditionalFormatting>
  <conditionalFormatting sqref="I73">
    <cfRule type="containsText" dxfId="0" priority="37" operator="between" text="待附件">
      <formula>NOT(ISERROR(SEARCH("待附件",I73)))</formula>
    </cfRule>
    <cfRule type="containsText" dxfId="0" priority="57" operator="between" text="待提单">
      <formula>NOT(ISERROR(SEARCH("待提单",I73)))</formula>
    </cfRule>
  </conditionalFormatting>
  <conditionalFormatting sqref="F74:G74">
    <cfRule type="containsText" dxfId="0" priority="76" operator="between" text="待">
      <formula>NOT(ISERROR(SEARCH("待",F74)))</formula>
    </cfRule>
  </conditionalFormatting>
  <conditionalFormatting sqref="G74">
    <cfRule type="containsText" dxfId="1" priority="96" operator="between" text="/">
      <formula>NOT(ISERROR(SEARCH("/",G74)))</formula>
    </cfRule>
  </conditionalFormatting>
  <conditionalFormatting sqref="H74">
    <cfRule type="containsText" dxfId="0" priority="116" operator="between" text="待">
      <formula>NOT(ISERROR(SEARCH("待",H74)))</formula>
    </cfRule>
  </conditionalFormatting>
  <conditionalFormatting sqref="I74">
    <cfRule type="containsText" dxfId="0" priority="36" operator="between" text="待附件">
      <formula>NOT(ISERROR(SEARCH("待附件",I74)))</formula>
    </cfRule>
    <cfRule type="containsText" dxfId="0" priority="56" operator="between" text="待提单">
      <formula>NOT(ISERROR(SEARCH("待提单",I74)))</formula>
    </cfRule>
  </conditionalFormatting>
  <conditionalFormatting sqref="F75:G75">
    <cfRule type="containsText" dxfId="0" priority="75" operator="between" text="待">
      <formula>NOT(ISERROR(SEARCH("待",F75)))</formula>
    </cfRule>
  </conditionalFormatting>
  <conditionalFormatting sqref="G75">
    <cfRule type="containsText" dxfId="1" priority="95" operator="between" text="/">
      <formula>NOT(ISERROR(SEARCH("/",G75)))</formula>
    </cfRule>
  </conditionalFormatting>
  <conditionalFormatting sqref="H75">
    <cfRule type="containsText" dxfId="0" priority="115" operator="between" text="待">
      <formula>NOT(ISERROR(SEARCH("待",H75)))</formula>
    </cfRule>
  </conditionalFormatting>
  <conditionalFormatting sqref="I75">
    <cfRule type="containsText" dxfId="0" priority="35" operator="between" text="待附件">
      <formula>NOT(ISERROR(SEARCH("待附件",I75)))</formula>
    </cfRule>
    <cfRule type="containsText" dxfId="0" priority="55" operator="between" text="待提单">
      <formula>NOT(ISERROR(SEARCH("待提单",I75)))</formula>
    </cfRule>
  </conditionalFormatting>
  <conditionalFormatting sqref="G79">
    <cfRule type="containsText" dxfId="1" priority="23" operator="between" text="/">
      <formula>NOT(ISERROR(SEARCH("/",G79)))</formula>
    </cfRule>
  </conditionalFormatting>
  <conditionalFormatting sqref="G80">
    <cfRule type="containsText" dxfId="1" priority="27" operator="between" text="/">
      <formula>NOT(ISERROR(SEARCH("/",G80)))</formula>
    </cfRule>
  </conditionalFormatting>
  <conditionalFormatting sqref="G81">
    <cfRule type="containsText" dxfId="1" priority="20" operator="between" text="/">
      <formula>NOT(ISERROR(SEARCH("/",G81)))</formula>
    </cfRule>
  </conditionalFormatting>
  <conditionalFormatting sqref="G82">
    <cfRule type="containsText" dxfId="1" priority="19" operator="between" text="/">
      <formula>NOT(ISERROR(SEARCH("/",G82)))</formula>
    </cfRule>
  </conditionalFormatting>
  <conditionalFormatting sqref="G83">
    <cfRule type="containsText" dxfId="1" priority="18" operator="between" text="/">
      <formula>NOT(ISERROR(SEARCH("/",G83)))</formula>
    </cfRule>
  </conditionalFormatting>
  <conditionalFormatting sqref="G84">
    <cfRule type="containsText" dxfId="1" priority="26" operator="between" text="/">
      <formula>NOT(ISERROR(SEARCH("/",G84)))</formula>
    </cfRule>
  </conditionalFormatting>
  <conditionalFormatting sqref="G85">
    <cfRule type="containsText" dxfId="1" priority="25" operator="between" text="/">
      <formula>NOT(ISERROR(SEARCH("/",G85)))</formula>
    </cfRule>
  </conditionalFormatting>
  <conditionalFormatting sqref="G86">
    <cfRule type="containsText" dxfId="1" priority="24" operator="between" text="/">
      <formula>NOT(ISERROR(SEARCH("/",G86)))</formula>
    </cfRule>
  </conditionalFormatting>
  <conditionalFormatting sqref="F87:G87">
    <cfRule type="containsText" dxfId="0" priority="21" operator="between" text="待">
      <formula>NOT(ISERROR(SEARCH("待",F87)))</formula>
    </cfRule>
  </conditionalFormatting>
  <conditionalFormatting sqref="G87">
    <cfRule type="containsText" dxfId="1" priority="22" operator="between" text="/">
      <formula>NOT(ISERROR(SEARCH("/",G87)))</formula>
    </cfRule>
  </conditionalFormatting>
  <conditionalFormatting sqref="G93">
    <cfRule type="containsText" dxfId="1" priority="17" operator="between" text="/">
      <formula>NOT(ISERROR(SEARCH("/",G93)))</formula>
    </cfRule>
  </conditionalFormatting>
  <conditionalFormatting sqref="G98">
    <cfRule type="containsText" dxfId="1" priority="16" operator="between" text="/">
      <formula>NOT(ISERROR(SEARCH("/",G98)))</formula>
    </cfRule>
  </conditionalFormatting>
  <conditionalFormatting sqref="G99">
    <cfRule type="containsText" dxfId="1" priority="2" operator="between" text="/">
      <formula>NOT(ISERROR(SEARCH("/",G99)))</formula>
    </cfRule>
  </conditionalFormatting>
  <conditionalFormatting sqref="G100">
    <cfRule type="containsText" dxfId="1" priority="13" operator="between" text="/">
      <formula>NOT(ISERROR(SEARCH("/",G100)))</formula>
    </cfRule>
  </conditionalFormatting>
  <conditionalFormatting sqref="G101">
    <cfRule type="containsText" dxfId="1" priority="15" operator="between" text="/">
      <formula>NOT(ISERROR(SEARCH("/",G101)))</formula>
    </cfRule>
  </conditionalFormatting>
  <conditionalFormatting sqref="G102">
    <cfRule type="containsText" dxfId="1" priority="3" operator="between" text="/">
      <formula>NOT(ISERROR(SEARCH("/",G102)))</formula>
    </cfRule>
  </conditionalFormatting>
  <conditionalFormatting sqref="G103">
    <cfRule type="containsText" dxfId="1" priority="12" operator="between" text="/">
      <formula>NOT(ISERROR(SEARCH("/",G103)))</formula>
    </cfRule>
  </conditionalFormatting>
  <conditionalFormatting sqref="G105">
    <cfRule type="containsText" dxfId="1" priority="14" operator="between" text="/">
      <formula>NOT(ISERROR(SEARCH("/",G105)))</formula>
    </cfRule>
  </conditionalFormatting>
  <conditionalFormatting sqref="G106">
    <cfRule type="containsText" dxfId="1" priority="11" operator="between" text="/">
      <formula>NOT(ISERROR(SEARCH("/",G106)))</formula>
    </cfRule>
  </conditionalFormatting>
  <conditionalFormatting sqref="G107">
    <cfRule type="containsText" dxfId="1" priority="10" operator="between" text="/">
      <formula>NOT(ISERROR(SEARCH("/",G107)))</formula>
    </cfRule>
  </conditionalFormatting>
  <conditionalFormatting sqref="G108">
    <cfRule type="containsText" dxfId="1" priority="4" operator="between" text="/">
      <formula>NOT(ISERROR(SEARCH("/",G108)))</formula>
    </cfRule>
  </conditionalFormatting>
  <conditionalFormatting sqref="G109">
    <cfRule type="containsText" dxfId="1" priority="5" operator="between" text="/">
      <formula>NOT(ISERROR(SEARCH("/",G109)))</formula>
    </cfRule>
  </conditionalFormatting>
  <conditionalFormatting sqref="G110">
    <cfRule type="containsText" dxfId="1" priority="9" operator="between" text="/">
      <formula>NOT(ISERROR(SEARCH("/",G110)))</formula>
    </cfRule>
  </conditionalFormatting>
  <conditionalFormatting sqref="F111:G111">
    <cfRule type="containsText" dxfId="0" priority="6" operator="between" text="待">
      <formula>NOT(ISERROR(SEARCH("待",F111)))</formula>
    </cfRule>
  </conditionalFormatting>
  <conditionalFormatting sqref="G111">
    <cfRule type="containsText" dxfId="1" priority="7" operator="between" text="/">
      <formula>NOT(ISERROR(SEARCH("/",G111)))</formula>
    </cfRule>
  </conditionalFormatting>
  <conditionalFormatting sqref="G112">
    <cfRule type="containsText" dxfId="1" priority="8" operator="between" text="/">
      <formula>NOT(ISERROR(SEARCH("/",G112)))</formula>
    </cfRule>
  </conditionalFormatting>
  <conditionalFormatting sqref="G113">
    <cfRule type="containsText" dxfId="1" priority="1" operator="between" text="/">
      <formula>NOT(ISERROR(SEARCH("/",G113)))</formula>
    </cfRule>
  </conditionalFormatting>
  <conditionalFormatting sqref="F122:G122">
    <cfRule type="containsText" dxfId="0" priority="299" operator="between" text="待">
      <formula>NOT(ISERROR(SEARCH("待",F122)))</formula>
    </cfRule>
  </conditionalFormatting>
  <conditionalFormatting sqref="G122">
    <cfRule type="containsText" dxfId="1" priority="300" operator="between" text="/">
      <formula>NOT(ISERROR(SEARCH("/",G122)))</formula>
    </cfRule>
  </conditionalFormatting>
  <conditionalFormatting sqref="F124:G124">
    <cfRule type="containsText" dxfId="0" priority="303" operator="between" text="待">
      <formula>NOT(ISERROR(SEARCH("待",F124)))</formula>
    </cfRule>
  </conditionalFormatting>
  <conditionalFormatting sqref="G124">
    <cfRule type="containsText" dxfId="1" priority="304" operator="between" text="/">
      <formula>NOT(ISERROR(SEARCH("/",G124)))</formula>
    </cfRule>
  </conditionalFormatting>
  <conditionalFormatting sqref="F125:G125">
    <cfRule type="containsText" dxfId="0" priority="295" operator="between" text="待">
      <formula>NOT(ISERROR(SEARCH("待",F125)))</formula>
    </cfRule>
  </conditionalFormatting>
  <conditionalFormatting sqref="G125">
    <cfRule type="containsText" dxfId="1" priority="296" operator="between" text="/">
      <formula>NOT(ISERROR(SEARCH("/",G125)))</formula>
    </cfRule>
  </conditionalFormatting>
  <conditionalFormatting sqref="F126:G126">
    <cfRule type="containsText" dxfId="0" priority="301" operator="between" text="待">
      <formula>NOT(ISERROR(SEARCH("待",F126)))</formula>
    </cfRule>
  </conditionalFormatting>
  <conditionalFormatting sqref="G126">
    <cfRule type="containsText" dxfId="1" priority="302" operator="between" text="/">
      <formula>NOT(ISERROR(SEARCH("/",G126)))</formula>
    </cfRule>
  </conditionalFormatting>
  <conditionalFormatting sqref="F128:G128">
    <cfRule type="containsText" dxfId="0" priority="297" operator="between" text="待">
      <formula>NOT(ISERROR(SEARCH("待",F128)))</formula>
    </cfRule>
  </conditionalFormatting>
  <conditionalFormatting sqref="G128">
    <cfRule type="containsText" dxfId="1" priority="298" operator="between" text="/">
      <formula>NOT(ISERROR(SEARCH("/",G128)))</formula>
    </cfRule>
  </conditionalFormatting>
  <conditionalFormatting sqref="F40:F42">
    <cfRule type="containsText" dxfId="0" priority="166" operator="between" text="待">
      <formula>NOT(ISERROR(SEARCH("待",F40)))</formula>
    </cfRule>
  </conditionalFormatting>
  <conditionalFormatting sqref="F43:F47">
    <cfRule type="containsText" dxfId="0" priority="164" operator="between" text="待">
      <formula>NOT(ISERROR(SEARCH("待",F43)))</formula>
    </cfRule>
  </conditionalFormatting>
  <conditionalFormatting sqref="G3:G5">
    <cfRule type="containsText" dxfId="1" priority="182" operator="between" text="/">
      <formula>NOT(ISERROR(SEARCH("/",G3)))</formula>
    </cfRule>
  </conditionalFormatting>
  <conditionalFormatting sqref="H3:H5">
    <cfRule type="containsText" dxfId="0" priority="183" operator="between" text="待">
      <formula>NOT(ISERROR(SEARCH("待",H3)))</formula>
    </cfRule>
  </conditionalFormatting>
  <conditionalFormatting sqref="I3:I5">
    <cfRule type="containsText" dxfId="0" priority="184" operator="between" text="待附件">
      <formula>NOT(ISERROR(SEARCH("待附件",I3)))</formula>
    </cfRule>
    <cfRule type="containsText" dxfId="0" priority="185" operator="between" text="待提单">
      <formula>NOT(ISERROR(SEARCH("待提单",I3)))</formula>
    </cfRule>
  </conditionalFormatting>
  <conditionalFormatting sqref="I40:I46">
    <cfRule type="containsText" dxfId="0" priority="162" operator="between" text="待附件">
      <formula>NOT(ISERROR(SEARCH("待附件",I40)))</formula>
    </cfRule>
    <cfRule type="containsText" dxfId="0" priority="163" operator="between" text="待提单">
      <formula>NOT(ISERROR(SEARCH("待提单",I40)))</formula>
    </cfRule>
  </conditionalFormatting>
  <conditionalFormatting sqref="F3:G4">
    <cfRule type="containsText" dxfId="0" priority="181" operator="between" text="待">
      <formula>NOT(ISERROR(SEARCH("待",F3)))</formula>
    </cfRule>
  </conditionalFormatting>
  <conditionalFormatting sqref="H17:H22 H24:H54 H76:H1048576">
    <cfRule type="containsText" dxfId="0" priority="323" operator="between" text="待">
      <formula>NOT(ISERROR(SEARCH("待",H17)))</formula>
    </cfRule>
  </conditionalFormatting>
  <conditionalFormatting sqref="I17:I39 I48:I54 I76:I1048576">
    <cfRule type="containsText" dxfId="0" priority="305" operator="between" text="待附件">
      <formula>NOT(ISERROR(SEARCH("待附件",I17)))</formula>
    </cfRule>
    <cfRule type="containsText" dxfId="0" priority="306" operator="between" text="待提单">
      <formula>NOT(ISERROR(SEARCH("待提单",I17)))</formula>
    </cfRule>
  </conditionalFormatting>
  <conditionalFormatting sqref="F18:G21 F31:G31 F28:G29 G32 F33:G39 F49:G51 G48 G52 G23 F53:G54 G27 F24:G25 F76:G86 F88:G110 F112:G120">
    <cfRule type="containsText" dxfId="0" priority="307" operator="between" text="待">
      <formula>NOT(ISERROR(SEARCH("待",F18)))</formula>
    </cfRule>
  </conditionalFormatting>
  <conditionalFormatting sqref="G18:G21 G31:G39 G48:G52 G54 G23:G25 G27:G29 G76:G78 G88:G92 G94:G97 G104 G114:G120">
    <cfRule type="containsText" dxfId="1" priority="311" operator="between" text="/">
      <formula>NOT(ISERROR(SEARCH("/",G18)))</formula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O19"/>
  <sheetViews>
    <sheetView zoomScale="82" zoomScaleNormal="82" workbookViewId="0">
      <pane xSplit="1" ySplit="2" topLeftCell="B3" activePane="bottomRight" state="frozen"/>
      <selection/>
      <selection pane="topRight"/>
      <selection pane="bottomLeft"/>
      <selection pane="bottomRight" activeCell="H16" sqref="H16"/>
    </sheetView>
  </sheetViews>
  <sheetFormatPr defaultColWidth="9" defaultRowHeight="15"/>
  <cols>
    <col min="1" max="1" width="38.4285714285714" style="19" customWidth="1"/>
    <col min="2" max="2" width="15.1428571428571" style="19" customWidth="1"/>
    <col min="3" max="3" width="15.1428571428571" style="69" customWidth="1"/>
    <col min="4" max="5" width="13.4285714285714" style="19" customWidth="1"/>
    <col min="6" max="6" width="14.1428571428571" style="19" customWidth="1"/>
    <col min="7" max="7" width="10.1428571428571" style="19" customWidth="1"/>
    <col min="8" max="8" width="52.4285714285714" style="19" customWidth="1"/>
    <col min="9" max="9" width="19.2857142857143" style="45" customWidth="1"/>
    <col min="10" max="10" width="6.14285714285714" style="19" customWidth="1"/>
    <col min="11" max="12" width="23.7142857142857" style="19" customWidth="1"/>
    <col min="13" max="16384" width="9" style="19" customWidth="1"/>
  </cols>
  <sheetData>
    <row r="1" spans="1:12">
      <c r="A1" s="47" t="s">
        <v>481</v>
      </c>
      <c r="B1" s="48"/>
      <c r="C1" s="48"/>
      <c r="D1" s="49"/>
      <c r="E1" s="24"/>
      <c r="F1" s="24"/>
      <c r="G1" s="24"/>
      <c r="H1" s="24"/>
      <c r="I1" s="53"/>
      <c r="J1" s="37"/>
      <c r="K1" s="37"/>
      <c r="L1" s="37"/>
    </row>
    <row r="2" spans="1:12">
      <c r="A2" s="26" t="s">
        <v>482</v>
      </c>
      <c r="B2" s="27" t="s">
        <v>483</v>
      </c>
      <c r="C2" s="82" t="s">
        <v>484</v>
      </c>
      <c r="D2" s="26" t="s">
        <v>485</v>
      </c>
      <c r="E2" s="26" t="s">
        <v>486</v>
      </c>
      <c r="F2" s="26" t="s">
        <v>407</v>
      </c>
      <c r="G2" s="28" t="s">
        <v>8</v>
      </c>
      <c r="H2" s="28" t="s">
        <v>9</v>
      </c>
      <c r="I2" s="54" t="s">
        <v>10</v>
      </c>
      <c r="J2" s="28" t="s">
        <v>11</v>
      </c>
      <c r="K2" s="28" t="s">
        <v>12</v>
      </c>
      <c r="L2" s="28" t="s">
        <v>13</v>
      </c>
    </row>
    <row r="3" s="60" customFormat="1" spans="1:12">
      <c r="A3" s="79" t="s">
        <v>487</v>
      </c>
      <c r="B3" s="80">
        <v>45869</v>
      </c>
      <c r="C3" s="63"/>
      <c r="D3" s="64">
        <v>5</v>
      </c>
      <c r="E3" s="64"/>
      <c r="F3" s="64">
        <v>-177298.52</v>
      </c>
      <c r="G3" s="65" t="s">
        <v>38</v>
      </c>
      <c r="H3" s="66" t="s">
        <v>471</v>
      </c>
      <c r="I3" s="74"/>
      <c r="J3" s="74"/>
      <c r="K3" s="84"/>
      <c r="L3" s="75"/>
    </row>
    <row r="4" s="20" customFormat="1" spans="1:12">
      <c r="A4" s="50" t="s">
        <v>488</v>
      </c>
      <c r="B4" s="30">
        <v>45870</v>
      </c>
      <c r="C4" s="31" t="s">
        <v>20</v>
      </c>
      <c r="D4" s="32" t="s">
        <v>20</v>
      </c>
      <c r="E4" s="32">
        <v>200000</v>
      </c>
      <c r="F4" s="51">
        <f t="shared" ref="F4:F18" si="0">F3-IF(ISNUMBER(D4),D4,0)+IF(ISNUMBER(E4),E4,0)</f>
        <v>22701.48</v>
      </c>
      <c r="G4" s="34" t="s">
        <v>65</v>
      </c>
      <c r="H4" s="43" t="s">
        <v>489</v>
      </c>
      <c r="I4" s="55" t="s">
        <v>20</v>
      </c>
      <c r="J4" s="42" t="s">
        <v>20</v>
      </c>
      <c r="K4" s="42" t="s">
        <v>20</v>
      </c>
      <c r="L4" s="42" t="s">
        <v>20</v>
      </c>
    </row>
    <row r="5" s="20" customFormat="1" spans="1:12">
      <c r="A5" s="50" t="s">
        <v>490</v>
      </c>
      <c r="B5" s="30">
        <v>45870</v>
      </c>
      <c r="C5" s="31" t="s">
        <v>20</v>
      </c>
      <c r="D5" s="32">
        <v>10</v>
      </c>
      <c r="E5" s="32" t="s">
        <v>20</v>
      </c>
      <c r="F5" s="51">
        <f t="shared" si="0"/>
        <v>22691.48</v>
      </c>
      <c r="G5" s="34" t="s">
        <v>38</v>
      </c>
      <c r="H5" s="35" t="s">
        <v>471</v>
      </c>
      <c r="I5" s="55" t="s">
        <v>20</v>
      </c>
      <c r="J5" s="42" t="s">
        <v>20</v>
      </c>
      <c r="K5" s="42">
        <v>45870</v>
      </c>
      <c r="L5" s="42" t="s">
        <v>20</v>
      </c>
    </row>
    <row r="6" s="20" customFormat="1" spans="1:12">
      <c r="A6" s="32" t="s">
        <v>488</v>
      </c>
      <c r="B6" s="30">
        <v>45874</v>
      </c>
      <c r="C6" s="31"/>
      <c r="D6" s="32" t="s">
        <v>20</v>
      </c>
      <c r="E6" s="32">
        <v>100000</v>
      </c>
      <c r="F6" s="51">
        <f t="shared" si="0"/>
        <v>122691.48</v>
      </c>
      <c r="G6" s="34" t="s">
        <v>65</v>
      </c>
      <c r="H6" s="43" t="s">
        <v>489</v>
      </c>
      <c r="I6" s="55" t="s">
        <v>20</v>
      </c>
      <c r="J6" s="42" t="s">
        <v>20</v>
      </c>
      <c r="K6" s="42" t="s">
        <v>20</v>
      </c>
      <c r="L6" s="42" t="s">
        <v>20</v>
      </c>
    </row>
    <row r="7" s="20" customFormat="1" spans="1:12">
      <c r="A7" s="50" t="s">
        <v>491</v>
      </c>
      <c r="B7" s="30">
        <v>45875</v>
      </c>
      <c r="C7" s="31" t="s">
        <v>20</v>
      </c>
      <c r="D7" s="32">
        <v>973.95</v>
      </c>
      <c r="E7" s="32" t="s">
        <v>20</v>
      </c>
      <c r="F7" s="51">
        <f t="shared" si="0"/>
        <v>121717.53</v>
      </c>
      <c r="G7" s="34" t="s">
        <v>26</v>
      </c>
      <c r="H7" s="35" t="s">
        <v>27</v>
      </c>
      <c r="I7" s="55"/>
      <c r="J7" s="42"/>
      <c r="K7" s="42">
        <v>45881</v>
      </c>
      <c r="L7" s="42" t="s">
        <v>20</v>
      </c>
    </row>
    <row r="8" s="20" customFormat="1" ht="13" customHeight="1" spans="1:15">
      <c r="A8" s="50" t="s">
        <v>492</v>
      </c>
      <c r="B8" s="30">
        <v>45876</v>
      </c>
      <c r="C8" s="31" t="s">
        <v>20</v>
      </c>
      <c r="D8" s="32">
        <v>11163.4</v>
      </c>
      <c r="E8" s="32" t="s">
        <v>20</v>
      </c>
      <c r="F8" s="51">
        <f t="shared" si="0"/>
        <v>110554.13</v>
      </c>
      <c r="G8" s="34" t="s">
        <v>179</v>
      </c>
      <c r="H8" s="35" t="s">
        <v>493</v>
      </c>
      <c r="I8" s="55">
        <v>945125000000000</v>
      </c>
      <c r="J8" s="42" t="s">
        <v>20</v>
      </c>
      <c r="K8" s="42">
        <v>45881</v>
      </c>
      <c r="L8" s="42" t="s">
        <v>20</v>
      </c>
      <c r="O8"/>
    </row>
    <row r="9" s="20" customFormat="1" ht="28.5" spans="1:15">
      <c r="A9" s="50" t="s">
        <v>494</v>
      </c>
      <c r="B9" s="30">
        <v>45880</v>
      </c>
      <c r="C9" s="31" t="s">
        <v>20</v>
      </c>
      <c r="D9" s="32">
        <v>15000</v>
      </c>
      <c r="E9" s="32" t="s">
        <v>20</v>
      </c>
      <c r="F9" s="51">
        <f t="shared" si="0"/>
        <v>95554.13</v>
      </c>
      <c r="G9" s="34" t="s">
        <v>495</v>
      </c>
      <c r="H9" s="35" t="s">
        <v>496</v>
      </c>
      <c r="I9" s="55" t="s">
        <v>20</v>
      </c>
      <c r="J9" s="42" t="s">
        <v>20</v>
      </c>
      <c r="K9" s="42" t="s">
        <v>20</v>
      </c>
      <c r="L9" s="42" t="s">
        <v>20</v>
      </c>
      <c r="O9"/>
    </row>
    <row r="10" s="20" customFormat="1" spans="1:15">
      <c r="A10" s="50" t="s">
        <v>497</v>
      </c>
      <c r="B10" s="30">
        <v>45880</v>
      </c>
      <c r="C10" s="31" t="s">
        <v>20</v>
      </c>
      <c r="D10" s="32">
        <v>10000</v>
      </c>
      <c r="E10" s="32" t="s">
        <v>20</v>
      </c>
      <c r="F10" s="51">
        <f t="shared" si="0"/>
        <v>85554.13</v>
      </c>
      <c r="G10" s="34" t="s">
        <v>495</v>
      </c>
      <c r="H10" s="35" t="s">
        <v>498</v>
      </c>
      <c r="I10" s="55" t="s">
        <v>20</v>
      </c>
      <c r="J10" s="42" t="s">
        <v>20</v>
      </c>
      <c r="K10" s="42" t="s">
        <v>20</v>
      </c>
      <c r="L10" s="42" t="s">
        <v>20</v>
      </c>
      <c r="O10"/>
    </row>
    <row r="11" s="20" customFormat="1" spans="1:15">
      <c r="A11" s="50" t="s">
        <v>499</v>
      </c>
      <c r="B11" s="30">
        <v>45880</v>
      </c>
      <c r="C11" s="31" t="s">
        <v>20</v>
      </c>
      <c r="D11" s="32">
        <v>10000</v>
      </c>
      <c r="E11" s="32" t="s">
        <v>20</v>
      </c>
      <c r="F11" s="51">
        <f t="shared" si="0"/>
        <v>75554.13</v>
      </c>
      <c r="G11" s="34" t="s">
        <v>495</v>
      </c>
      <c r="H11" s="35" t="s">
        <v>500</v>
      </c>
      <c r="I11" s="55"/>
      <c r="J11" s="42"/>
      <c r="K11" s="42"/>
      <c r="L11" s="42"/>
      <c r="O11"/>
    </row>
    <row r="12" s="20" customFormat="1" ht="28.5" spans="1:15">
      <c r="A12" s="50" t="s">
        <v>501</v>
      </c>
      <c r="B12" s="30">
        <v>45882</v>
      </c>
      <c r="C12" s="31"/>
      <c r="D12" s="32">
        <v>2570.51</v>
      </c>
      <c r="E12" s="32"/>
      <c r="F12" s="51">
        <f t="shared" si="0"/>
        <v>72983.62</v>
      </c>
      <c r="G12" s="34" t="s">
        <v>44</v>
      </c>
      <c r="H12" s="35" t="s">
        <v>502</v>
      </c>
      <c r="I12" s="55">
        <v>945125400044268</v>
      </c>
      <c r="J12" s="42"/>
      <c r="K12" s="42"/>
      <c r="L12" s="42"/>
      <c r="O12"/>
    </row>
    <row r="13" s="20" customFormat="1" ht="28.5" spans="1:15">
      <c r="A13" s="50" t="s">
        <v>503</v>
      </c>
      <c r="B13" s="30">
        <v>45882</v>
      </c>
      <c r="C13" s="31"/>
      <c r="D13" s="32">
        <v>19131.41</v>
      </c>
      <c r="E13" s="32"/>
      <c r="F13" s="51">
        <f t="shared" si="0"/>
        <v>53852.21</v>
      </c>
      <c r="G13" s="34" t="s">
        <v>179</v>
      </c>
      <c r="H13" s="35" t="s">
        <v>504</v>
      </c>
      <c r="I13" s="134" t="s">
        <v>505</v>
      </c>
      <c r="J13" s="42"/>
      <c r="K13" s="42"/>
      <c r="L13" s="42"/>
      <c r="O13"/>
    </row>
    <row r="14" s="20" customFormat="1" spans="1:15">
      <c r="A14" s="50" t="s">
        <v>506</v>
      </c>
      <c r="B14" s="30">
        <v>45883</v>
      </c>
      <c r="C14" s="31"/>
      <c r="D14" s="32"/>
      <c r="E14" s="32">
        <v>300000</v>
      </c>
      <c r="F14" s="51">
        <f t="shared" si="0"/>
        <v>353852.21</v>
      </c>
      <c r="G14" s="34" t="s">
        <v>65</v>
      </c>
      <c r="H14" s="35" t="s">
        <v>507</v>
      </c>
      <c r="I14" s="55"/>
      <c r="J14" s="42"/>
      <c r="K14" s="42"/>
      <c r="L14" s="42"/>
      <c r="O14"/>
    </row>
    <row r="15" s="20" customFormat="1" spans="1:15">
      <c r="A15" s="50" t="s">
        <v>508</v>
      </c>
      <c r="B15" s="30">
        <v>45883</v>
      </c>
      <c r="C15" s="31"/>
      <c r="D15" s="32">
        <v>366.63</v>
      </c>
      <c r="E15" s="32"/>
      <c r="F15" s="51">
        <f t="shared" si="0"/>
        <v>353485.58</v>
      </c>
      <c r="G15" s="34" t="s">
        <v>403</v>
      </c>
      <c r="H15" s="35" t="s">
        <v>509</v>
      </c>
      <c r="I15" s="55">
        <v>945125400048188</v>
      </c>
      <c r="J15" s="42"/>
      <c r="K15" s="42"/>
      <c r="L15" s="42"/>
      <c r="O15"/>
    </row>
    <row r="16" s="20" customFormat="1" spans="1:15">
      <c r="A16" s="50" t="s">
        <v>510</v>
      </c>
      <c r="B16" s="30">
        <v>45884</v>
      </c>
      <c r="C16" s="31"/>
      <c r="D16" s="32">
        <v>243649.29</v>
      </c>
      <c r="E16" s="32"/>
      <c r="F16" s="51">
        <f t="shared" si="0"/>
        <v>109836.29</v>
      </c>
      <c r="G16" s="34" t="s">
        <v>381</v>
      </c>
      <c r="H16" s="35" t="s">
        <v>511</v>
      </c>
      <c r="I16" s="85">
        <v>945125400049545</v>
      </c>
      <c r="J16" s="42"/>
      <c r="K16" s="42"/>
      <c r="L16" s="42"/>
      <c r="O16"/>
    </row>
    <row r="17" s="20" customFormat="1" spans="1:15">
      <c r="A17" s="50" t="s">
        <v>512</v>
      </c>
      <c r="B17" s="30">
        <v>45888</v>
      </c>
      <c r="C17" s="31"/>
      <c r="D17" s="32">
        <v>96.66</v>
      </c>
      <c r="E17" s="32"/>
      <c r="F17" s="51">
        <f t="shared" si="0"/>
        <v>109739.63</v>
      </c>
      <c r="G17" s="34" t="s">
        <v>38</v>
      </c>
      <c r="H17" s="35" t="s">
        <v>513</v>
      </c>
      <c r="I17" s="55"/>
      <c r="J17" s="42"/>
      <c r="K17" s="42">
        <v>45891</v>
      </c>
      <c r="L17" s="42"/>
      <c r="O17"/>
    </row>
    <row r="18" s="20" customFormat="1" spans="1:15">
      <c r="A18" s="50" t="s">
        <v>514</v>
      </c>
      <c r="B18" s="30">
        <v>45894</v>
      </c>
      <c r="C18" s="31"/>
      <c r="D18" s="32">
        <v>10000</v>
      </c>
      <c r="E18" s="32"/>
      <c r="F18" s="51">
        <f t="shared" si="0"/>
        <v>99739.63</v>
      </c>
      <c r="G18" s="83" t="s">
        <v>205</v>
      </c>
      <c r="H18" s="35"/>
      <c r="I18" s="55"/>
      <c r="J18" s="42"/>
      <c r="K18" s="42"/>
      <c r="L18" s="42"/>
      <c r="O18"/>
    </row>
    <row r="19" s="20" customFormat="1" spans="1:15">
      <c r="A19" s="50"/>
      <c r="B19" s="30"/>
      <c r="C19" s="31"/>
      <c r="D19" s="32"/>
      <c r="E19" s="32"/>
      <c r="F19" s="51"/>
      <c r="G19" s="34"/>
      <c r="H19" s="35"/>
      <c r="I19" s="55"/>
      <c r="J19" s="42"/>
      <c r="K19" s="42"/>
      <c r="L19" s="42"/>
      <c r="O19"/>
    </row>
  </sheetData>
  <autoFilter xmlns:etc="http://www.wps.cn/officeDocument/2017/etCustomData" ref="A2:L18" etc:filterBottomFollowUsedRange="0">
    <sortState ref="A2:L18">
      <sortCondition ref="B2"/>
    </sortState>
    <extLst/>
  </autoFilter>
  <mergeCells count="1">
    <mergeCell ref="A1:D1"/>
  </mergeCells>
  <conditionalFormatting sqref="I1">
    <cfRule type="containsText" dxfId="0" priority="163" operator="between" text="待">
      <formula>NOT(ISERROR(SEARCH("待",I1)))</formula>
    </cfRule>
  </conditionalFormatting>
  <conditionalFormatting sqref="K1:L1">
    <cfRule type="containsText" dxfId="0" priority="164" operator="between" text="待附件">
      <formula>NOT(ISERROR(SEARCH("待附件",K1)))</formula>
    </cfRule>
    <cfRule type="containsText" dxfId="0" priority="165" operator="between" text="待提单">
      <formula>NOT(ISERROR(SEARCH("待提单",K1)))</formula>
    </cfRule>
  </conditionalFormatting>
  <conditionalFormatting sqref="L2">
    <cfRule type="containsText" dxfId="0" priority="156" operator="between" text="待">
      <formula>NOT(ISERROR(SEARCH("待",L2)))</formula>
    </cfRule>
  </conditionalFormatting>
  <conditionalFormatting sqref="G3">
    <cfRule type="containsText" dxfId="0" priority="35" operator="between" text="待">
      <formula>NOT(ISERROR(SEARCH("待",G3)))</formula>
    </cfRule>
  </conditionalFormatting>
  <conditionalFormatting sqref="H3">
    <cfRule type="containsText" dxfId="2" priority="34" operator="between" text="待">
      <formula>NOT(ISERROR(SEARCH("待",H3)))</formula>
    </cfRule>
  </conditionalFormatting>
  <conditionalFormatting sqref="I3">
    <cfRule type="duplicateValues" dxfId="3" priority="37"/>
    <cfRule type="containsText" dxfId="0" priority="36" operator="between" text="待">
      <formula>NOT(ISERROR(SEARCH("待",I3)))</formula>
    </cfRule>
  </conditionalFormatting>
  <conditionalFormatting sqref="J3">
    <cfRule type="containsText" dxfId="0" priority="39" operator="between" text="待提单">
      <formula>NOT(ISERROR(SEARCH("待提单",J3)))</formula>
    </cfRule>
    <cfRule type="containsText" dxfId="0" priority="38" operator="between" text="待附件">
      <formula>NOT(ISERROR(SEARCH("待附件",J3)))</formula>
    </cfRule>
  </conditionalFormatting>
  <conditionalFormatting sqref="G4:H4">
    <cfRule type="containsText" dxfId="0" priority="43" operator="between" text="待">
      <formula>NOT(ISERROR(SEARCH("待",G4)))</formula>
    </cfRule>
  </conditionalFormatting>
  <conditionalFormatting sqref="H4">
    <cfRule type="containsText" dxfId="1" priority="44" operator="between" text="/">
      <formula>NOT(ISERROR(SEARCH("/",H4)))</formula>
    </cfRule>
  </conditionalFormatting>
  <conditionalFormatting sqref="G5:H5">
    <cfRule type="containsText" dxfId="0" priority="41" operator="between" text="待">
      <formula>NOT(ISERROR(SEARCH("待",G5)))</formula>
    </cfRule>
  </conditionalFormatting>
  <conditionalFormatting sqref="H5">
    <cfRule type="containsText" dxfId="1" priority="42" operator="between" text="/">
      <formula>NOT(ISERROR(SEARCH("/",H5)))</formula>
    </cfRule>
  </conditionalFormatting>
  <conditionalFormatting sqref="G8">
    <cfRule type="containsText" dxfId="2" priority="40" operator="between" text="待">
      <formula>NOT(ISERROR(SEARCH("待",G8)))</formula>
    </cfRule>
  </conditionalFormatting>
  <conditionalFormatting sqref="G9">
    <cfRule type="containsText" dxfId="2" priority="18" operator="between" text="待">
      <formula>NOT(ISERROR(SEARCH("待",G9)))</formula>
    </cfRule>
  </conditionalFormatting>
  <conditionalFormatting sqref="G10">
    <cfRule type="containsText" dxfId="2" priority="17" operator="between" text="待">
      <formula>NOT(ISERROR(SEARCH("待",G10)))</formula>
    </cfRule>
  </conditionalFormatting>
  <conditionalFormatting sqref="G11">
    <cfRule type="containsText" dxfId="2" priority="16" operator="between" text="待">
      <formula>NOT(ISERROR(SEARCH("待",G11)))</formula>
    </cfRule>
  </conditionalFormatting>
  <conditionalFormatting sqref="G12">
    <cfRule type="containsText" dxfId="2" priority="8" operator="between" text="待">
      <formula>NOT(ISERROR(SEARCH("待",G12)))</formula>
    </cfRule>
  </conditionalFormatting>
  <conditionalFormatting sqref="G13">
    <cfRule type="containsText" dxfId="2" priority="7" operator="between" text="待">
      <formula>NOT(ISERROR(SEARCH("待",G13)))</formula>
    </cfRule>
  </conditionalFormatting>
  <conditionalFormatting sqref="G14">
    <cfRule type="containsText" dxfId="2" priority="6" operator="between" text="待">
      <formula>NOT(ISERROR(SEARCH("待",G14)))</formula>
    </cfRule>
  </conditionalFormatting>
  <conditionalFormatting sqref="G15">
    <cfRule type="containsText" dxfId="2" priority="5" operator="between" text="待">
      <formula>NOT(ISERROR(SEARCH("待",G15)))</formula>
    </cfRule>
  </conditionalFormatting>
  <conditionalFormatting sqref="G16">
    <cfRule type="containsText" dxfId="2" priority="4" operator="between" text="待">
      <formula>NOT(ISERROR(SEARCH("待",G16)))</formula>
    </cfRule>
  </conditionalFormatting>
  <conditionalFormatting sqref="G17">
    <cfRule type="containsText" dxfId="2" priority="3" operator="between" text="待">
      <formula>NOT(ISERROR(SEARCH("待",G17)))</formula>
    </cfRule>
  </conditionalFormatting>
  <conditionalFormatting sqref="G19">
    <cfRule type="containsText" dxfId="2" priority="1" operator="between" text="待">
      <formula>NOT(ISERROR(SEARCH("待",G19)))</formula>
    </cfRule>
  </conditionalFormatting>
  <conditionalFormatting sqref="I20:I1048576">
    <cfRule type="containsText" dxfId="0" priority="53" operator="between" text="待">
      <formula>NOT(ISERROR(SEARCH("待",I20)))</formula>
    </cfRule>
  </conditionalFormatting>
  <conditionalFormatting sqref="I1:I2 I20:I1048576">
    <cfRule type="duplicateValues" dxfId="3" priority="54"/>
  </conditionalFormatting>
  <conditionalFormatting sqref="G2 G6:G7">
    <cfRule type="containsText" dxfId="0" priority="51" operator="between" text="待">
      <formula>NOT(ISERROR(SEARCH("待",G2)))</formula>
    </cfRule>
  </conditionalFormatting>
  <conditionalFormatting sqref="J2 K20:L1048576">
    <cfRule type="containsText" dxfId="0" priority="119" operator="between" text="待附件">
      <formula>NOT(ISERROR(SEARCH("待附件",J2)))</formula>
    </cfRule>
    <cfRule type="containsText" dxfId="0" priority="120" operator="between" text="待提单">
      <formula>NOT(ISERROR(SEARCH("待提单",J2)))</formula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L36"/>
  <sheetViews>
    <sheetView zoomScale="66" zoomScaleNormal="66" workbookViewId="0">
      <pane xSplit="2" ySplit="2" topLeftCell="C13" activePane="bottomRight" state="frozen"/>
      <selection/>
      <selection pane="topRight"/>
      <selection pane="bottomLeft"/>
      <selection pane="bottomRight" activeCell="K25" sqref="K25"/>
    </sheetView>
  </sheetViews>
  <sheetFormatPr defaultColWidth="9" defaultRowHeight="15"/>
  <cols>
    <col min="1" max="1" width="22.8571428571429" style="19" customWidth="1"/>
    <col min="2" max="3" width="15.1428571428571" style="19" customWidth="1"/>
    <col min="4" max="5" width="13.4285714285714" style="19" customWidth="1"/>
    <col min="6" max="6" width="14.2857142857143" style="19" customWidth="1"/>
    <col min="7" max="7" width="15" style="19" customWidth="1"/>
    <col min="8" max="8" width="20.8571428571429" style="19" customWidth="1"/>
    <col min="9" max="9" width="33.1428571428571" style="19" customWidth="1"/>
    <col min="10" max="10" width="12.4285714285714" style="78" customWidth="1"/>
    <col min="11" max="12" width="23.7142857142857" style="19" customWidth="1"/>
    <col min="13" max="16384" width="9" style="19" customWidth="1"/>
  </cols>
  <sheetData>
    <row r="1" spans="1:12">
      <c r="A1" s="47" t="s">
        <v>515</v>
      </c>
      <c r="B1" s="48"/>
      <c r="C1" s="48"/>
      <c r="D1" s="49"/>
      <c r="E1" s="24"/>
      <c r="F1" s="24"/>
      <c r="G1" s="24"/>
      <c r="H1" s="24"/>
      <c r="I1" s="37"/>
      <c r="K1" s="37"/>
      <c r="L1" s="37"/>
    </row>
    <row r="2" spans="1:12">
      <c r="A2" s="26" t="s">
        <v>482</v>
      </c>
      <c r="B2" s="27" t="s">
        <v>483</v>
      </c>
      <c r="C2" s="27" t="s">
        <v>484</v>
      </c>
      <c r="D2" s="26" t="s">
        <v>485</v>
      </c>
      <c r="E2" s="26" t="s">
        <v>486</v>
      </c>
      <c r="F2" s="26" t="s">
        <v>407</v>
      </c>
      <c r="G2" s="28" t="s">
        <v>8</v>
      </c>
      <c r="H2" s="28" t="s">
        <v>9</v>
      </c>
      <c r="I2" s="28" t="s">
        <v>10</v>
      </c>
      <c r="J2" s="78" t="s">
        <v>516</v>
      </c>
      <c r="K2" s="28" t="s">
        <v>12</v>
      </c>
      <c r="L2" s="28" t="s">
        <v>13</v>
      </c>
    </row>
    <row r="3" s="60" customFormat="1" spans="1:12">
      <c r="A3" s="79" t="s">
        <v>517</v>
      </c>
      <c r="B3" s="80">
        <v>45869</v>
      </c>
      <c r="C3" s="63"/>
      <c r="D3" s="64">
        <v>54825.83</v>
      </c>
      <c r="E3" s="64"/>
      <c r="F3" s="64">
        <v>360172.63</v>
      </c>
      <c r="G3" s="65" t="s">
        <v>518</v>
      </c>
      <c r="H3" s="81"/>
      <c r="I3" s="74"/>
      <c r="J3" s="78"/>
      <c r="K3" s="75"/>
      <c r="L3" s="75"/>
    </row>
    <row r="4" s="20" customFormat="1" ht="42.75" spans="1:12">
      <c r="A4" s="50" t="s">
        <v>519</v>
      </c>
      <c r="B4" s="30">
        <v>45870</v>
      </c>
      <c r="C4" s="31" t="s">
        <v>20</v>
      </c>
      <c r="D4" s="32">
        <v>1000</v>
      </c>
      <c r="E4" s="32" t="s">
        <v>20</v>
      </c>
      <c r="F4" s="51">
        <f>F3-IF(ISNUMBER(D4),D4,0)+IF(ISNUMBER(E4),E4,0)</f>
        <v>359172.63</v>
      </c>
      <c r="G4" s="42" t="s">
        <v>518</v>
      </c>
      <c r="H4" s="42"/>
      <c r="I4" s="42" t="s">
        <v>520</v>
      </c>
      <c r="J4" s="78">
        <v>45870</v>
      </c>
      <c r="K4" s="42" t="s">
        <v>20</v>
      </c>
      <c r="L4" s="42" t="s">
        <v>20</v>
      </c>
    </row>
    <row r="5" s="20" customFormat="1" ht="28.5" spans="1:12">
      <c r="A5" s="50" t="s">
        <v>521</v>
      </c>
      <c r="B5" s="30">
        <v>45870</v>
      </c>
      <c r="C5" s="31" t="s">
        <v>20</v>
      </c>
      <c r="D5" s="32">
        <v>200000</v>
      </c>
      <c r="E5" s="32" t="s">
        <v>20</v>
      </c>
      <c r="F5" s="51">
        <f t="shared" ref="F5:F22" si="0">F4-IF(ISNUMBER(D5),D5,0)+IF(ISNUMBER(E5),E5,0)</f>
        <v>159172.63</v>
      </c>
      <c r="G5" s="42" t="s">
        <v>65</v>
      </c>
      <c r="H5" s="42" t="s">
        <v>522</v>
      </c>
      <c r="I5" s="42" t="s">
        <v>20</v>
      </c>
      <c r="J5" s="78" t="s">
        <v>20</v>
      </c>
      <c r="K5" s="42" t="s">
        <v>20</v>
      </c>
      <c r="L5" s="42" t="s">
        <v>20</v>
      </c>
    </row>
    <row r="6" s="20" customFormat="1" spans="1:12">
      <c r="A6" s="50" t="s">
        <v>523</v>
      </c>
      <c r="B6" s="30">
        <v>45870</v>
      </c>
      <c r="C6" s="31" t="s">
        <v>20</v>
      </c>
      <c r="D6" s="32" t="s">
        <v>20</v>
      </c>
      <c r="E6" s="32">
        <v>2318.94</v>
      </c>
      <c r="F6" s="51">
        <f t="shared" si="0"/>
        <v>161491.57</v>
      </c>
      <c r="G6" s="42" t="s">
        <v>381</v>
      </c>
      <c r="H6" s="42" t="s">
        <v>434</v>
      </c>
      <c r="I6" s="42" t="s">
        <v>20</v>
      </c>
      <c r="J6" s="78" t="s">
        <v>20</v>
      </c>
      <c r="K6" s="42" t="s">
        <v>20</v>
      </c>
      <c r="L6" s="42" t="s">
        <v>20</v>
      </c>
    </row>
    <row r="7" s="20" customFormat="1" ht="42.75" spans="1:12">
      <c r="A7" s="50" t="s">
        <v>519</v>
      </c>
      <c r="B7" s="30">
        <v>45873</v>
      </c>
      <c r="C7" s="31" t="s">
        <v>20</v>
      </c>
      <c r="D7" s="32">
        <v>98241.64</v>
      </c>
      <c r="E7" s="32" t="s">
        <v>20</v>
      </c>
      <c r="F7" s="51">
        <f t="shared" si="0"/>
        <v>63249.93</v>
      </c>
      <c r="G7" s="42" t="s">
        <v>518</v>
      </c>
      <c r="H7" s="42"/>
      <c r="I7" s="42" t="s">
        <v>524</v>
      </c>
      <c r="J7" s="78">
        <v>45873</v>
      </c>
      <c r="K7" s="42" t="s">
        <v>20</v>
      </c>
      <c r="L7" s="42" t="s">
        <v>20</v>
      </c>
    </row>
    <row r="8" s="20" customFormat="1" ht="42.75" spans="1:12">
      <c r="A8" s="50" t="s">
        <v>525</v>
      </c>
      <c r="B8" s="30">
        <v>45873</v>
      </c>
      <c r="C8" s="31" t="s">
        <v>20</v>
      </c>
      <c r="D8" s="32" t="s">
        <v>20</v>
      </c>
      <c r="E8" s="32">
        <v>900000</v>
      </c>
      <c r="F8" s="51">
        <f t="shared" si="0"/>
        <v>963249.93</v>
      </c>
      <c r="G8" s="42" t="s">
        <v>65</v>
      </c>
      <c r="H8" s="42" t="s">
        <v>526</v>
      </c>
      <c r="I8" s="42" t="s">
        <v>20</v>
      </c>
      <c r="J8" s="78" t="s">
        <v>20</v>
      </c>
      <c r="K8" s="42" t="s">
        <v>20</v>
      </c>
      <c r="L8" s="42" t="s">
        <v>20</v>
      </c>
    </row>
    <row r="9" s="20" customFormat="1" ht="42.75" spans="1:12">
      <c r="A9" s="50" t="s">
        <v>525</v>
      </c>
      <c r="B9" s="30">
        <v>45874</v>
      </c>
      <c r="C9" s="31" t="s">
        <v>20</v>
      </c>
      <c r="D9" s="32" t="s">
        <v>20</v>
      </c>
      <c r="E9" s="32">
        <v>900000</v>
      </c>
      <c r="F9" s="51">
        <f t="shared" si="0"/>
        <v>1863249.93</v>
      </c>
      <c r="G9" s="42" t="s">
        <v>65</v>
      </c>
      <c r="H9" s="42" t="s">
        <v>526</v>
      </c>
      <c r="I9" s="42" t="s">
        <v>20</v>
      </c>
      <c r="J9" s="78" t="s">
        <v>20</v>
      </c>
      <c r="K9" s="42" t="s">
        <v>20</v>
      </c>
      <c r="L9" s="42" t="s">
        <v>20</v>
      </c>
    </row>
    <row r="10" s="20" customFormat="1" ht="28.5" spans="1:12">
      <c r="A10" s="50" t="s">
        <v>527</v>
      </c>
      <c r="B10" s="30">
        <v>45874</v>
      </c>
      <c r="C10" s="31" t="s">
        <v>20</v>
      </c>
      <c r="D10" s="32">
        <v>100000</v>
      </c>
      <c r="E10" s="32" t="s">
        <v>20</v>
      </c>
      <c r="F10" s="51">
        <f t="shared" si="0"/>
        <v>1763249.93</v>
      </c>
      <c r="G10" s="42" t="s">
        <v>65</v>
      </c>
      <c r="H10" s="42" t="s">
        <v>522</v>
      </c>
      <c r="I10" s="42" t="s">
        <v>20</v>
      </c>
      <c r="J10" s="78" t="s">
        <v>20</v>
      </c>
      <c r="K10" s="42" t="s">
        <v>20</v>
      </c>
      <c r="L10" s="42" t="s">
        <v>20</v>
      </c>
    </row>
    <row r="11" s="20" customFormat="1" ht="42.75" spans="1:12">
      <c r="A11" s="50" t="s">
        <v>519</v>
      </c>
      <c r="B11" s="30">
        <v>45874</v>
      </c>
      <c r="C11" s="31" t="s">
        <v>20</v>
      </c>
      <c r="D11" s="32">
        <v>139154.52</v>
      </c>
      <c r="E11" s="32" t="s">
        <v>20</v>
      </c>
      <c r="F11" s="51">
        <f t="shared" si="0"/>
        <v>1624095.41</v>
      </c>
      <c r="G11" s="42" t="s">
        <v>518</v>
      </c>
      <c r="H11" s="42"/>
      <c r="I11" s="42" t="s">
        <v>528</v>
      </c>
      <c r="J11" s="78">
        <v>45874</v>
      </c>
      <c r="K11" s="42" t="s">
        <v>20</v>
      </c>
      <c r="L11" s="42" t="s">
        <v>20</v>
      </c>
    </row>
    <row r="12" s="20" customFormat="1" ht="28.5" spans="1:12">
      <c r="A12" s="50" t="s">
        <v>529</v>
      </c>
      <c r="B12" s="30">
        <v>45874</v>
      </c>
      <c r="C12" s="31" t="s">
        <v>20</v>
      </c>
      <c r="D12" s="32">
        <v>15000</v>
      </c>
      <c r="E12" s="32" t="s">
        <v>20</v>
      </c>
      <c r="F12" s="51">
        <f t="shared" si="0"/>
        <v>1609095.41</v>
      </c>
      <c r="G12" s="42" t="s">
        <v>173</v>
      </c>
      <c r="H12" s="42" t="s">
        <v>530</v>
      </c>
      <c r="I12" s="42" t="s">
        <v>20</v>
      </c>
      <c r="J12" s="78" t="s">
        <v>20</v>
      </c>
      <c r="K12" s="42" t="s">
        <v>20</v>
      </c>
      <c r="L12" s="42" t="s">
        <v>20</v>
      </c>
    </row>
    <row r="13" s="20" customFormat="1" ht="28.5" spans="1:12">
      <c r="A13" s="50" t="s">
        <v>531</v>
      </c>
      <c r="B13" s="30">
        <v>45874</v>
      </c>
      <c r="C13" s="31" t="s">
        <v>20</v>
      </c>
      <c r="D13" s="32">
        <v>415500</v>
      </c>
      <c r="E13" s="32" t="s">
        <v>20</v>
      </c>
      <c r="F13" s="51">
        <f t="shared" si="0"/>
        <v>1193595.41</v>
      </c>
      <c r="G13" s="42" t="s">
        <v>65</v>
      </c>
      <c r="H13" s="42" t="s">
        <v>532</v>
      </c>
      <c r="I13" s="42" t="s">
        <v>20</v>
      </c>
      <c r="J13" s="78" t="s">
        <v>20</v>
      </c>
      <c r="K13" s="42" t="s">
        <v>20</v>
      </c>
      <c r="L13" s="42" t="s">
        <v>20</v>
      </c>
    </row>
    <row r="14" s="32" customFormat="1" spans="1:12">
      <c r="A14" s="32" t="s">
        <v>533</v>
      </c>
      <c r="B14" s="30">
        <v>45875</v>
      </c>
      <c r="C14" s="32" t="s">
        <v>20</v>
      </c>
      <c r="D14" s="32">
        <v>4000</v>
      </c>
      <c r="E14" s="32" t="s">
        <v>20</v>
      </c>
      <c r="F14" s="51">
        <f t="shared" si="0"/>
        <v>1189595.41</v>
      </c>
      <c r="G14" s="32" t="s">
        <v>518</v>
      </c>
      <c r="I14" s="32" t="s">
        <v>534</v>
      </c>
      <c r="J14" s="78">
        <v>45875</v>
      </c>
      <c r="K14" s="32" t="s">
        <v>20</v>
      </c>
      <c r="L14" s="32" t="s">
        <v>20</v>
      </c>
    </row>
    <row r="15" s="20" customFormat="1" ht="57" spans="1:12">
      <c r="A15" s="50" t="s">
        <v>535</v>
      </c>
      <c r="B15" s="30">
        <v>45875</v>
      </c>
      <c r="C15" s="50" t="s">
        <v>20</v>
      </c>
      <c r="D15" s="32">
        <v>82455.33</v>
      </c>
      <c r="E15" s="50" t="s">
        <v>20</v>
      </c>
      <c r="F15" s="51">
        <f t="shared" si="0"/>
        <v>1107140.08</v>
      </c>
      <c r="G15" s="32" t="s">
        <v>518</v>
      </c>
      <c r="H15" s="35"/>
      <c r="I15" s="43" t="s">
        <v>536</v>
      </c>
      <c r="J15" s="78">
        <v>45875</v>
      </c>
      <c r="K15" s="42" t="s">
        <v>20</v>
      </c>
      <c r="L15" s="42" t="s">
        <v>20</v>
      </c>
    </row>
    <row r="16" s="20" customFormat="1" ht="42.75" spans="1:12">
      <c r="A16" s="50" t="s">
        <v>519</v>
      </c>
      <c r="B16" s="30">
        <v>45876</v>
      </c>
      <c r="C16" s="31" t="s">
        <v>20</v>
      </c>
      <c r="D16" s="32">
        <v>179427.16</v>
      </c>
      <c r="E16" s="32" t="s">
        <v>20</v>
      </c>
      <c r="F16" s="51">
        <f t="shared" si="0"/>
        <v>927712.92</v>
      </c>
      <c r="G16" s="32" t="s">
        <v>518</v>
      </c>
      <c r="H16" s="35"/>
      <c r="I16" s="71" t="s">
        <v>537</v>
      </c>
      <c r="J16" s="78">
        <v>45876</v>
      </c>
      <c r="K16" s="42" t="s">
        <v>20</v>
      </c>
      <c r="L16" s="42" t="s">
        <v>20</v>
      </c>
    </row>
    <row r="17" s="20" customFormat="1" ht="42.75" spans="1:12">
      <c r="A17" s="50" t="s">
        <v>519</v>
      </c>
      <c r="B17" s="30">
        <v>45877</v>
      </c>
      <c r="C17" s="31" t="s">
        <v>20</v>
      </c>
      <c r="D17" s="32">
        <v>57035.64</v>
      </c>
      <c r="E17" s="32" t="s">
        <v>20</v>
      </c>
      <c r="F17" s="51">
        <f t="shared" si="0"/>
        <v>870677.28</v>
      </c>
      <c r="G17" s="32" t="s">
        <v>518</v>
      </c>
      <c r="H17" s="35"/>
      <c r="I17" s="78" t="s">
        <v>538</v>
      </c>
      <c r="J17" s="78">
        <v>45877</v>
      </c>
      <c r="K17" s="42" t="s">
        <v>20</v>
      </c>
      <c r="L17" s="42"/>
    </row>
    <row r="18" s="20" customFormat="1" ht="42.75" spans="1:12">
      <c r="A18" s="50" t="s">
        <v>539</v>
      </c>
      <c r="B18" s="30">
        <v>45881</v>
      </c>
      <c r="C18" s="31"/>
      <c r="D18" s="32">
        <v>651048.56</v>
      </c>
      <c r="E18" s="32"/>
      <c r="F18" s="51">
        <f t="shared" ref="F18:F27" si="1">F17-IF(ISNUMBER(D18),D18,0)+IF(ISNUMBER(E18),E18,0)</f>
        <v>219628.72</v>
      </c>
      <c r="G18" s="32" t="s">
        <v>518</v>
      </c>
      <c r="H18" s="35"/>
      <c r="I18" s="78" t="s">
        <v>540</v>
      </c>
      <c r="J18" s="78">
        <v>45881</v>
      </c>
      <c r="K18" s="42"/>
      <c r="L18" s="42"/>
    </row>
    <row r="19" s="20" customFormat="1" ht="42.75" spans="1:12">
      <c r="A19" s="50" t="s">
        <v>541</v>
      </c>
      <c r="B19" s="30">
        <v>45882</v>
      </c>
      <c r="C19" s="31"/>
      <c r="D19" s="32">
        <v>303986.44</v>
      </c>
      <c r="E19" s="32"/>
      <c r="F19" s="51">
        <f t="shared" si="1"/>
        <v>-84357.72</v>
      </c>
      <c r="G19" s="34" t="s">
        <v>518</v>
      </c>
      <c r="H19" s="35"/>
      <c r="I19" s="78" t="s">
        <v>542</v>
      </c>
      <c r="J19" s="78">
        <v>45882</v>
      </c>
      <c r="K19" s="42"/>
      <c r="L19" s="42"/>
    </row>
    <row r="20" s="20" customFormat="1" ht="28.5" spans="1:12">
      <c r="A20" s="50" t="s">
        <v>543</v>
      </c>
      <c r="B20" s="30">
        <v>45882</v>
      </c>
      <c r="C20" s="31"/>
      <c r="D20" s="32"/>
      <c r="E20" s="32">
        <v>900000</v>
      </c>
      <c r="F20" s="51">
        <f t="shared" si="1"/>
        <v>815642.28</v>
      </c>
      <c r="G20" s="15" t="s">
        <v>65</v>
      </c>
      <c r="H20" s="16" t="s">
        <v>285</v>
      </c>
      <c r="I20" s="78"/>
      <c r="J20" s="78"/>
      <c r="K20" s="42"/>
      <c r="L20" s="42"/>
    </row>
    <row r="21" s="20" customFormat="1" ht="28.5" spans="1:12">
      <c r="A21" s="50" t="s">
        <v>544</v>
      </c>
      <c r="B21" s="30">
        <v>45883</v>
      </c>
      <c r="C21" s="31"/>
      <c r="D21" s="32">
        <v>300000</v>
      </c>
      <c r="E21" s="32"/>
      <c r="F21" s="51">
        <f t="shared" si="1"/>
        <v>515642.28</v>
      </c>
      <c r="G21" s="34" t="s">
        <v>65</v>
      </c>
      <c r="H21" s="35" t="s">
        <v>522</v>
      </c>
      <c r="I21" s="43"/>
      <c r="J21" s="78"/>
      <c r="K21" s="42"/>
      <c r="L21" s="42"/>
    </row>
    <row r="22" s="20" customFormat="1" ht="42.75" spans="1:12">
      <c r="A22" s="50" t="s">
        <v>539</v>
      </c>
      <c r="B22" s="30">
        <v>45883</v>
      </c>
      <c r="C22" s="31"/>
      <c r="D22" s="32">
        <v>417001.94</v>
      </c>
      <c r="E22" s="32"/>
      <c r="F22" s="51">
        <f t="shared" si="1"/>
        <v>98640.34</v>
      </c>
      <c r="G22" s="32" t="s">
        <v>518</v>
      </c>
      <c r="H22" s="35"/>
      <c r="I22" s="78" t="s">
        <v>545</v>
      </c>
      <c r="J22" s="30">
        <v>45883</v>
      </c>
      <c r="K22" s="42"/>
      <c r="L22" s="42"/>
    </row>
    <row r="23" s="20" customFormat="1" ht="28.5" spans="1:12">
      <c r="A23" s="50" t="s">
        <v>543</v>
      </c>
      <c r="B23" s="30">
        <v>45884</v>
      </c>
      <c r="C23" s="31"/>
      <c r="D23" s="32"/>
      <c r="E23" s="32">
        <v>900000</v>
      </c>
      <c r="F23" s="51">
        <f t="shared" si="1"/>
        <v>998640.34</v>
      </c>
      <c r="G23" s="34" t="s">
        <v>65</v>
      </c>
      <c r="H23" s="16" t="s">
        <v>285</v>
      </c>
      <c r="I23" s="43"/>
      <c r="J23" s="78"/>
      <c r="K23" s="42"/>
      <c r="L23" s="42"/>
    </row>
    <row r="24" s="20" customFormat="1" ht="57" spans="1:12">
      <c r="A24" s="50" t="s">
        <v>546</v>
      </c>
      <c r="B24" s="30">
        <v>45887</v>
      </c>
      <c r="C24" s="31"/>
      <c r="D24" s="32">
        <v>290399.56</v>
      </c>
      <c r="E24" s="32"/>
      <c r="F24" s="51">
        <f t="shared" si="1"/>
        <v>708240.78</v>
      </c>
      <c r="G24" s="32" t="s">
        <v>518</v>
      </c>
      <c r="H24" s="35"/>
      <c r="I24" s="43" t="s">
        <v>547</v>
      </c>
      <c r="J24" s="30">
        <v>45887</v>
      </c>
      <c r="K24" s="42"/>
      <c r="L24" s="42"/>
    </row>
    <row r="25" s="20" customFormat="1" ht="42.75" spans="1:12">
      <c r="A25" s="50" t="s">
        <v>548</v>
      </c>
      <c r="B25" s="30">
        <v>45889</v>
      </c>
      <c r="C25" s="31"/>
      <c r="D25" s="32"/>
      <c r="E25" s="32">
        <v>900000</v>
      </c>
      <c r="F25" s="51">
        <f t="shared" si="1"/>
        <v>1608240.78</v>
      </c>
      <c r="G25" s="34" t="s">
        <v>65</v>
      </c>
      <c r="H25" s="16" t="s">
        <v>285</v>
      </c>
      <c r="I25" s="43"/>
      <c r="J25" s="78"/>
      <c r="K25" s="42"/>
      <c r="L25" s="42"/>
    </row>
    <row r="26" s="20" customFormat="1" ht="42.75" spans="1:12">
      <c r="A26" s="50" t="s">
        <v>539</v>
      </c>
      <c r="B26" s="30">
        <v>45891</v>
      </c>
      <c r="C26" s="31"/>
      <c r="D26" s="32">
        <v>112861.66</v>
      </c>
      <c r="E26" s="32"/>
      <c r="F26" s="51">
        <f t="shared" si="1"/>
        <v>1495379.12</v>
      </c>
      <c r="G26" s="34" t="s">
        <v>549</v>
      </c>
      <c r="I26" s="35"/>
      <c r="J26" s="78"/>
      <c r="K26" s="42"/>
      <c r="L26" s="42"/>
    </row>
    <row r="27" s="20" customFormat="1" spans="1:12">
      <c r="A27" s="71" t="s">
        <v>539</v>
      </c>
      <c r="B27" s="30">
        <v>45894</v>
      </c>
      <c r="C27" s="31"/>
      <c r="D27" s="70">
        <v>182934.58</v>
      </c>
      <c r="E27" s="32"/>
      <c r="F27" s="51">
        <f t="shared" si="1"/>
        <v>1312444.54</v>
      </c>
      <c r="G27" s="34" t="s">
        <v>549</v>
      </c>
      <c r="H27" s="36"/>
      <c r="I27" s="43"/>
      <c r="J27" s="78"/>
      <c r="K27" s="42"/>
      <c r="L27" s="42"/>
    </row>
    <row r="28" s="20" customFormat="1" spans="1:12">
      <c r="A28" s="50"/>
      <c r="B28" s="30"/>
      <c r="C28" s="31"/>
      <c r="D28" s="32"/>
      <c r="E28" s="32"/>
      <c r="F28" s="32"/>
      <c r="G28" s="34"/>
      <c r="H28" s="36"/>
      <c r="I28" s="43"/>
      <c r="J28" s="78"/>
      <c r="K28" s="42"/>
      <c r="L28" s="42"/>
    </row>
    <row r="29" s="20" customFormat="1" spans="1:12">
      <c r="A29" s="50"/>
      <c r="B29" s="30"/>
      <c r="C29" s="31"/>
      <c r="D29" s="32"/>
      <c r="E29" s="32"/>
      <c r="F29" s="32"/>
      <c r="G29" s="34"/>
      <c r="H29" s="35"/>
      <c r="I29" s="43"/>
      <c r="J29" s="78"/>
      <c r="K29" s="42"/>
      <c r="L29" s="42"/>
    </row>
    <row r="30" s="20" customFormat="1" spans="1:12">
      <c r="A30" s="50"/>
      <c r="B30" s="30"/>
      <c r="C30" s="31"/>
      <c r="D30" s="32"/>
      <c r="E30" s="32"/>
      <c r="F30" s="32"/>
      <c r="G30" s="34"/>
      <c r="H30" s="35"/>
      <c r="I30" s="43"/>
      <c r="J30" s="78"/>
      <c r="K30" s="42"/>
      <c r="L30" s="42"/>
    </row>
    <row r="31" s="20" customFormat="1" spans="1:12">
      <c r="A31" s="50"/>
      <c r="B31" s="30"/>
      <c r="C31" s="31"/>
      <c r="D31" s="32"/>
      <c r="E31" s="32"/>
      <c r="F31" s="32"/>
      <c r="G31" s="34"/>
      <c r="H31" s="35"/>
      <c r="I31" s="43"/>
      <c r="J31" s="78"/>
      <c r="K31" s="42"/>
      <c r="L31" s="42"/>
    </row>
    <row r="32" s="20" customFormat="1" spans="1:12">
      <c r="A32" s="50"/>
      <c r="B32" s="30"/>
      <c r="C32" s="31"/>
      <c r="D32" s="32"/>
      <c r="E32" s="32"/>
      <c r="F32" s="32"/>
      <c r="G32" s="34"/>
      <c r="H32" s="35"/>
      <c r="I32" s="43"/>
      <c r="J32" s="78"/>
      <c r="K32" s="42"/>
      <c r="L32" s="42"/>
    </row>
    <row r="33" s="20" customFormat="1" spans="1:12">
      <c r="A33" s="50"/>
      <c r="B33" s="30"/>
      <c r="C33" s="31"/>
      <c r="D33" s="32"/>
      <c r="E33" s="32"/>
      <c r="F33" s="32"/>
      <c r="G33" s="34"/>
      <c r="H33" s="35"/>
      <c r="I33" s="43"/>
      <c r="J33" s="78"/>
      <c r="K33" s="42"/>
      <c r="L33" s="42"/>
    </row>
    <row r="34" s="20" customFormat="1" spans="1:12">
      <c r="A34" s="50"/>
      <c r="B34" s="30"/>
      <c r="C34" s="31"/>
      <c r="D34" s="32"/>
      <c r="E34" s="32"/>
      <c r="F34" s="32"/>
      <c r="G34" s="34"/>
      <c r="H34" s="35"/>
      <c r="I34" s="43"/>
      <c r="J34" s="78"/>
      <c r="K34" s="42"/>
      <c r="L34" s="42"/>
    </row>
    <row r="35" spans="4:4">
      <c r="D35" s="32"/>
    </row>
    <row r="36" spans="4:4">
      <c r="D36" s="32"/>
    </row>
  </sheetData>
  <autoFilter xmlns:etc="http://www.wps.cn/officeDocument/2017/etCustomData" ref="A2:L34" etc:filterBottomFollowUsedRange="0">
    <sortState ref="A2:L34">
      <sortCondition ref="B2"/>
    </sortState>
    <extLst/>
  </autoFilter>
  <mergeCells count="1">
    <mergeCell ref="A1:D1"/>
  </mergeCells>
  <conditionalFormatting sqref="I1">
    <cfRule type="containsText" dxfId="0" priority="206" operator="between" text="待">
      <formula>NOT(ISERROR(SEARCH("待",I1)))</formula>
    </cfRule>
  </conditionalFormatting>
  <conditionalFormatting sqref="K1:L1">
    <cfRule type="containsText" dxfId="0" priority="207" operator="between" text="待附件">
      <formula>NOT(ISERROR(SEARCH("待附件",K1)))</formula>
    </cfRule>
    <cfRule type="containsText" dxfId="0" priority="208" operator="between" text="待提单">
      <formula>NOT(ISERROR(SEARCH("待提单",K1)))</formula>
    </cfRule>
  </conditionalFormatting>
  <conditionalFormatting sqref="L2">
    <cfRule type="containsText" dxfId="0" priority="204" operator="between" text="待">
      <formula>NOT(ISERROR(SEARCH("待",L2)))</formula>
    </cfRule>
  </conditionalFormatting>
  <conditionalFormatting sqref="G3:I3">
    <cfRule type="containsText" dxfId="0" priority="55" operator="between" text="待">
      <formula>NOT(ISERROR(SEARCH("待",G3)))</formula>
    </cfRule>
  </conditionalFormatting>
  <conditionalFormatting sqref="H3">
    <cfRule type="containsText" dxfId="1" priority="58" operator="between" text="/">
      <formula>NOT(ISERROR(SEARCH("/",H3)))</formula>
    </cfRule>
  </conditionalFormatting>
  <conditionalFormatting sqref="I3">
    <cfRule type="duplicateValues" dxfId="3" priority="59"/>
  </conditionalFormatting>
  <conditionalFormatting sqref="H16">
    <cfRule type="containsText" dxfId="0" priority="114" operator="between" text="待">
      <formula>NOT(ISERROR(SEARCH("待",H16)))</formula>
    </cfRule>
  </conditionalFormatting>
  <conditionalFormatting sqref="I16">
    <cfRule type="containsText" dxfId="0" priority="51" operator="between" text="待附件">
      <formula>NOT(ISERROR(SEARCH("待附件",I16)))</formula>
    </cfRule>
    <cfRule type="containsText" dxfId="0" priority="52" operator="between" text="待提单">
      <formula>NOT(ISERROR(SEARCH("待提单",I16)))</formula>
    </cfRule>
  </conditionalFormatting>
  <conditionalFormatting sqref="G19">
    <cfRule type="containsText" dxfId="2" priority="26" operator="between" text="待">
      <formula>NOT(ISERROR(SEARCH("待",G19)))</formula>
    </cfRule>
  </conditionalFormatting>
  <conditionalFormatting sqref="H19">
    <cfRule type="containsText" dxfId="0" priority="30" operator="between" text="待">
      <formula>NOT(ISERROR(SEARCH("待",H19)))</formula>
    </cfRule>
    <cfRule type="containsText" dxfId="1" priority="42" operator="between" text="/">
      <formula>NOT(ISERROR(SEARCH("/",H19)))</formula>
    </cfRule>
  </conditionalFormatting>
  <conditionalFormatting sqref="I19">
    <cfRule type="containsText" dxfId="0" priority="18" operator="between" text="待附件">
      <formula>NOT(ISERROR(SEARCH("待附件",I19)))</formula>
    </cfRule>
    <cfRule type="containsText" dxfId="0" priority="22" operator="between" text="待提单">
      <formula>NOT(ISERROR(SEARCH("待提单",I19)))</formula>
    </cfRule>
  </conditionalFormatting>
  <conditionalFormatting sqref="G20:H20">
    <cfRule type="containsText" dxfId="0" priority="14" operator="between" text="待">
      <formula>NOT(ISERROR(SEARCH("待",G20)))</formula>
    </cfRule>
  </conditionalFormatting>
  <conditionalFormatting sqref="H20">
    <cfRule type="containsText" dxfId="1" priority="15" operator="between" text="/">
      <formula>NOT(ISERROR(SEARCH("/",H20)))</formula>
    </cfRule>
  </conditionalFormatting>
  <conditionalFormatting sqref="I20">
    <cfRule type="containsText" dxfId="0" priority="16" operator="between" text="待附件">
      <formula>NOT(ISERROR(SEARCH("待附件",I20)))</formula>
    </cfRule>
    <cfRule type="containsText" dxfId="0" priority="20" operator="between" text="待提单">
      <formula>NOT(ISERROR(SEARCH("待提单",I20)))</formula>
    </cfRule>
  </conditionalFormatting>
  <conditionalFormatting sqref="I22">
    <cfRule type="containsText" dxfId="0" priority="5" operator="between" text="待提单">
      <formula>NOT(ISERROR(SEARCH("待提单",I22)))</formula>
    </cfRule>
    <cfRule type="containsText" dxfId="0" priority="4" operator="between" text="待附件">
      <formula>NOT(ISERROR(SEARCH("待附件",I22)))</formula>
    </cfRule>
  </conditionalFormatting>
  <conditionalFormatting sqref="H23">
    <cfRule type="containsText" dxfId="1" priority="7" operator="between" text="/">
      <formula>NOT(ISERROR(SEARCH("/",H23)))</formula>
    </cfRule>
    <cfRule type="containsText" dxfId="0" priority="6" operator="between" text="待">
      <formula>NOT(ISERROR(SEARCH("待",H23)))</formula>
    </cfRule>
  </conditionalFormatting>
  <conditionalFormatting sqref="H25">
    <cfRule type="containsText" dxfId="1" priority="2" operator="between" text="/">
      <formula>NOT(ISERROR(SEARCH("/",H25)))</formula>
    </cfRule>
    <cfRule type="containsText" dxfId="0" priority="1" operator="between" text="待">
      <formula>NOT(ISERROR(SEARCH("待",H25)))</formula>
    </cfRule>
  </conditionalFormatting>
  <conditionalFormatting sqref="H17:H18">
    <cfRule type="containsText" dxfId="0" priority="31" operator="between" text="待">
      <formula>NOT(ISERROR(SEARCH("待",H17)))</formula>
    </cfRule>
    <cfRule type="containsText" dxfId="1" priority="43" operator="between" text="/">
      <formula>NOT(ISERROR(SEARCH("/",H17)))</formula>
    </cfRule>
  </conditionalFormatting>
  <conditionalFormatting sqref="H27:H28">
    <cfRule type="duplicateValues" dxfId="3" priority="107"/>
  </conditionalFormatting>
  <conditionalFormatting sqref="I17:I18">
    <cfRule type="containsText" dxfId="0" priority="19" operator="between" text="待附件">
      <formula>NOT(ISERROR(SEARCH("待附件",I17)))</formula>
    </cfRule>
    <cfRule type="containsText" dxfId="0" priority="23" operator="between" text="待提单">
      <formula>NOT(ISERROR(SEARCH("待提单",I17)))</formula>
    </cfRule>
  </conditionalFormatting>
  <conditionalFormatting sqref="I35:I1048576">
    <cfRule type="containsText" dxfId="0" priority="124" operator="between" text="待">
      <formula>NOT(ISERROR(SEARCH("待",I35)))</formula>
    </cfRule>
  </conditionalFormatting>
  <conditionalFormatting sqref="I1:I2 I4 I21 I23:I25 I27:I1048576">
    <cfRule type="duplicateValues" dxfId="3" priority="1083"/>
  </conditionalFormatting>
  <conditionalFormatting sqref="J1:J21 J23 J25:J1048576">
    <cfRule type="containsText" dxfId="0" priority="12" operator="between" text="待附件">
      <formula>NOT(ISERROR(SEARCH("待附件",J1)))</formula>
    </cfRule>
    <cfRule type="containsText" dxfId="0" priority="13" operator="between" text="待提单">
      <formula>NOT(ISERROR(SEARCH("待提单",J1)))</formula>
    </cfRule>
  </conditionalFormatting>
  <conditionalFormatting sqref="G2:H2 G4:I4 G5:H5">
    <cfRule type="containsText" dxfId="0" priority="205" operator="between" text="待">
      <formula>NOT(ISERROR(SEARCH("待",G2)))</formula>
    </cfRule>
  </conditionalFormatting>
  <conditionalFormatting sqref="H4:H5 H16 H29:H34 H21:H22 H24 I26">
    <cfRule type="containsText" dxfId="1" priority="174" operator="between" text="/">
      <formula>NOT(ISERROR(SEARCH("/",H4)))</formula>
    </cfRule>
  </conditionalFormatting>
  <conditionalFormatting sqref="G21:I21 G23 I23 H24:I24 G25:G34 I25:I26 H27:I34 H22">
    <cfRule type="containsText" dxfId="0" priority="104" operator="between" text="待">
      <formula>NOT(ISERROR(SEARCH("待",G21)))</formula>
    </cfRule>
  </conditionalFormatting>
  <conditionalFormatting sqref="K35:L1048576">
    <cfRule type="containsText" dxfId="0" priority="166" operator="between" text="待附件">
      <formula>NOT(ISERROR(SEARCH("待附件",K35)))</formula>
    </cfRule>
    <cfRule type="containsText" dxfId="0" priority="167" operator="between" text="待提单">
      <formula>NOT(ISERROR(SEARCH("待提单",K35)))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L84"/>
  <sheetViews>
    <sheetView tabSelected="1" zoomScale="85" zoomScaleNormal="85" workbookViewId="0">
      <pane xSplit="2" ySplit="2" topLeftCell="C53" activePane="bottomRight" state="frozen"/>
      <selection/>
      <selection pane="topRight"/>
      <selection pane="bottomLeft"/>
      <selection pane="bottomRight" activeCell="H83" sqref="H83"/>
    </sheetView>
  </sheetViews>
  <sheetFormatPr defaultColWidth="9" defaultRowHeight="15"/>
  <cols>
    <col min="1" max="1" width="77.4285714285714" customWidth="1"/>
    <col min="2" max="2" width="15.1428571428571" style="30" customWidth="1"/>
    <col min="3" max="3" width="15.1428571428571" customWidth="1"/>
    <col min="4" max="5" width="12.1428571428571" customWidth="1"/>
    <col min="6" max="6" width="13" customWidth="1"/>
    <col min="7" max="7" width="15" customWidth="1"/>
    <col min="8" max="8" width="33.7714285714286" customWidth="1"/>
    <col min="9" max="9" width="15.5714285714286" customWidth="1"/>
    <col min="10" max="10" width="11.1428571428571" style="44" customWidth="1"/>
    <col min="11" max="11" width="23.7142857142857" style="61" customWidth="1"/>
    <col min="12" max="12" width="23.7142857142857" customWidth="1"/>
    <col min="15" max="15" width="10.5714285714286"/>
  </cols>
  <sheetData>
    <row r="1" s="19" customFormat="1" spans="1:12">
      <c r="A1" s="21" t="s">
        <v>550</v>
      </c>
      <c r="B1" s="30"/>
      <c r="C1" s="22"/>
      <c r="D1" s="23"/>
      <c r="E1" s="25"/>
      <c r="F1" s="24"/>
      <c r="G1" s="24"/>
      <c r="H1" s="24"/>
      <c r="I1" s="37"/>
      <c r="J1" s="44"/>
      <c r="K1" s="72"/>
      <c r="L1" s="37"/>
    </row>
    <row r="2" s="19" customFormat="1" spans="1:12">
      <c r="A2" s="26" t="s">
        <v>482</v>
      </c>
      <c r="B2" s="30" t="s">
        <v>483</v>
      </c>
      <c r="C2" s="27" t="s">
        <v>484</v>
      </c>
      <c r="D2" s="26" t="s">
        <v>485</v>
      </c>
      <c r="E2" s="26" t="s">
        <v>486</v>
      </c>
      <c r="F2" s="26" t="s">
        <v>407</v>
      </c>
      <c r="G2" s="28" t="s">
        <v>8</v>
      </c>
      <c r="H2" s="28" t="s">
        <v>9</v>
      </c>
      <c r="I2" s="28" t="s">
        <v>10</v>
      </c>
      <c r="J2" s="44" t="s">
        <v>516</v>
      </c>
      <c r="K2" s="73" t="s">
        <v>12</v>
      </c>
      <c r="L2" s="28" t="s">
        <v>13</v>
      </c>
    </row>
    <row r="3" s="60" customFormat="1" spans="1:12">
      <c r="A3" s="62" t="s">
        <v>551</v>
      </c>
      <c r="B3" s="30">
        <v>45869</v>
      </c>
      <c r="C3" s="63"/>
      <c r="D3" s="64">
        <v>9909</v>
      </c>
      <c r="E3" s="64"/>
      <c r="F3" s="64">
        <v>423793.94</v>
      </c>
      <c r="G3" s="65" t="s">
        <v>518</v>
      </c>
      <c r="H3" s="66" t="s">
        <v>552</v>
      </c>
      <c r="I3" s="74"/>
      <c r="J3" s="44"/>
      <c r="K3" s="75"/>
      <c r="L3" s="75"/>
    </row>
    <row r="4" s="20" customFormat="1" spans="1:12">
      <c r="A4" s="67" t="s">
        <v>553</v>
      </c>
      <c r="B4" s="30">
        <v>45870</v>
      </c>
      <c r="C4" s="31" t="s">
        <v>20</v>
      </c>
      <c r="D4" s="32">
        <v>62.22</v>
      </c>
      <c r="E4" s="32" t="s">
        <v>20</v>
      </c>
      <c r="F4" s="51">
        <f t="shared" ref="F4:F38" si="0">F3-IF(ISNUMBER(D4),D4,0)+IF(ISNUMBER(E4),E4,0)</f>
        <v>423731.72</v>
      </c>
      <c r="G4" s="34" t="s">
        <v>518</v>
      </c>
      <c r="H4" s="36"/>
      <c r="I4" s="36" t="s">
        <v>554</v>
      </c>
      <c r="J4" s="44">
        <v>45870</v>
      </c>
      <c r="K4" s="42" t="s">
        <v>20</v>
      </c>
      <c r="L4" s="42" t="s">
        <v>20</v>
      </c>
    </row>
    <row r="5" s="20" customFormat="1" spans="1:12">
      <c r="A5" s="67" t="s">
        <v>555</v>
      </c>
      <c r="B5" s="30">
        <v>45870</v>
      </c>
      <c r="C5" s="31" t="s">
        <v>20</v>
      </c>
      <c r="D5" s="32" t="s">
        <v>20</v>
      </c>
      <c r="E5" s="32">
        <v>564.4</v>
      </c>
      <c r="F5" s="51">
        <f t="shared" si="0"/>
        <v>424296.12</v>
      </c>
      <c r="G5" s="16" t="s">
        <v>31</v>
      </c>
      <c r="H5" s="16" t="s">
        <v>62</v>
      </c>
      <c r="I5" s="36" t="s">
        <v>20</v>
      </c>
      <c r="J5" s="44" t="s">
        <v>20</v>
      </c>
      <c r="K5" s="42" t="s">
        <v>20</v>
      </c>
      <c r="L5" s="42" t="s">
        <v>20</v>
      </c>
    </row>
    <row r="6" s="20" customFormat="1" spans="1:12">
      <c r="A6" s="67" t="s">
        <v>556</v>
      </c>
      <c r="B6" s="30">
        <v>45870</v>
      </c>
      <c r="C6" s="31" t="s">
        <v>20</v>
      </c>
      <c r="D6" s="32" t="s">
        <v>20</v>
      </c>
      <c r="E6" s="32">
        <v>96.18</v>
      </c>
      <c r="F6" s="51">
        <f t="shared" si="0"/>
        <v>424392.3</v>
      </c>
      <c r="G6" s="68" t="s">
        <v>31</v>
      </c>
      <c r="H6" t="s">
        <v>557</v>
      </c>
      <c r="I6" s="36" t="s">
        <v>20</v>
      </c>
      <c r="J6" s="44" t="s">
        <v>20</v>
      </c>
      <c r="K6" s="42" t="s">
        <v>20</v>
      </c>
      <c r="L6" s="42" t="s">
        <v>20</v>
      </c>
    </row>
    <row r="7" s="20" customFormat="1" spans="1:12">
      <c r="A7" s="67" t="s">
        <v>558</v>
      </c>
      <c r="B7" s="30">
        <v>45870</v>
      </c>
      <c r="C7" s="31" t="s">
        <v>20</v>
      </c>
      <c r="D7" s="32" t="s">
        <v>20</v>
      </c>
      <c r="E7" s="32">
        <v>6662.86</v>
      </c>
      <c r="F7" s="51">
        <f t="shared" si="0"/>
        <v>431055.16</v>
      </c>
      <c r="G7" s="68" t="s">
        <v>31</v>
      </c>
      <c r="H7" t="s">
        <v>557</v>
      </c>
      <c r="I7" s="36" t="s">
        <v>20</v>
      </c>
      <c r="J7" s="44" t="s">
        <v>20</v>
      </c>
      <c r="K7" s="42" t="s">
        <v>20</v>
      </c>
      <c r="L7" s="42" t="s">
        <v>20</v>
      </c>
    </row>
    <row r="8" s="20" customFormat="1" spans="1:12">
      <c r="A8" s="67" t="s">
        <v>559</v>
      </c>
      <c r="B8" s="30">
        <v>45870</v>
      </c>
      <c r="C8" s="31" t="s">
        <v>20</v>
      </c>
      <c r="D8" s="32">
        <v>17843.27</v>
      </c>
      <c r="E8" s="32" t="s">
        <v>20</v>
      </c>
      <c r="F8" s="51">
        <f t="shared" si="0"/>
        <v>413211.89</v>
      </c>
      <c r="G8" s="36" t="s">
        <v>560</v>
      </c>
      <c r="H8" s="36" t="s">
        <v>561</v>
      </c>
      <c r="I8" s="36">
        <v>945225400039296</v>
      </c>
      <c r="J8" s="44" t="s">
        <v>20</v>
      </c>
      <c r="K8" s="42" t="s">
        <v>20</v>
      </c>
      <c r="L8" s="42" t="s">
        <v>20</v>
      </c>
    </row>
    <row r="9" s="20" customFormat="1" spans="1:12">
      <c r="A9" s="67" t="s">
        <v>553</v>
      </c>
      <c r="B9" s="30">
        <v>45873</v>
      </c>
      <c r="C9" s="31" t="s">
        <v>20</v>
      </c>
      <c r="D9" s="32">
        <v>1993.16</v>
      </c>
      <c r="E9" s="32" t="s">
        <v>20</v>
      </c>
      <c r="F9" s="51">
        <f t="shared" si="0"/>
        <v>411218.73</v>
      </c>
      <c r="G9" s="34" t="s">
        <v>518</v>
      </c>
      <c r="H9" s="36"/>
      <c r="I9" s="36" t="s">
        <v>562</v>
      </c>
      <c r="J9" s="44">
        <v>45873</v>
      </c>
      <c r="K9" s="42" t="s">
        <v>20</v>
      </c>
      <c r="L9" s="42" t="s">
        <v>20</v>
      </c>
    </row>
    <row r="10" s="20" customFormat="1" spans="1:12">
      <c r="A10" s="67" t="s">
        <v>558</v>
      </c>
      <c r="B10" s="30">
        <v>45874</v>
      </c>
      <c r="C10" s="31" t="s">
        <v>20</v>
      </c>
      <c r="D10" s="32" t="s">
        <v>20</v>
      </c>
      <c r="E10" s="32">
        <v>9916.53</v>
      </c>
      <c r="F10" s="51">
        <f t="shared" si="0"/>
        <v>421135.26</v>
      </c>
      <c r="G10" s="68" t="s">
        <v>31</v>
      </c>
      <c r="H10" t="s">
        <v>557</v>
      </c>
      <c r="I10" s="36" t="s">
        <v>20</v>
      </c>
      <c r="J10" s="44" t="s">
        <v>20</v>
      </c>
      <c r="K10" s="42" t="s">
        <v>20</v>
      </c>
      <c r="L10" s="42" t="s">
        <v>20</v>
      </c>
    </row>
    <row r="11" s="20" customFormat="1" spans="1:12">
      <c r="A11" s="67" t="s">
        <v>556</v>
      </c>
      <c r="B11" s="30">
        <v>45874</v>
      </c>
      <c r="C11" s="31" t="s">
        <v>20</v>
      </c>
      <c r="D11" s="32" t="s">
        <v>20</v>
      </c>
      <c r="E11" s="32">
        <v>66.55</v>
      </c>
      <c r="F11" s="51">
        <f t="shared" si="0"/>
        <v>421201.81</v>
      </c>
      <c r="G11" s="68" t="s">
        <v>31</v>
      </c>
      <c r="H11" t="s">
        <v>557</v>
      </c>
      <c r="I11" s="36" t="s">
        <v>20</v>
      </c>
      <c r="J11" s="44" t="s">
        <v>20</v>
      </c>
      <c r="K11" s="42" t="s">
        <v>20</v>
      </c>
      <c r="L11" s="42" t="s">
        <v>20</v>
      </c>
    </row>
    <row r="12" s="20" customFormat="1" spans="1:12">
      <c r="A12" s="67" t="s">
        <v>555</v>
      </c>
      <c r="B12" s="30">
        <v>45874</v>
      </c>
      <c r="C12" s="31" t="s">
        <v>20</v>
      </c>
      <c r="D12" s="32" t="s">
        <v>20</v>
      </c>
      <c r="E12" s="32">
        <v>750</v>
      </c>
      <c r="F12" s="51">
        <f t="shared" si="0"/>
        <v>421951.81</v>
      </c>
      <c r="G12" s="16" t="s">
        <v>31</v>
      </c>
      <c r="H12" s="16" t="s">
        <v>62</v>
      </c>
      <c r="I12" s="36" t="s">
        <v>20</v>
      </c>
      <c r="J12" s="44" t="s">
        <v>20</v>
      </c>
      <c r="K12" s="42" t="s">
        <v>20</v>
      </c>
      <c r="L12" s="42" t="s">
        <v>20</v>
      </c>
    </row>
    <row r="13" s="20" customFormat="1" spans="1:12">
      <c r="A13" s="67" t="s">
        <v>563</v>
      </c>
      <c r="B13" s="30">
        <v>45875</v>
      </c>
      <c r="C13" s="31" t="s">
        <v>20</v>
      </c>
      <c r="D13" s="32" t="s">
        <v>20</v>
      </c>
      <c r="E13" s="32">
        <v>211.41</v>
      </c>
      <c r="F13" s="51">
        <f t="shared" si="0"/>
        <v>422163.22</v>
      </c>
      <c r="G13" s="16" t="s">
        <v>31</v>
      </c>
      <c r="H13" s="16" t="s">
        <v>557</v>
      </c>
      <c r="I13" s="36" t="s">
        <v>20</v>
      </c>
      <c r="J13" s="44" t="s">
        <v>20</v>
      </c>
      <c r="K13" s="42" t="s">
        <v>20</v>
      </c>
      <c r="L13" s="42" t="s">
        <v>20</v>
      </c>
    </row>
    <row r="14" s="20" customFormat="1" spans="1:12">
      <c r="A14" s="67" t="s">
        <v>553</v>
      </c>
      <c r="B14" s="30">
        <v>45875</v>
      </c>
      <c r="C14" s="31" t="s">
        <v>20</v>
      </c>
      <c r="D14" s="32">
        <v>7067.51</v>
      </c>
      <c r="E14" s="32" t="s">
        <v>20</v>
      </c>
      <c r="F14" s="51">
        <f t="shared" si="0"/>
        <v>415095.71</v>
      </c>
      <c r="G14" s="34" t="s">
        <v>518</v>
      </c>
      <c r="H14" s="36"/>
      <c r="I14" s="36" t="s">
        <v>564</v>
      </c>
      <c r="J14" s="44">
        <v>45875</v>
      </c>
      <c r="K14" s="42" t="s">
        <v>20</v>
      </c>
      <c r="L14" s="42" t="s">
        <v>20</v>
      </c>
    </row>
    <row r="15" s="20" customFormat="1" ht="30" spans="1:12">
      <c r="A15" s="41" t="s">
        <v>565</v>
      </c>
      <c r="B15" s="30">
        <v>45875</v>
      </c>
      <c r="C15" s="41" t="s">
        <v>20</v>
      </c>
      <c r="D15" s="41">
        <v>675.74</v>
      </c>
      <c r="E15" s="41" t="s">
        <v>20</v>
      </c>
      <c r="F15" s="51">
        <f t="shared" si="0"/>
        <v>414419.97</v>
      </c>
      <c r="G15" s="15" t="s">
        <v>110</v>
      </c>
      <c r="H15" s="16" t="s">
        <v>566</v>
      </c>
      <c r="I15" s="132" t="s">
        <v>567</v>
      </c>
      <c r="J15" s="44" t="s">
        <v>20</v>
      </c>
      <c r="K15" s="18">
        <v>45876</v>
      </c>
      <c r="L15" s="41" t="s">
        <v>20</v>
      </c>
    </row>
    <row r="16" s="20" customFormat="1" spans="1:12">
      <c r="A16" s="41" t="s">
        <v>565</v>
      </c>
      <c r="B16" s="30">
        <v>45875</v>
      </c>
      <c r="C16" s="41" t="s">
        <v>20</v>
      </c>
      <c r="D16" s="41">
        <v>449.74</v>
      </c>
      <c r="E16" s="41" t="s">
        <v>20</v>
      </c>
      <c r="F16" s="51">
        <f t="shared" si="0"/>
        <v>413970.23</v>
      </c>
      <c r="G16" s="15" t="s">
        <v>110</v>
      </c>
      <c r="H16" s="16" t="s">
        <v>111</v>
      </c>
      <c r="I16" s="132" t="s">
        <v>568</v>
      </c>
      <c r="J16" s="44" t="s">
        <v>20</v>
      </c>
      <c r="K16" s="18">
        <v>45876</v>
      </c>
      <c r="L16" s="41" t="s">
        <v>20</v>
      </c>
    </row>
    <row r="17" s="20" customFormat="1" spans="1:12">
      <c r="A17" s="41" t="s">
        <v>491</v>
      </c>
      <c r="B17" s="30">
        <v>45875</v>
      </c>
      <c r="C17" s="41" t="s">
        <v>20</v>
      </c>
      <c r="D17" s="41">
        <v>50.75</v>
      </c>
      <c r="E17" s="41" t="s">
        <v>20</v>
      </c>
      <c r="F17" s="51">
        <f t="shared" si="0"/>
        <v>413919.48</v>
      </c>
      <c r="G17" s="34" t="s">
        <v>26</v>
      </c>
      <c r="H17" s="35" t="s">
        <v>27</v>
      </c>
      <c r="I17" s="41" t="s">
        <v>20</v>
      </c>
      <c r="J17" s="44" t="s">
        <v>20</v>
      </c>
      <c r="K17" s="18">
        <v>45876</v>
      </c>
      <c r="L17" s="41" t="s">
        <v>20</v>
      </c>
    </row>
    <row r="18" spans="1:12">
      <c r="A18" t="s">
        <v>558</v>
      </c>
      <c r="B18" s="30">
        <v>45875</v>
      </c>
      <c r="C18" t="s">
        <v>20</v>
      </c>
      <c r="D18" t="s">
        <v>20</v>
      </c>
      <c r="E18">
        <v>9951.7</v>
      </c>
      <c r="F18" s="51">
        <f t="shared" si="0"/>
        <v>423871.18</v>
      </c>
      <c r="G18" s="68" t="s">
        <v>31</v>
      </c>
      <c r="H18" t="s">
        <v>557</v>
      </c>
      <c r="I18" t="s">
        <v>20</v>
      </c>
      <c r="J18" s="44" t="s">
        <v>20</v>
      </c>
      <c r="K18" t="s">
        <v>20</v>
      </c>
      <c r="L18" t="s">
        <v>20</v>
      </c>
    </row>
    <row r="19" spans="1:12">
      <c r="A19" t="s">
        <v>556</v>
      </c>
      <c r="B19" s="30">
        <v>45876</v>
      </c>
      <c r="C19" t="s">
        <v>20</v>
      </c>
      <c r="D19" t="s">
        <v>20</v>
      </c>
      <c r="E19">
        <v>321.4</v>
      </c>
      <c r="F19" s="51">
        <f t="shared" si="0"/>
        <v>424192.58</v>
      </c>
      <c r="G19" s="15" t="s">
        <v>31</v>
      </c>
      <c r="H19" s="16" t="s">
        <v>32</v>
      </c>
      <c r="I19" t="s">
        <v>20</v>
      </c>
      <c r="J19" s="44" t="s">
        <v>20</v>
      </c>
      <c r="K19" t="s">
        <v>20</v>
      </c>
      <c r="L19" t="s">
        <v>20</v>
      </c>
    </row>
    <row r="20" spans="1:12">
      <c r="A20" t="s">
        <v>556</v>
      </c>
      <c r="B20" s="30">
        <v>45876</v>
      </c>
      <c r="C20" t="s">
        <v>20</v>
      </c>
      <c r="D20" t="s">
        <v>20</v>
      </c>
      <c r="E20">
        <v>59.39</v>
      </c>
      <c r="F20" s="51">
        <f t="shared" si="0"/>
        <v>424251.97</v>
      </c>
      <c r="G20" s="15" t="s">
        <v>31</v>
      </c>
      <c r="H20" s="16" t="s">
        <v>32</v>
      </c>
      <c r="I20" t="s">
        <v>20</v>
      </c>
      <c r="J20" s="44" t="s">
        <v>20</v>
      </c>
      <c r="K20" t="s">
        <v>20</v>
      </c>
      <c r="L20" t="s">
        <v>20</v>
      </c>
    </row>
    <row r="21" spans="1:12">
      <c r="A21" t="s">
        <v>558</v>
      </c>
      <c r="B21" s="30">
        <v>45876</v>
      </c>
      <c r="C21" t="s">
        <v>20</v>
      </c>
      <c r="D21" t="s">
        <v>20</v>
      </c>
      <c r="E21">
        <v>12476.65</v>
      </c>
      <c r="F21" s="51">
        <f t="shared" si="0"/>
        <v>436728.62</v>
      </c>
      <c r="G21" s="15" t="s">
        <v>31</v>
      </c>
      <c r="H21" s="16" t="s">
        <v>35</v>
      </c>
      <c r="I21" t="s">
        <v>20</v>
      </c>
      <c r="J21" s="44" t="s">
        <v>20</v>
      </c>
      <c r="K21" t="s">
        <v>20</v>
      </c>
      <c r="L21" t="s">
        <v>20</v>
      </c>
    </row>
    <row r="22" spans="1:12">
      <c r="A22" t="s">
        <v>556</v>
      </c>
      <c r="B22" s="30">
        <v>45876</v>
      </c>
      <c r="C22" t="s">
        <v>20</v>
      </c>
      <c r="D22" t="s">
        <v>20</v>
      </c>
      <c r="E22">
        <v>55.8</v>
      </c>
      <c r="F22" s="51">
        <f t="shared" si="0"/>
        <v>436784.42</v>
      </c>
      <c r="G22" s="15" t="s">
        <v>31</v>
      </c>
      <c r="H22" s="16" t="s">
        <v>32</v>
      </c>
      <c r="I22" t="s">
        <v>20</v>
      </c>
      <c r="J22" s="44" t="s">
        <v>20</v>
      </c>
      <c r="K22" t="s">
        <v>20</v>
      </c>
      <c r="L22" t="s">
        <v>20</v>
      </c>
    </row>
    <row r="23" spans="1:12">
      <c r="A23" t="s">
        <v>558</v>
      </c>
      <c r="B23" s="30">
        <v>45876</v>
      </c>
      <c r="C23" t="s">
        <v>20</v>
      </c>
      <c r="D23" t="s">
        <v>20</v>
      </c>
      <c r="E23">
        <v>12997.46</v>
      </c>
      <c r="F23" s="51">
        <f t="shared" si="0"/>
        <v>449781.88</v>
      </c>
      <c r="G23" s="15" t="s">
        <v>31</v>
      </c>
      <c r="H23" s="16" t="s">
        <v>35</v>
      </c>
      <c r="I23" t="s">
        <v>20</v>
      </c>
      <c r="J23" s="44" t="s">
        <v>20</v>
      </c>
      <c r="K23" t="s">
        <v>20</v>
      </c>
      <c r="L23" t="s">
        <v>20</v>
      </c>
    </row>
    <row r="24" spans="1:12">
      <c r="A24" t="s">
        <v>558</v>
      </c>
      <c r="B24" s="30">
        <v>45876</v>
      </c>
      <c r="C24" t="s">
        <v>20</v>
      </c>
      <c r="D24" t="s">
        <v>20</v>
      </c>
      <c r="E24">
        <v>12627.46</v>
      </c>
      <c r="F24" s="51">
        <f t="shared" si="0"/>
        <v>462409.34</v>
      </c>
      <c r="G24" s="15" t="s">
        <v>31</v>
      </c>
      <c r="H24" s="16" t="s">
        <v>35</v>
      </c>
      <c r="I24" t="s">
        <v>20</v>
      </c>
      <c r="J24" s="44" t="s">
        <v>20</v>
      </c>
      <c r="K24" t="s">
        <v>20</v>
      </c>
      <c r="L24" t="s">
        <v>20</v>
      </c>
    </row>
    <row r="25" spans="1:12">
      <c r="A25" t="s">
        <v>558</v>
      </c>
      <c r="B25" s="30">
        <v>45876</v>
      </c>
      <c r="C25" t="s">
        <v>20</v>
      </c>
      <c r="D25" t="s">
        <v>20</v>
      </c>
      <c r="E25">
        <v>10885.81</v>
      </c>
      <c r="F25" s="51">
        <f t="shared" si="0"/>
        <v>473295.15</v>
      </c>
      <c r="G25" s="15" t="s">
        <v>31</v>
      </c>
      <c r="H25" s="16" t="s">
        <v>35</v>
      </c>
      <c r="I25" t="s">
        <v>20</v>
      </c>
      <c r="J25" s="44" t="s">
        <v>20</v>
      </c>
      <c r="K25" t="s">
        <v>20</v>
      </c>
      <c r="L25" t="s">
        <v>20</v>
      </c>
    </row>
    <row r="26" spans="1:12">
      <c r="A26" t="s">
        <v>556</v>
      </c>
      <c r="B26" s="30">
        <v>45876</v>
      </c>
      <c r="C26" t="s">
        <v>20</v>
      </c>
      <c r="D26" t="s">
        <v>20</v>
      </c>
      <c r="E26">
        <v>98.31</v>
      </c>
      <c r="F26" s="51">
        <f t="shared" si="0"/>
        <v>473393.46</v>
      </c>
      <c r="G26" s="15" t="s">
        <v>31</v>
      </c>
      <c r="H26" s="16" t="s">
        <v>32</v>
      </c>
      <c r="I26" t="s">
        <v>20</v>
      </c>
      <c r="J26" s="44" t="s">
        <v>20</v>
      </c>
      <c r="K26" t="s">
        <v>20</v>
      </c>
      <c r="L26" t="s">
        <v>20</v>
      </c>
    </row>
    <row r="27" spans="1:12">
      <c r="A27" t="s">
        <v>556</v>
      </c>
      <c r="B27" s="30">
        <v>45877</v>
      </c>
      <c r="C27" t="s">
        <v>20</v>
      </c>
      <c r="D27" t="s">
        <v>20</v>
      </c>
      <c r="E27">
        <v>11030.31</v>
      </c>
      <c r="F27" s="51">
        <f t="shared" si="0"/>
        <v>484423.77</v>
      </c>
      <c r="G27" s="15" t="s">
        <v>31</v>
      </c>
      <c r="H27" s="16" t="s">
        <v>35</v>
      </c>
      <c r="I27" t="s">
        <v>20</v>
      </c>
      <c r="J27" s="44" t="s">
        <v>20</v>
      </c>
      <c r="K27" t="s">
        <v>20</v>
      </c>
      <c r="L27" t="s">
        <v>20</v>
      </c>
    </row>
    <row r="28" spans="1:12">
      <c r="A28" t="s">
        <v>558</v>
      </c>
      <c r="B28" s="30">
        <v>45877</v>
      </c>
      <c r="C28" t="s">
        <v>20</v>
      </c>
      <c r="D28" t="s">
        <v>20</v>
      </c>
      <c r="E28">
        <v>105.23</v>
      </c>
      <c r="F28" s="51">
        <f t="shared" si="0"/>
        <v>484529</v>
      </c>
      <c r="G28" s="34" t="s">
        <v>31</v>
      </c>
      <c r="H28" s="16" t="s">
        <v>32</v>
      </c>
      <c r="I28" t="s">
        <v>20</v>
      </c>
      <c r="J28" s="44" t="s">
        <v>20</v>
      </c>
      <c r="K28" t="s">
        <v>20</v>
      </c>
      <c r="L28" t="s">
        <v>20</v>
      </c>
    </row>
    <row r="29" spans="1:12">
      <c r="A29" t="s">
        <v>569</v>
      </c>
      <c r="B29" s="30">
        <v>45877</v>
      </c>
      <c r="C29" t="s">
        <v>20</v>
      </c>
      <c r="D29">
        <v>15949.12</v>
      </c>
      <c r="E29" t="s">
        <v>20</v>
      </c>
      <c r="F29" s="51">
        <f t="shared" si="0"/>
        <v>468579.88</v>
      </c>
      <c r="G29" s="34" t="s">
        <v>518</v>
      </c>
      <c r="H29" s="36"/>
      <c r="I29" t="s">
        <v>570</v>
      </c>
      <c r="J29" s="44">
        <v>45877</v>
      </c>
      <c r="K29" t="s">
        <v>20</v>
      </c>
      <c r="L29" t="s">
        <v>20</v>
      </c>
    </row>
    <row r="30" spans="1:12">
      <c r="A30" t="s">
        <v>569</v>
      </c>
      <c r="B30" s="30">
        <v>45877</v>
      </c>
      <c r="C30" t="s">
        <v>20</v>
      </c>
      <c r="D30">
        <v>142380</v>
      </c>
      <c r="E30" t="s">
        <v>20</v>
      </c>
      <c r="F30" s="51">
        <f t="shared" si="0"/>
        <v>326199.88</v>
      </c>
      <c r="G30" t="s">
        <v>571</v>
      </c>
      <c r="H30" t="s">
        <v>572</v>
      </c>
      <c r="I30" s="135" t="s">
        <v>573</v>
      </c>
      <c r="J30" s="44" t="s">
        <v>20</v>
      </c>
      <c r="K30" s="18">
        <v>45876</v>
      </c>
      <c r="L30" t="s">
        <v>20</v>
      </c>
    </row>
    <row r="31" spans="1:8">
      <c r="A31" t="s">
        <v>574</v>
      </c>
      <c r="B31" s="30">
        <v>45880</v>
      </c>
      <c r="E31">
        <v>1215</v>
      </c>
      <c r="F31" s="51">
        <f t="shared" si="0"/>
        <v>327414.88</v>
      </c>
      <c r="G31" t="s">
        <v>31</v>
      </c>
      <c r="H31" t="s">
        <v>62</v>
      </c>
    </row>
    <row r="32" spans="1:8">
      <c r="A32" t="s">
        <v>575</v>
      </c>
      <c r="B32" s="30">
        <v>45880</v>
      </c>
      <c r="E32">
        <v>115.68</v>
      </c>
      <c r="F32" s="51">
        <f t="shared" si="0"/>
        <v>327530.56</v>
      </c>
      <c r="G32" t="s">
        <v>31</v>
      </c>
      <c r="H32" t="s">
        <v>32</v>
      </c>
    </row>
    <row r="33" spans="1:8">
      <c r="A33" t="s">
        <v>575</v>
      </c>
      <c r="B33" s="30">
        <v>45880</v>
      </c>
      <c r="E33">
        <v>11170.33</v>
      </c>
      <c r="F33" s="51">
        <f t="shared" si="0"/>
        <v>338700.89</v>
      </c>
      <c r="G33" t="s">
        <v>31</v>
      </c>
      <c r="H33" t="s">
        <v>35</v>
      </c>
    </row>
    <row r="34" spans="1:11">
      <c r="A34" t="s">
        <v>576</v>
      </c>
      <c r="B34" s="30">
        <v>45880</v>
      </c>
      <c r="D34">
        <v>40595.71</v>
      </c>
      <c r="F34" s="51">
        <f t="shared" si="0"/>
        <v>298105.18</v>
      </c>
      <c r="G34" t="s">
        <v>52</v>
      </c>
      <c r="H34" t="s">
        <v>577</v>
      </c>
      <c r="K34" s="76">
        <v>45888</v>
      </c>
    </row>
    <row r="35" spans="1:8">
      <c r="A35" t="s">
        <v>574</v>
      </c>
      <c r="B35" s="30">
        <v>45881</v>
      </c>
      <c r="E35">
        <v>505</v>
      </c>
      <c r="F35" s="51">
        <f t="shared" si="0"/>
        <v>298610.18</v>
      </c>
      <c r="G35" t="s">
        <v>31</v>
      </c>
      <c r="H35" t="s">
        <v>62</v>
      </c>
    </row>
    <row r="36" spans="1:8">
      <c r="A36" t="s">
        <v>575</v>
      </c>
      <c r="B36" s="30">
        <v>45881</v>
      </c>
      <c r="E36">
        <v>13793.69</v>
      </c>
      <c r="F36" s="51">
        <f t="shared" si="0"/>
        <v>312403.87</v>
      </c>
      <c r="G36" t="s">
        <v>31</v>
      </c>
      <c r="H36" t="s">
        <v>35</v>
      </c>
    </row>
    <row r="37" spans="1:10">
      <c r="A37" t="s">
        <v>578</v>
      </c>
      <c r="B37" s="30">
        <v>45881</v>
      </c>
      <c r="D37">
        <v>4395.9</v>
      </c>
      <c r="F37" s="51">
        <f t="shared" si="0"/>
        <v>308007.97</v>
      </c>
      <c r="G37" s="34" t="s">
        <v>518</v>
      </c>
      <c r="I37" s="71" t="s">
        <v>579</v>
      </c>
      <c r="J37" s="44">
        <v>45881</v>
      </c>
    </row>
    <row r="38" spans="1:11">
      <c r="A38" t="s">
        <v>580</v>
      </c>
      <c r="B38" s="30">
        <v>45881</v>
      </c>
      <c r="D38">
        <v>158.2</v>
      </c>
      <c r="F38" s="51">
        <f t="shared" si="0"/>
        <v>307849.77</v>
      </c>
      <c r="G38" t="s">
        <v>110</v>
      </c>
      <c r="H38" t="s">
        <v>111</v>
      </c>
      <c r="I38" s="135" t="s">
        <v>581</v>
      </c>
      <c r="K38" s="76">
        <v>45888</v>
      </c>
    </row>
    <row r="39" spans="1:8">
      <c r="A39" s="52" t="s">
        <v>574</v>
      </c>
      <c r="B39" s="30">
        <v>45882</v>
      </c>
      <c r="D39" s="52"/>
      <c r="E39" s="52">
        <v>425</v>
      </c>
      <c r="F39" s="51">
        <f t="shared" ref="F39:F50" si="1">F38-IF(ISNUMBER(D39),D39,0)+IF(ISNUMBER(E39),E39,0)</f>
        <v>308274.77</v>
      </c>
      <c r="G39" t="s">
        <v>31</v>
      </c>
      <c r="H39" t="s">
        <v>62</v>
      </c>
    </row>
    <row r="40" spans="1:8">
      <c r="A40" s="52" t="s">
        <v>582</v>
      </c>
      <c r="B40" s="30">
        <v>45882</v>
      </c>
      <c r="D40" s="52"/>
      <c r="E40" s="52">
        <v>10634.89</v>
      </c>
      <c r="F40" s="51">
        <f t="shared" si="1"/>
        <v>318909.66</v>
      </c>
      <c r="G40" t="s">
        <v>31</v>
      </c>
      <c r="H40" t="s">
        <v>35</v>
      </c>
    </row>
    <row r="41" spans="1:8">
      <c r="A41" s="52" t="s">
        <v>583</v>
      </c>
      <c r="B41" s="30">
        <v>45882</v>
      </c>
      <c r="D41" s="52"/>
      <c r="E41" s="52">
        <v>32.3</v>
      </c>
      <c r="F41" s="51">
        <f t="shared" si="1"/>
        <v>318941.96</v>
      </c>
      <c r="G41" t="s">
        <v>31</v>
      </c>
      <c r="H41" t="s">
        <v>32</v>
      </c>
    </row>
    <row r="42" spans="1:8">
      <c r="A42" s="52" t="s">
        <v>584</v>
      </c>
      <c r="B42" s="30">
        <v>45882</v>
      </c>
      <c r="D42" s="52"/>
      <c r="E42" s="52">
        <v>91.07</v>
      </c>
      <c r="F42" s="51">
        <f t="shared" si="1"/>
        <v>319033.03</v>
      </c>
      <c r="G42" t="s">
        <v>31</v>
      </c>
      <c r="H42" t="s">
        <v>32</v>
      </c>
    </row>
    <row r="43" spans="1:8">
      <c r="A43" s="52" t="s">
        <v>575</v>
      </c>
      <c r="B43" s="30">
        <v>45882</v>
      </c>
      <c r="D43" s="52"/>
      <c r="E43" s="52">
        <v>13229.31</v>
      </c>
      <c r="F43" s="51">
        <f t="shared" si="1"/>
        <v>332262.34</v>
      </c>
      <c r="G43" t="s">
        <v>31</v>
      </c>
      <c r="H43" t="s">
        <v>35</v>
      </c>
    </row>
    <row r="44" spans="1:8">
      <c r="A44" s="52" t="s">
        <v>575</v>
      </c>
      <c r="B44" s="30">
        <v>45882</v>
      </c>
      <c r="D44" s="52"/>
      <c r="E44" s="52">
        <v>13277.09</v>
      </c>
      <c r="F44" s="51">
        <f t="shared" si="1"/>
        <v>345539.43</v>
      </c>
      <c r="G44" t="s">
        <v>31</v>
      </c>
      <c r="H44" t="s">
        <v>35</v>
      </c>
    </row>
    <row r="45" spans="1:10">
      <c r="A45" s="52" t="s">
        <v>578</v>
      </c>
      <c r="B45" s="30">
        <v>45882</v>
      </c>
      <c r="D45" s="52">
        <v>12490.66</v>
      </c>
      <c r="E45" s="52"/>
      <c r="F45" s="51">
        <f t="shared" si="1"/>
        <v>333048.77</v>
      </c>
      <c r="G45" s="34" t="s">
        <v>518</v>
      </c>
      <c r="I45" t="s">
        <v>585</v>
      </c>
      <c r="J45" s="44">
        <v>45882</v>
      </c>
    </row>
    <row r="46" spans="1:8">
      <c r="A46" t="s">
        <v>575</v>
      </c>
      <c r="B46" s="30">
        <v>45883</v>
      </c>
      <c r="D46" s="52"/>
      <c r="E46" s="52">
        <v>12122.22</v>
      </c>
      <c r="F46" s="51">
        <f t="shared" si="1"/>
        <v>345170.99</v>
      </c>
      <c r="G46" t="s">
        <v>31</v>
      </c>
      <c r="H46" t="s">
        <v>35</v>
      </c>
    </row>
    <row r="47" spans="1:8">
      <c r="A47" t="s">
        <v>584</v>
      </c>
      <c r="B47" s="30">
        <v>45883</v>
      </c>
      <c r="E47">
        <v>31.57</v>
      </c>
      <c r="F47" s="51">
        <f t="shared" si="1"/>
        <v>345202.56</v>
      </c>
      <c r="G47" t="s">
        <v>31</v>
      </c>
      <c r="H47" t="s">
        <v>32</v>
      </c>
    </row>
    <row r="48" spans="1:10">
      <c r="A48" s="19" t="s">
        <v>578</v>
      </c>
      <c r="B48" s="30">
        <v>45884</v>
      </c>
      <c r="C48" s="69"/>
      <c r="D48" s="19">
        <v>3799.23</v>
      </c>
      <c r="E48" s="19"/>
      <c r="F48" s="51">
        <f t="shared" si="1"/>
        <v>341403.33</v>
      </c>
      <c r="G48" s="34" t="s">
        <v>518</v>
      </c>
      <c r="I48" s="77" t="s">
        <v>586</v>
      </c>
      <c r="J48" s="44">
        <v>45884</v>
      </c>
    </row>
    <row r="49" spans="1:8">
      <c r="A49" s="19" t="s">
        <v>574</v>
      </c>
      <c r="B49" s="30">
        <v>45884</v>
      </c>
      <c r="C49" s="69"/>
      <c r="D49" s="19"/>
      <c r="E49" s="19">
        <v>424.75</v>
      </c>
      <c r="F49" s="51">
        <f t="shared" si="1"/>
        <v>341828.08</v>
      </c>
      <c r="G49" t="s">
        <v>31</v>
      </c>
      <c r="H49" t="s">
        <v>32</v>
      </c>
    </row>
    <row r="50" spans="1:8">
      <c r="A50" s="19" t="s">
        <v>575</v>
      </c>
      <c r="B50" s="30">
        <v>45884</v>
      </c>
      <c r="C50" s="69"/>
      <c r="D50" s="19"/>
      <c r="E50" s="19">
        <v>10625.18</v>
      </c>
      <c r="F50" s="51">
        <f t="shared" si="1"/>
        <v>352453.26</v>
      </c>
      <c r="G50" t="s">
        <v>31</v>
      </c>
      <c r="H50" t="s">
        <v>35</v>
      </c>
    </row>
    <row r="51" spans="1:8">
      <c r="A51" s="19" t="s">
        <v>574</v>
      </c>
      <c r="B51" s="30">
        <v>45887</v>
      </c>
      <c r="C51" s="69"/>
      <c r="D51" s="19"/>
      <c r="E51" s="19">
        <v>183</v>
      </c>
      <c r="F51" s="51">
        <f t="shared" ref="F51:F60" si="2">F50-IF(ISNUMBER(D51),D51,0)+IF(ISNUMBER(E51),E51,0)</f>
        <v>352636.26</v>
      </c>
      <c r="G51" t="s">
        <v>31</v>
      </c>
      <c r="H51" t="s">
        <v>62</v>
      </c>
    </row>
    <row r="52" spans="1:8">
      <c r="A52" t="s">
        <v>587</v>
      </c>
      <c r="B52" s="30">
        <v>45887</v>
      </c>
      <c r="E52">
        <v>17.9</v>
      </c>
      <c r="F52" s="51">
        <f t="shared" si="2"/>
        <v>352654.16</v>
      </c>
      <c r="G52" t="s">
        <v>31</v>
      </c>
      <c r="H52" t="s">
        <v>32</v>
      </c>
    </row>
    <row r="53" spans="1:8">
      <c r="A53" t="s">
        <v>588</v>
      </c>
      <c r="B53" s="30">
        <v>45887</v>
      </c>
      <c r="E53">
        <v>11175.58</v>
      </c>
      <c r="F53" s="51">
        <f t="shared" si="2"/>
        <v>363829.74</v>
      </c>
      <c r="G53" t="s">
        <v>31</v>
      </c>
      <c r="H53" t="s">
        <v>35</v>
      </c>
    </row>
    <row r="54" spans="1:8">
      <c r="A54" t="s">
        <v>574</v>
      </c>
      <c r="B54" s="30">
        <v>45887</v>
      </c>
      <c r="E54">
        <v>69</v>
      </c>
      <c r="F54" s="51">
        <f t="shared" si="2"/>
        <v>363898.74</v>
      </c>
      <c r="G54" t="s">
        <v>31</v>
      </c>
      <c r="H54" t="s">
        <v>62</v>
      </c>
    </row>
    <row r="55" spans="1:8">
      <c r="A55" t="s">
        <v>574</v>
      </c>
      <c r="B55" s="30">
        <v>45887</v>
      </c>
      <c r="E55">
        <v>258</v>
      </c>
      <c r="F55" s="51">
        <f t="shared" si="2"/>
        <v>364156.74</v>
      </c>
      <c r="G55" t="s">
        <v>31</v>
      </c>
      <c r="H55" t="s">
        <v>62</v>
      </c>
    </row>
    <row r="56" spans="1:8">
      <c r="A56" t="s">
        <v>589</v>
      </c>
      <c r="B56" s="30">
        <v>45887</v>
      </c>
      <c r="D56">
        <v>569.01</v>
      </c>
      <c r="F56" s="51">
        <f t="shared" si="2"/>
        <v>363587.73</v>
      </c>
      <c r="G56" t="s">
        <v>93</v>
      </c>
      <c r="H56" t="s">
        <v>590</v>
      </c>
    </row>
    <row r="57" spans="1:11">
      <c r="A57" t="s">
        <v>591</v>
      </c>
      <c r="B57" s="30">
        <v>45888</v>
      </c>
      <c r="D57" s="70">
        <v>2705.22</v>
      </c>
      <c r="F57" s="51">
        <f t="shared" ref="F57:F84" si="3">F56-IF(ISNUMBER(D57),D57,0)+IF(ISNUMBER(E57),E57,0)</f>
        <v>360882.51</v>
      </c>
      <c r="G57" t="s">
        <v>110</v>
      </c>
      <c r="H57" t="s">
        <v>111</v>
      </c>
      <c r="I57" s="17" t="s">
        <v>46</v>
      </c>
      <c r="J57" s="44" t="s">
        <v>20</v>
      </c>
      <c r="K57" s="18" t="s">
        <v>146</v>
      </c>
    </row>
    <row r="58" spans="1:8">
      <c r="A58" t="s">
        <v>574</v>
      </c>
      <c r="B58" s="30">
        <v>45888</v>
      </c>
      <c r="E58">
        <v>390</v>
      </c>
      <c r="F58" s="51">
        <f t="shared" si="3"/>
        <v>361272.51</v>
      </c>
      <c r="G58" t="s">
        <v>31</v>
      </c>
      <c r="H58" t="s">
        <v>62</v>
      </c>
    </row>
    <row r="59" spans="1:9">
      <c r="A59" t="s">
        <v>592</v>
      </c>
      <c r="B59" s="30">
        <v>45888</v>
      </c>
      <c r="D59">
        <v>375.08</v>
      </c>
      <c r="F59" s="51">
        <f t="shared" si="3"/>
        <v>360897.43</v>
      </c>
      <c r="G59" s="34" t="s">
        <v>518</v>
      </c>
      <c r="I59" t="s">
        <v>593</v>
      </c>
    </row>
    <row r="60" spans="1:8">
      <c r="A60" t="s">
        <v>588</v>
      </c>
      <c r="B60" s="30">
        <v>45888</v>
      </c>
      <c r="E60">
        <v>12125.2</v>
      </c>
      <c r="F60" s="51">
        <f t="shared" si="3"/>
        <v>373022.63</v>
      </c>
      <c r="G60" t="s">
        <v>31</v>
      </c>
      <c r="H60" t="s">
        <v>35</v>
      </c>
    </row>
    <row r="61" spans="1:8">
      <c r="A61" t="s">
        <v>587</v>
      </c>
      <c r="B61" s="30">
        <v>45888</v>
      </c>
      <c r="E61">
        <v>144.11</v>
      </c>
      <c r="F61" s="51">
        <f t="shared" si="3"/>
        <v>373166.74</v>
      </c>
      <c r="G61" t="s">
        <v>31</v>
      </c>
      <c r="H61" t="s">
        <v>32</v>
      </c>
    </row>
    <row r="62" spans="1:8">
      <c r="A62" s="71" t="s">
        <v>574</v>
      </c>
      <c r="B62" s="30">
        <v>45889</v>
      </c>
      <c r="E62">
        <v>490</v>
      </c>
      <c r="F62" s="51">
        <f t="shared" si="3"/>
        <v>373656.74</v>
      </c>
      <c r="G62" t="s">
        <v>31</v>
      </c>
      <c r="H62" t="s">
        <v>62</v>
      </c>
    </row>
    <row r="63" spans="1:8">
      <c r="A63" t="s">
        <v>588</v>
      </c>
      <c r="B63" s="30">
        <v>45889</v>
      </c>
      <c r="E63">
        <v>12775.73</v>
      </c>
      <c r="F63" s="51">
        <f t="shared" si="3"/>
        <v>386432.47</v>
      </c>
      <c r="G63" t="s">
        <v>31</v>
      </c>
      <c r="H63" t="s">
        <v>35</v>
      </c>
    </row>
    <row r="64" spans="1:8">
      <c r="A64" t="s">
        <v>587</v>
      </c>
      <c r="B64" s="30">
        <v>45889</v>
      </c>
      <c r="E64">
        <v>257.32</v>
      </c>
      <c r="F64" s="51">
        <f t="shared" si="3"/>
        <v>386689.79</v>
      </c>
      <c r="G64" t="s">
        <v>31</v>
      </c>
      <c r="H64" t="s">
        <v>32</v>
      </c>
    </row>
    <row r="65" spans="1:8">
      <c r="A65" t="s">
        <v>588</v>
      </c>
      <c r="B65" s="30">
        <v>45889</v>
      </c>
      <c r="E65">
        <v>13490.88</v>
      </c>
      <c r="F65" s="51">
        <f t="shared" si="3"/>
        <v>400180.67</v>
      </c>
      <c r="G65" t="s">
        <v>31</v>
      </c>
      <c r="H65" t="s">
        <v>35</v>
      </c>
    </row>
    <row r="66" spans="1:8">
      <c r="A66" t="s">
        <v>588</v>
      </c>
      <c r="B66" s="30">
        <v>45889</v>
      </c>
      <c r="E66">
        <v>11143.61</v>
      </c>
      <c r="F66" s="51">
        <f t="shared" si="3"/>
        <v>411324.28</v>
      </c>
      <c r="G66" t="s">
        <v>31</v>
      </c>
      <c r="H66" t="s">
        <v>35</v>
      </c>
    </row>
    <row r="67" spans="1:8">
      <c r="A67" t="s">
        <v>587</v>
      </c>
      <c r="B67" s="30">
        <v>45889</v>
      </c>
      <c r="E67">
        <v>109.47</v>
      </c>
      <c r="F67" s="51">
        <f t="shared" si="3"/>
        <v>411433.75</v>
      </c>
      <c r="G67" t="s">
        <v>31</v>
      </c>
      <c r="H67" t="s">
        <v>32</v>
      </c>
    </row>
    <row r="68" spans="1:8">
      <c r="A68" t="s">
        <v>587</v>
      </c>
      <c r="B68" s="30">
        <v>45889</v>
      </c>
      <c r="E68">
        <v>198.82</v>
      </c>
      <c r="F68" s="51">
        <f t="shared" si="3"/>
        <v>411632.57</v>
      </c>
      <c r="G68" t="s">
        <v>31</v>
      </c>
      <c r="H68" t="s">
        <v>32</v>
      </c>
    </row>
    <row r="69" spans="1:11">
      <c r="A69" t="s">
        <v>594</v>
      </c>
      <c r="B69" s="30">
        <v>45889</v>
      </c>
      <c r="D69">
        <v>67.8</v>
      </c>
      <c r="F69" s="51">
        <f t="shared" si="3"/>
        <v>411564.77</v>
      </c>
      <c r="G69" t="s">
        <v>595</v>
      </c>
      <c r="H69" t="s">
        <v>596</v>
      </c>
      <c r="K69" s="76">
        <v>45890</v>
      </c>
    </row>
    <row r="70" spans="1:8">
      <c r="A70" t="s">
        <v>592</v>
      </c>
      <c r="B70" s="30">
        <v>45890</v>
      </c>
      <c r="D70">
        <v>1353.14</v>
      </c>
      <c r="F70" s="51">
        <f t="shared" si="3"/>
        <v>410211.63</v>
      </c>
      <c r="G70" t="s">
        <v>93</v>
      </c>
      <c r="H70" t="s">
        <v>590</v>
      </c>
    </row>
    <row r="71" spans="1:8">
      <c r="A71" t="s">
        <v>588</v>
      </c>
      <c r="B71" s="30">
        <v>45890</v>
      </c>
      <c r="E71">
        <v>10489.49</v>
      </c>
      <c r="F71" s="51">
        <f t="shared" si="3"/>
        <v>420701.12</v>
      </c>
      <c r="G71" t="s">
        <v>31</v>
      </c>
      <c r="H71" t="s">
        <v>35</v>
      </c>
    </row>
    <row r="72" spans="1:8">
      <c r="A72" t="s">
        <v>587</v>
      </c>
      <c r="B72" s="30">
        <v>45890</v>
      </c>
      <c r="E72">
        <v>40.15</v>
      </c>
      <c r="F72" s="51">
        <f t="shared" si="3"/>
        <v>420741.27</v>
      </c>
      <c r="G72" t="s">
        <v>31</v>
      </c>
      <c r="H72" t="s">
        <v>32</v>
      </c>
    </row>
    <row r="73" spans="1:8">
      <c r="A73" t="s">
        <v>574</v>
      </c>
      <c r="B73" s="30">
        <v>45890</v>
      </c>
      <c r="E73">
        <v>350</v>
      </c>
      <c r="F73" s="51">
        <f t="shared" si="3"/>
        <v>421091.27</v>
      </c>
      <c r="G73" t="s">
        <v>31</v>
      </c>
      <c r="H73" t="s">
        <v>62</v>
      </c>
    </row>
    <row r="74" spans="1:8">
      <c r="A74" t="s">
        <v>589</v>
      </c>
      <c r="B74" s="30">
        <v>45890</v>
      </c>
      <c r="D74">
        <v>77805.69</v>
      </c>
      <c r="F74" s="51">
        <f t="shared" si="3"/>
        <v>343285.58</v>
      </c>
      <c r="G74" t="s">
        <v>93</v>
      </c>
      <c r="H74" t="s">
        <v>590</v>
      </c>
    </row>
    <row r="75" spans="1:11">
      <c r="A75" t="s">
        <v>592</v>
      </c>
      <c r="B75" s="30">
        <v>45891</v>
      </c>
      <c r="D75">
        <v>158.16</v>
      </c>
      <c r="E75"/>
      <c r="F75" s="51">
        <f t="shared" si="3"/>
        <v>343127.42</v>
      </c>
      <c r="G75" s="34" t="s">
        <v>518</v>
      </c>
      <c r="I75" t="s">
        <v>597</v>
      </c>
      <c r="K75" s="61" t="s">
        <v>146</v>
      </c>
    </row>
    <row r="76" spans="1:8">
      <c r="A76" t="s">
        <v>598</v>
      </c>
      <c r="B76" s="30">
        <v>45891</v>
      </c>
      <c r="D76">
        <v>10000</v>
      </c>
      <c r="F76" s="51">
        <f t="shared" si="3"/>
        <v>333127.42</v>
      </c>
      <c r="G76" t="s">
        <v>599</v>
      </c>
      <c r="H76" t="s">
        <v>600</v>
      </c>
    </row>
    <row r="77" spans="1:8">
      <c r="A77" t="s">
        <v>588</v>
      </c>
      <c r="B77" s="30">
        <v>45891</v>
      </c>
      <c r="E77">
        <v>11594.34</v>
      </c>
      <c r="F77" s="51">
        <f t="shared" si="3"/>
        <v>344721.76</v>
      </c>
      <c r="G77" t="s">
        <v>31</v>
      </c>
      <c r="H77" t="s">
        <v>35</v>
      </c>
    </row>
    <row r="78" spans="1:8">
      <c r="A78" t="s">
        <v>574</v>
      </c>
      <c r="B78" s="30">
        <v>45891</v>
      </c>
      <c r="E78">
        <v>443</v>
      </c>
      <c r="F78" s="51">
        <f t="shared" si="3"/>
        <v>345164.76</v>
      </c>
      <c r="G78" t="s">
        <v>31</v>
      </c>
      <c r="H78" t="s">
        <v>62</v>
      </c>
    </row>
    <row r="79" spans="1:11">
      <c r="A79" t="s">
        <v>594</v>
      </c>
      <c r="B79" s="30">
        <v>45891</v>
      </c>
      <c r="D79">
        <v>56.15</v>
      </c>
      <c r="F79" s="51">
        <f t="shared" si="3"/>
        <v>345108.61</v>
      </c>
      <c r="G79" t="s">
        <v>595</v>
      </c>
      <c r="H79" t="s">
        <v>596</v>
      </c>
      <c r="K79" s="61" t="s">
        <v>146</v>
      </c>
    </row>
    <row r="80" spans="1:8">
      <c r="A80" t="s">
        <v>574</v>
      </c>
      <c r="B80" s="30">
        <v>45894</v>
      </c>
      <c r="E80">
        <v>555</v>
      </c>
      <c r="F80" s="51">
        <f t="shared" si="3"/>
        <v>345663.61</v>
      </c>
      <c r="G80" t="s">
        <v>31</v>
      </c>
      <c r="H80" t="s">
        <v>62</v>
      </c>
    </row>
    <row r="81" spans="1:8">
      <c r="A81" t="s">
        <v>588</v>
      </c>
      <c r="B81" s="30">
        <v>45894</v>
      </c>
      <c r="E81">
        <v>11712.77</v>
      </c>
      <c r="F81" s="51">
        <f t="shared" si="3"/>
        <v>357376.38</v>
      </c>
      <c r="G81" t="s">
        <v>31</v>
      </c>
      <c r="H81" t="s">
        <v>35</v>
      </c>
    </row>
    <row r="82" spans="1:8">
      <c r="A82" t="s">
        <v>587</v>
      </c>
      <c r="B82" s="30">
        <v>45894</v>
      </c>
      <c r="E82">
        <v>265.99</v>
      </c>
      <c r="F82" s="51">
        <f t="shared" si="3"/>
        <v>357642.37</v>
      </c>
      <c r="G82" t="s">
        <v>31</v>
      </c>
      <c r="H82" t="s">
        <v>32</v>
      </c>
    </row>
    <row r="83" spans="1:8">
      <c r="A83" t="s">
        <v>574</v>
      </c>
      <c r="B83" s="30">
        <v>45894</v>
      </c>
      <c r="E83">
        <v>221</v>
      </c>
      <c r="F83" s="51">
        <f t="shared" si="3"/>
        <v>357863.37</v>
      </c>
      <c r="G83" t="s">
        <v>31</v>
      </c>
      <c r="H83" t="s">
        <v>62</v>
      </c>
    </row>
    <row r="84" spans="1:8">
      <c r="A84" t="s">
        <v>574</v>
      </c>
      <c r="B84" s="30">
        <v>45894</v>
      </c>
      <c r="E84">
        <v>566</v>
      </c>
      <c r="F84" s="51">
        <f t="shared" si="3"/>
        <v>358429.37</v>
      </c>
      <c r="G84" t="s">
        <v>31</v>
      </c>
      <c r="H84" t="s">
        <v>62</v>
      </c>
    </row>
  </sheetData>
  <autoFilter xmlns:etc="http://www.wps.cn/officeDocument/2017/etCustomData" ref="A2:L84" etc:filterBottomFollowUsedRange="0">
    <sortState ref="A2:L84">
      <sortCondition ref="B2"/>
    </sortState>
    <extLst/>
  </autoFilter>
  <conditionalFormatting sqref="I1">
    <cfRule type="containsText" dxfId="0" priority="147" operator="between" text="待">
      <formula>NOT(ISERROR(SEARCH("待",I1)))</formula>
    </cfRule>
  </conditionalFormatting>
  <conditionalFormatting sqref="K1:L1">
    <cfRule type="containsText" dxfId="0" priority="148" operator="between" text="待附件">
      <formula>NOT(ISERROR(SEARCH("待附件",K1)))</formula>
    </cfRule>
    <cfRule type="containsText" dxfId="0" priority="149" operator="between" text="待提单">
      <formula>NOT(ISERROR(SEARCH("待提单",K1)))</formula>
    </cfRule>
  </conditionalFormatting>
  <conditionalFormatting sqref="G2">
    <cfRule type="containsText" dxfId="0" priority="112" operator="between" text="待">
      <formula>NOT(ISERROR(SEARCH("待",G2)))</formula>
    </cfRule>
  </conditionalFormatting>
  <conditionalFormatting sqref="L2">
    <cfRule type="containsText" dxfId="0" priority="145" operator="between" text="待">
      <formula>NOT(ISERROR(SEARCH("待",L2)))</formula>
    </cfRule>
  </conditionalFormatting>
  <conditionalFormatting sqref="G3">
    <cfRule type="containsText" dxfId="0" priority="70" operator="between" text="待">
      <formula>NOT(ISERROR(SEARCH("待",G3)))</formula>
    </cfRule>
  </conditionalFormatting>
  <conditionalFormatting sqref="H3">
    <cfRule type="containsText" dxfId="2" priority="71" operator="between" text="待">
      <formula>NOT(ISERROR(SEARCH("待",H3)))</formula>
    </cfRule>
  </conditionalFormatting>
  <conditionalFormatting sqref="I3">
    <cfRule type="duplicateValues" dxfId="3" priority="73"/>
    <cfRule type="containsText" dxfId="0" priority="72" operator="between" text="待">
      <formula>NOT(ISERROR(SEARCH("待",I3)))</formula>
    </cfRule>
  </conditionalFormatting>
  <conditionalFormatting sqref="G4">
    <cfRule type="containsText" dxfId="0" priority="102" operator="between" text="待">
      <formula>NOT(ISERROR(SEARCH("待",G4)))</formula>
    </cfRule>
  </conditionalFormatting>
  <conditionalFormatting sqref="G5">
    <cfRule type="containsText" dxfId="0" priority="86" operator="between" text="待">
      <formula>NOT(ISERROR(SEARCH("待",G5)))</formula>
    </cfRule>
    <cfRule type="containsText" dxfId="1" priority="87" operator="between" text="/">
      <formula>NOT(ISERROR(SEARCH("/",G5)))</formula>
    </cfRule>
  </conditionalFormatting>
  <conditionalFormatting sqref="H5">
    <cfRule type="containsText" dxfId="0" priority="88" operator="between" text="待">
      <formula>NOT(ISERROR(SEARCH("待",H5)))</formula>
    </cfRule>
    <cfRule type="containsText" dxfId="1" priority="89" operator="between" text="/">
      <formula>NOT(ISERROR(SEARCH("/",H5)))</formula>
    </cfRule>
  </conditionalFormatting>
  <conditionalFormatting sqref="G6:H6">
    <cfRule type="containsText" dxfId="0" priority="97" operator="between" text="待">
      <formula>NOT(ISERROR(SEARCH("待",G6)))</formula>
    </cfRule>
  </conditionalFormatting>
  <conditionalFormatting sqref="G7">
    <cfRule type="containsText" dxfId="0" priority="98" operator="between" text="待">
      <formula>NOT(ISERROR(SEARCH("待",G7)))</formula>
    </cfRule>
  </conditionalFormatting>
  <conditionalFormatting sqref="H7">
    <cfRule type="containsText" dxfId="0" priority="95" operator="between" text="待">
      <formula>NOT(ISERROR(SEARCH("待",H7)))</formula>
    </cfRule>
  </conditionalFormatting>
  <conditionalFormatting sqref="G10">
    <cfRule type="containsText" dxfId="0" priority="99" operator="between" text="待">
      <formula>NOT(ISERROR(SEARCH("待",G10)))</formula>
    </cfRule>
  </conditionalFormatting>
  <conditionalFormatting sqref="G11">
    <cfRule type="containsText" dxfId="0" priority="96" operator="between" text="待">
      <formula>NOT(ISERROR(SEARCH("待",G11)))</formula>
    </cfRule>
  </conditionalFormatting>
  <conditionalFormatting sqref="G12">
    <cfRule type="containsText" dxfId="0" priority="90" operator="between" text="待">
      <formula>NOT(ISERROR(SEARCH("待",G12)))</formula>
    </cfRule>
    <cfRule type="containsText" dxfId="1" priority="91" operator="between" text="/">
      <formula>NOT(ISERROR(SEARCH("/",G12)))</formula>
    </cfRule>
  </conditionalFormatting>
  <conditionalFormatting sqref="H12">
    <cfRule type="containsText" dxfId="0" priority="92" operator="between" text="待">
      <formula>NOT(ISERROR(SEARCH("待",H12)))</formula>
    </cfRule>
    <cfRule type="containsText" dxfId="1" priority="93" operator="between" text="/">
      <formula>NOT(ISERROR(SEARCH("/",H12)))</formula>
    </cfRule>
  </conditionalFormatting>
  <conditionalFormatting sqref="G13">
    <cfRule type="containsText" dxfId="1" priority="46" operator="between" text="/">
      <formula>NOT(ISERROR(SEARCH("/",G13)))</formula>
    </cfRule>
    <cfRule type="containsText" dxfId="0" priority="45" operator="between" text="待">
      <formula>NOT(ISERROR(SEARCH("待",G13)))</formula>
    </cfRule>
  </conditionalFormatting>
  <conditionalFormatting sqref="H13">
    <cfRule type="containsText" dxfId="1" priority="48" operator="between" text="/">
      <formula>NOT(ISERROR(SEARCH("/",H13)))</formula>
    </cfRule>
    <cfRule type="containsText" dxfId="0" priority="47" operator="between" text="待">
      <formula>NOT(ISERROR(SEARCH("待",H13)))</formula>
    </cfRule>
  </conditionalFormatting>
  <conditionalFormatting sqref="I13">
    <cfRule type="containsText" dxfId="2" priority="49" operator="between" text="待">
      <formula>NOT(ISERROR(SEARCH("待",I13)))</formula>
    </cfRule>
  </conditionalFormatting>
  <conditionalFormatting sqref="G14">
    <cfRule type="containsText" dxfId="0" priority="31" operator="between" text="待">
      <formula>NOT(ISERROR(SEARCH("待",G14)))</formula>
    </cfRule>
  </conditionalFormatting>
  <conditionalFormatting sqref="G15:H15">
    <cfRule type="containsText" dxfId="0" priority="79" operator="between" text="待">
      <formula>NOT(ISERROR(SEARCH("待",G15)))</formula>
    </cfRule>
  </conditionalFormatting>
  <conditionalFormatting sqref="H15">
    <cfRule type="containsText" dxfId="1" priority="78" operator="between" text="/">
      <formula>NOT(ISERROR(SEARCH("/",H15)))</formula>
    </cfRule>
  </conditionalFormatting>
  <conditionalFormatting sqref="I15">
    <cfRule type="containsText" dxfId="0" priority="77" operator="between" text="待">
      <formula>NOT(ISERROR(SEARCH("待",I15)))</formula>
    </cfRule>
  </conditionalFormatting>
  <conditionalFormatting sqref="G16:H16">
    <cfRule type="containsText" dxfId="0" priority="76" operator="between" text="待">
      <formula>NOT(ISERROR(SEARCH("待",G16)))</formula>
    </cfRule>
  </conditionalFormatting>
  <conditionalFormatting sqref="H16">
    <cfRule type="containsText" dxfId="1" priority="75" operator="between" text="/">
      <formula>NOT(ISERROR(SEARCH("/",H16)))</formula>
    </cfRule>
  </conditionalFormatting>
  <conditionalFormatting sqref="I16">
    <cfRule type="containsText" dxfId="0" priority="74" operator="between" text="待">
      <formula>NOT(ISERROR(SEARCH("待",I16)))</formula>
    </cfRule>
  </conditionalFormatting>
  <conditionalFormatting sqref="G17">
    <cfRule type="containsText" dxfId="0" priority="82" operator="between" text="待">
      <formula>NOT(ISERROR(SEARCH("待",G17)))</formula>
    </cfRule>
  </conditionalFormatting>
  <conditionalFormatting sqref="H18">
    <cfRule type="containsText" dxfId="1" priority="60" operator="between" text="/">
      <formula>NOT(ISERROR(SEARCH("/",H18)))</formula>
    </cfRule>
  </conditionalFormatting>
  <conditionalFormatting sqref="H19">
    <cfRule type="containsText" dxfId="1" priority="59" operator="between" text="/">
      <formula>NOT(ISERROR(SEARCH("/",H19)))</formula>
    </cfRule>
  </conditionalFormatting>
  <conditionalFormatting sqref="G20:H20">
    <cfRule type="containsText" dxfId="0" priority="67" operator="between" text="待">
      <formula>NOT(ISERROR(SEARCH("待",G20)))</formula>
    </cfRule>
  </conditionalFormatting>
  <conditionalFormatting sqref="H20">
    <cfRule type="containsText" dxfId="1" priority="68" operator="between" text="/">
      <formula>NOT(ISERROR(SEARCH("/",H20)))</formula>
    </cfRule>
  </conditionalFormatting>
  <conditionalFormatting sqref="G21:H21">
    <cfRule type="containsText" dxfId="0" priority="56" operator="between" text="待">
      <formula>NOT(ISERROR(SEARCH("待",G21)))</formula>
    </cfRule>
  </conditionalFormatting>
  <conditionalFormatting sqref="H21">
    <cfRule type="containsText" dxfId="1" priority="57" operator="between" text="/">
      <formula>NOT(ISERROR(SEARCH("/",H21)))</formula>
    </cfRule>
  </conditionalFormatting>
  <conditionalFormatting sqref="H22">
    <cfRule type="containsText" dxfId="1" priority="66" operator="between" text="/">
      <formula>NOT(ISERROR(SEARCH("/",H22)))</formula>
    </cfRule>
  </conditionalFormatting>
  <conditionalFormatting sqref="H23">
    <cfRule type="containsText" dxfId="1" priority="65" operator="between" text="/">
      <formula>NOT(ISERROR(SEARCH("/",H23)))</formula>
    </cfRule>
  </conditionalFormatting>
  <conditionalFormatting sqref="H24">
    <cfRule type="containsText" dxfId="1" priority="64" operator="between" text="/">
      <formula>NOT(ISERROR(SEARCH("/",H24)))</formula>
    </cfRule>
  </conditionalFormatting>
  <conditionalFormatting sqref="G25:H25">
    <cfRule type="containsText" dxfId="0" priority="54" operator="between" text="待">
      <formula>NOT(ISERROR(SEARCH("待",G25)))</formula>
    </cfRule>
  </conditionalFormatting>
  <conditionalFormatting sqref="H25">
    <cfRule type="containsText" dxfId="1" priority="55" operator="between" text="/">
      <formula>NOT(ISERROR(SEARCH("/",H25)))</formula>
    </cfRule>
  </conditionalFormatting>
  <conditionalFormatting sqref="G26:H26">
    <cfRule type="containsText" dxfId="0" priority="61" operator="between" text="待">
      <formula>NOT(ISERROR(SEARCH("待",G26)))</formula>
    </cfRule>
  </conditionalFormatting>
  <conditionalFormatting sqref="H26">
    <cfRule type="containsText" dxfId="1" priority="62" operator="between" text="/">
      <formula>NOT(ISERROR(SEARCH("/",H26)))</formula>
    </cfRule>
  </conditionalFormatting>
  <conditionalFormatting sqref="G27:H27">
    <cfRule type="containsText" dxfId="0" priority="52" operator="between" text="待">
      <formula>NOT(ISERROR(SEARCH("待",G27)))</formula>
    </cfRule>
  </conditionalFormatting>
  <conditionalFormatting sqref="H27">
    <cfRule type="containsText" dxfId="1" priority="53" operator="between" text="/">
      <formula>NOT(ISERROR(SEARCH("/",H27)))</formula>
    </cfRule>
  </conditionalFormatting>
  <conditionalFormatting sqref="G28">
    <cfRule type="containsText" dxfId="2" priority="69" operator="between" text="待">
      <formula>NOT(ISERROR(SEARCH("待",G28)))</formula>
    </cfRule>
  </conditionalFormatting>
  <conditionalFormatting sqref="G29">
    <cfRule type="containsText" dxfId="0" priority="30" operator="between" text="待">
      <formula>NOT(ISERROR(SEARCH("待",G29)))</formula>
    </cfRule>
  </conditionalFormatting>
  <conditionalFormatting sqref="H29">
    <cfRule type="containsText" dxfId="2" priority="33" operator="between" text="待">
      <formula>NOT(ISERROR(SEARCH("待",H29)))</formula>
    </cfRule>
  </conditionalFormatting>
  <conditionalFormatting sqref="G30">
    <cfRule type="containsText" dxfId="0" priority="51" operator="between" text="待">
      <formula>NOT(ISERROR(SEARCH("待",G30)))</formula>
    </cfRule>
  </conditionalFormatting>
  <conditionalFormatting sqref="H30">
    <cfRule type="containsText" dxfId="0" priority="50" operator="between" text="待">
      <formula>NOT(ISERROR(SEARCH("待",H30)))</formula>
    </cfRule>
  </conditionalFormatting>
  <conditionalFormatting sqref="G37">
    <cfRule type="containsText" dxfId="0" priority="29" operator="between" text="待">
      <formula>NOT(ISERROR(SEARCH("待",G37)))</formula>
    </cfRule>
  </conditionalFormatting>
  <conditionalFormatting sqref="H39">
    <cfRule type="containsText" dxfId="2" priority="38" operator="between" text="待">
      <formula>NOT(ISERROR(SEARCH("待",H39)))</formula>
    </cfRule>
  </conditionalFormatting>
  <conditionalFormatting sqref="H40">
    <cfRule type="containsText" dxfId="2" priority="39" operator="between" text="待">
      <formula>NOT(ISERROR(SEARCH("待",H40)))</formula>
    </cfRule>
  </conditionalFormatting>
  <conditionalFormatting sqref="H41">
    <cfRule type="containsText" dxfId="2" priority="41" operator="between" text="待">
      <formula>NOT(ISERROR(SEARCH("待",H41)))</formula>
    </cfRule>
  </conditionalFormatting>
  <conditionalFormatting sqref="H42">
    <cfRule type="containsText" dxfId="2" priority="40" operator="between" text="待">
      <formula>NOT(ISERROR(SEARCH("待",H42)))</formula>
    </cfRule>
  </conditionalFormatting>
  <conditionalFormatting sqref="H43">
    <cfRule type="containsText" dxfId="2" priority="43" operator="between" text="待">
      <formula>NOT(ISERROR(SEARCH("待",H43)))</formula>
    </cfRule>
  </conditionalFormatting>
  <conditionalFormatting sqref="H44">
    <cfRule type="containsText" dxfId="2" priority="42" operator="between" text="待">
      <formula>NOT(ISERROR(SEARCH("待",H44)))</formula>
    </cfRule>
  </conditionalFormatting>
  <conditionalFormatting sqref="G45">
    <cfRule type="containsText" dxfId="0" priority="27" operator="between" text="待">
      <formula>NOT(ISERROR(SEARCH("待",G45)))</formula>
    </cfRule>
  </conditionalFormatting>
  <conditionalFormatting sqref="G48">
    <cfRule type="containsText" dxfId="0" priority="28" operator="between" text="待">
      <formula>NOT(ISERROR(SEARCH("待",G48)))</formula>
    </cfRule>
  </conditionalFormatting>
  <conditionalFormatting sqref="H49">
    <cfRule type="containsText" dxfId="2" priority="35" operator="between" text="待">
      <formula>NOT(ISERROR(SEARCH("待",H49)))</formula>
    </cfRule>
  </conditionalFormatting>
  <conditionalFormatting sqref="H50">
    <cfRule type="containsText" dxfId="2" priority="36" operator="between" text="待">
      <formula>NOT(ISERROR(SEARCH("待",H50)))</formula>
    </cfRule>
  </conditionalFormatting>
  <conditionalFormatting sqref="H51">
    <cfRule type="containsText" dxfId="2" priority="26" operator="between" text="待">
      <formula>NOT(ISERROR(SEARCH("待",H51)))</formula>
    </cfRule>
  </conditionalFormatting>
  <conditionalFormatting sqref="H52">
    <cfRule type="containsText" dxfId="2" priority="22" operator="between" text="待">
      <formula>NOT(ISERROR(SEARCH("待",H52)))</formula>
    </cfRule>
  </conditionalFormatting>
  <conditionalFormatting sqref="H53">
    <cfRule type="containsText" dxfId="2" priority="23" operator="between" text="待">
      <formula>NOT(ISERROR(SEARCH("待",H53)))</formula>
    </cfRule>
  </conditionalFormatting>
  <conditionalFormatting sqref="H54">
    <cfRule type="containsText" dxfId="2" priority="25" operator="between" text="待">
      <formula>NOT(ISERROR(SEARCH("待",H54)))</formula>
    </cfRule>
  </conditionalFormatting>
  <conditionalFormatting sqref="H55">
    <cfRule type="containsText" dxfId="2" priority="24" operator="between" text="待">
      <formula>NOT(ISERROR(SEARCH("待",H55)))</formula>
    </cfRule>
  </conditionalFormatting>
  <conditionalFormatting sqref="H57">
    <cfRule type="containsText" dxfId="2" priority="11" operator="between" text="待">
      <formula>NOT(ISERROR(SEARCH("待",H57)))</formula>
    </cfRule>
  </conditionalFormatting>
  <conditionalFormatting sqref="I57">
    <cfRule type="containsText" dxfId="0" priority="6" operator="between" text="待">
      <formula>NOT(ISERROR(SEARCH("待",I57)))</formula>
    </cfRule>
  </conditionalFormatting>
  <conditionalFormatting sqref="H58">
    <cfRule type="containsText" dxfId="2" priority="19" operator="between" text="待">
      <formula>NOT(ISERROR(SEARCH("待",H58)))</formula>
    </cfRule>
  </conditionalFormatting>
  <conditionalFormatting sqref="G59">
    <cfRule type="containsText" dxfId="0" priority="12" operator="between" text="待">
      <formula>NOT(ISERROR(SEARCH("待",G59)))</formula>
    </cfRule>
  </conditionalFormatting>
  <conditionalFormatting sqref="H60">
    <cfRule type="containsText" dxfId="2" priority="20" operator="between" text="待">
      <formula>NOT(ISERROR(SEARCH("待",H60)))</formula>
    </cfRule>
  </conditionalFormatting>
  <conditionalFormatting sqref="H61">
    <cfRule type="containsText" dxfId="2" priority="21" operator="between" text="待">
      <formula>NOT(ISERROR(SEARCH("待",H61)))</formula>
    </cfRule>
  </conditionalFormatting>
  <conditionalFormatting sqref="H63">
    <cfRule type="containsText" dxfId="2" priority="18" operator="between" text="待">
      <formula>NOT(ISERROR(SEARCH("待",H63)))</formula>
    </cfRule>
  </conditionalFormatting>
  <conditionalFormatting sqref="H64">
    <cfRule type="containsText" dxfId="2" priority="15" operator="between" text="待">
      <formula>NOT(ISERROR(SEARCH("待",H64)))</formula>
    </cfRule>
  </conditionalFormatting>
  <conditionalFormatting sqref="H65">
    <cfRule type="containsText" dxfId="2" priority="17" operator="between" text="待">
      <formula>NOT(ISERROR(SEARCH("待",H65)))</formula>
    </cfRule>
  </conditionalFormatting>
  <conditionalFormatting sqref="H66">
    <cfRule type="containsText" dxfId="2" priority="16" operator="between" text="待">
      <formula>NOT(ISERROR(SEARCH("待",H66)))</formula>
    </cfRule>
  </conditionalFormatting>
  <conditionalFormatting sqref="H67">
    <cfRule type="containsText" dxfId="2" priority="14" operator="between" text="待">
      <formula>NOT(ISERROR(SEARCH("待",H67)))</formula>
    </cfRule>
  </conditionalFormatting>
  <conditionalFormatting sqref="H68">
    <cfRule type="containsText" dxfId="2" priority="13" operator="between" text="待">
      <formula>NOT(ISERROR(SEARCH("待",H68)))</formula>
    </cfRule>
  </conditionalFormatting>
  <conditionalFormatting sqref="G75">
    <cfRule type="containsText" dxfId="0" priority="9" operator="between" text="待">
      <formula>NOT(ISERROR(SEARCH("待",G75)))</formula>
    </cfRule>
  </conditionalFormatting>
  <conditionalFormatting sqref="G76">
    <cfRule type="containsText" dxfId="2" priority="7" operator="between" text="待">
      <formula>NOT(ISERROR(SEARCH("待",G76)))</formula>
    </cfRule>
  </conditionalFormatting>
  <conditionalFormatting sqref="H77">
    <cfRule type="containsText" dxfId="2" priority="10" operator="between" text="待">
      <formula>NOT(ISERROR(SEARCH("待",H77)))</formula>
    </cfRule>
  </conditionalFormatting>
  <conditionalFormatting sqref="H78">
    <cfRule type="containsText" dxfId="2" priority="8" operator="between" text="待">
      <formula>NOT(ISERROR(SEARCH("待",H78)))</formula>
    </cfRule>
  </conditionalFormatting>
  <conditionalFormatting sqref="H80">
    <cfRule type="containsText" dxfId="2" priority="5" operator="between" text="待">
      <formula>NOT(ISERROR(SEARCH("待",H80)))</formula>
    </cfRule>
  </conditionalFormatting>
  <conditionalFormatting sqref="H81">
    <cfRule type="containsText" dxfId="2" priority="4" operator="between" text="待">
      <formula>NOT(ISERROR(SEARCH("待",H81)))</formula>
    </cfRule>
  </conditionalFormatting>
  <conditionalFormatting sqref="H82">
    <cfRule type="containsText" dxfId="2" priority="3" operator="between" text="待">
      <formula>NOT(ISERROR(SEARCH("待",H82)))</formula>
    </cfRule>
  </conditionalFormatting>
  <conditionalFormatting sqref="H83">
    <cfRule type="containsText" dxfId="2" priority="2" operator="between" text="待">
      <formula>NOT(ISERROR(SEARCH("待",H83)))</formula>
    </cfRule>
  </conditionalFormatting>
  <conditionalFormatting sqref="H84">
    <cfRule type="containsText" dxfId="2" priority="1" operator="between" text="待">
      <formula>NOT(ISERROR(SEARCH("待",H84)))</formula>
    </cfRule>
  </conditionalFormatting>
  <conditionalFormatting sqref="G8:G9">
    <cfRule type="containsText" dxfId="0" priority="103" operator="between" text="待">
      <formula>NOT(ISERROR(SEARCH("待",G8)))</formula>
    </cfRule>
  </conditionalFormatting>
  <conditionalFormatting sqref="H10:H11">
    <cfRule type="containsText" dxfId="0" priority="94" operator="between" text="待">
      <formula>NOT(ISERROR(SEARCH("待",H10)))</formula>
    </cfRule>
  </conditionalFormatting>
  <conditionalFormatting sqref="I1:I2">
    <cfRule type="duplicateValues" dxfId="3" priority="1115"/>
  </conditionalFormatting>
  <conditionalFormatting sqref="H1:H2 H4 H8:H9 H14 H28 H31:H38 H45:H48 H59 H71:H73 H75:H76 H85:H1048576 H62">
    <cfRule type="containsText" dxfId="2" priority="113" operator="between" text="待">
      <formula>NOT(ISERROR(SEARCH("待",H1)))</formula>
    </cfRule>
  </conditionalFormatting>
  <conditionalFormatting sqref="I4:I12 I14 I17">
    <cfRule type="containsText" dxfId="2" priority="101" operator="between" text="待">
      <formula>NOT(ISERROR(SEARCH("待",I4)))</formula>
    </cfRule>
  </conditionalFormatting>
  <conditionalFormatting sqref="G18:H19">
    <cfRule type="containsText" dxfId="0" priority="58" operator="between" text="待">
      <formula>NOT(ISERROR(SEARCH("待",G18)))</formula>
    </cfRule>
  </conditionalFormatting>
  <conditionalFormatting sqref="G22:H24">
    <cfRule type="containsText" dxfId="0" priority="63" operator="between" text="待">
      <formula>NOT(ISERROR(SEARCH("待",G22)))</formula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M32"/>
  <sheetViews>
    <sheetView zoomScale="88" zoomScaleNormal="88" workbookViewId="0">
      <pane xSplit="1" ySplit="2" topLeftCell="B3" activePane="bottomRight" state="frozen"/>
      <selection/>
      <selection pane="topRight"/>
      <selection pane="bottomLeft"/>
      <selection pane="bottomRight" activeCell="H18" sqref="H18"/>
    </sheetView>
  </sheetViews>
  <sheetFormatPr defaultColWidth="9" defaultRowHeight="15"/>
  <cols>
    <col min="1" max="1" width="37.8571428571429" style="19" customWidth="1"/>
    <col min="2" max="3" width="15.1428571428571" style="19" customWidth="1"/>
    <col min="4" max="4" width="12.1428571428571" style="19" customWidth="1"/>
    <col min="5" max="5" width="13.4285714285714" style="19" customWidth="1"/>
    <col min="6" max="6" width="12.1428571428571" style="19" customWidth="1"/>
    <col min="7" max="7" width="15" style="19" customWidth="1"/>
    <col min="8" max="8" width="67.8571428571429" style="19" customWidth="1"/>
    <col min="9" max="9" width="19.2857142857143" style="45" customWidth="1"/>
    <col min="10" max="10" width="11.1428571428571" style="46" customWidth="1"/>
    <col min="11" max="12" width="23.7142857142857" style="19" customWidth="1"/>
    <col min="13" max="13" width="6.14285714285714" style="19" customWidth="1"/>
    <col min="14" max="16384" width="9" style="19" customWidth="1"/>
  </cols>
  <sheetData>
    <row r="1" spans="1:13">
      <c r="A1" s="47" t="s">
        <v>601</v>
      </c>
      <c r="B1" s="48"/>
      <c r="C1" s="49"/>
      <c r="D1" s="24"/>
      <c r="E1" s="24"/>
      <c r="F1" s="24"/>
      <c r="G1" s="24"/>
      <c r="H1" s="25"/>
      <c r="I1" s="53"/>
      <c r="J1" s="38"/>
      <c r="K1" s="37"/>
      <c r="L1" s="37"/>
      <c r="M1" s="37"/>
    </row>
    <row r="2" ht="17" customHeight="1" spans="1:13">
      <c r="A2" s="26" t="s">
        <v>482</v>
      </c>
      <c r="B2" s="27" t="s">
        <v>483</v>
      </c>
      <c r="C2" s="27" t="s">
        <v>484</v>
      </c>
      <c r="D2" s="26" t="s">
        <v>485</v>
      </c>
      <c r="E2" s="26" t="s">
        <v>486</v>
      </c>
      <c r="F2" s="26" t="s">
        <v>407</v>
      </c>
      <c r="G2" s="28" t="s">
        <v>8</v>
      </c>
      <c r="H2" s="28" t="s">
        <v>9</v>
      </c>
      <c r="I2" s="54" t="s">
        <v>10</v>
      </c>
      <c r="J2" s="39" t="s">
        <v>516</v>
      </c>
      <c r="K2" s="28" t="s">
        <v>12</v>
      </c>
      <c r="L2" s="28" t="s">
        <v>13</v>
      </c>
      <c r="M2" s="40" t="s">
        <v>11</v>
      </c>
    </row>
    <row r="3" s="20" customFormat="1" ht="34" customHeight="1" spans="1:13">
      <c r="A3" s="50" t="s">
        <v>602</v>
      </c>
      <c r="B3" s="30">
        <v>45870</v>
      </c>
      <c r="C3" s="31" t="s">
        <v>20</v>
      </c>
      <c r="D3" s="32">
        <v>1353.34</v>
      </c>
      <c r="E3" s="32" t="s">
        <v>20</v>
      </c>
      <c r="F3" s="51">
        <f>81566.78-D3</f>
        <v>80213.44</v>
      </c>
      <c r="G3" s="34" t="s">
        <v>518</v>
      </c>
      <c r="H3" s="36" t="s">
        <v>518</v>
      </c>
      <c r="I3" s="55" t="s">
        <v>603</v>
      </c>
      <c r="J3" s="42">
        <v>45870</v>
      </c>
      <c r="K3" s="42" t="s">
        <v>20</v>
      </c>
      <c r="L3" s="42" t="s">
        <v>20</v>
      </c>
      <c r="M3" s="42"/>
    </row>
    <row r="4" s="20" customFormat="1" ht="34" customHeight="1" spans="1:13">
      <c r="A4" s="50" t="s">
        <v>488</v>
      </c>
      <c r="B4" s="30">
        <v>45874</v>
      </c>
      <c r="C4" s="31" t="s">
        <v>20</v>
      </c>
      <c r="D4" s="32" t="s">
        <v>20</v>
      </c>
      <c r="E4" s="32">
        <v>300000</v>
      </c>
      <c r="F4" s="51">
        <f t="shared" ref="F4:F12" si="0">F3-IF(ISNUMBER(D4),D4,0)+IF(ISNUMBER(E4),E4,0)</f>
        <v>380213.44</v>
      </c>
      <c r="G4" s="34" t="s">
        <v>65</v>
      </c>
      <c r="H4" s="36" t="s">
        <v>489</v>
      </c>
      <c r="I4" s="55"/>
      <c r="J4" s="42" t="s">
        <v>20</v>
      </c>
      <c r="K4" s="42" t="s">
        <v>20</v>
      </c>
      <c r="L4" s="42" t="s">
        <v>20</v>
      </c>
      <c r="M4" s="42"/>
    </row>
    <row r="5" s="20" customFormat="1" ht="17" customHeight="1" spans="1:13">
      <c r="A5" s="50" t="s">
        <v>533</v>
      </c>
      <c r="B5" s="30">
        <v>45875</v>
      </c>
      <c r="C5" s="31" t="s">
        <v>20</v>
      </c>
      <c r="D5" s="32">
        <v>1669.57</v>
      </c>
      <c r="E5" s="32" t="s">
        <v>20</v>
      </c>
      <c r="F5" s="51">
        <f t="shared" si="0"/>
        <v>378543.87</v>
      </c>
      <c r="G5" s="34" t="s">
        <v>518</v>
      </c>
      <c r="H5" s="34" t="s">
        <v>518</v>
      </c>
      <c r="I5" s="56" t="s">
        <v>604</v>
      </c>
      <c r="J5" s="44">
        <v>45875</v>
      </c>
      <c r="K5" s="42" t="s">
        <v>20</v>
      </c>
      <c r="L5" s="42" t="s">
        <v>20</v>
      </c>
      <c r="M5" s="42"/>
    </row>
    <row r="6" s="20" customFormat="1" ht="17" customHeight="1" spans="1:13">
      <c r="A6" s="50" t="s">
        <v>533</v>
      </c>
      <c r="B6" s="30">
        <v>45875</v>
      </c>
      <c r="C6" s="31" t="s">
        <v>20</v>
      </c>
      <c r="D6" s="32">
        <v>90594.73</v>
      </c>
      <c r="E6" s="32" t="s">
        <v>20</v>
      </c>
      <c r="F6" s="51">
        <f t="shared" si="0"/>
        <v>287949.14</v>
      </c>
      <c r="G6" s="34" t="s">
        <v>518</v>
      </c>
      <c r="H6" s="34" t="s">
        <v>518</v>
      </c>
      <c r="I6" s="56" t="s">
        <v>605</v>
      </c>
      <c r="J6" s="44">
        <v>45875</v>
      </c>
      <c r="K6" s="42" t="s">
        <v>20</v>
      </c>
      <c r="L6" s="42" t="s">
        <v>20</v>
      </c>
      <c r="M6" s="42"/>
    </row>
    <row r="7" s="20" customFormat="1" ht="17" customHeight="1" spans="1:13">
      <c r="A7" s="50" t="s">
        <v>491</v>
      </c>
      <c r="B7" s="30">
        <v>45875</v>
      </c>
      <c r="C7" s="31" t="s">
        <v>20</v>
      </c>
      <c r="D7" s="32">
        <v>53.6</v>
      </c>
      <c r="E7" s="32" t="s">
        <v>20</v>
      </c>
      <c r="F7" s="51">
        <f t="shared" si="0"/>
        <v>287895.54</v>
      </c>
      <c r="G7" s="34" t="s">
        <v>26</v>
      </c>
      <c r="H7" s="35" t="s">
        <v>27</v>
      </c>
      <c r="I7" s="57" t="s">
        <v>20</v>
      </c>
      <c r="J7" s="44">
        <v>45875</v>
      </c>
      <c r="K7" s="42">
        <v>45876</v>
      </c>
      <c r="L7" s="42" t="s">
        <v>20</v>
      </c>
      <c r="M7" s="42"/>
    </row>
    <row r="8" s="20" customFormat="1" ht="17" customHeight="1" spans="1:13">
      <c r="A8" s="50" t="s">
        <v>533</v>
      </c>
      <c r="B8" s="30">
        <v>45876</v>
      </c>
      <c r="C8" s="31" t="s">
        <v>20</v>
      </c>
      <c r="D8" s="32">
        <v>21391.92</v>
      </c>
      <c r="E8" s="32" t="s">
        <v>20</v>
      </c>
      <c r="F8" s="51">
        <f t="shared" si="0"/>
        <v>266503.62</v>
      </c>
      <c r="G8" s="34" t="s">
        <v>518</v>
      </c>
      <c r="H8" s="36"/>
      <c r="I8" s="55">
        <v>945125700064654</v>
      </c>
      <c r="J8" s="42">
        <v>45876</v>
      </c>
      <c r="K8" s="42" t="s">
        <v>20</v>
      </c>
      <c r="L8" s="42" t="s">
        <v>20</v>
      </c>
      <c r="M8" s="42"/>
    </row>
    <row r="9" s="20" customFormat="1" ht="17" customHeight="1" spans="1:13">
      <c r="A9" s="50" t="s">
        <v>533</v>
      </c>
      <c r="B9" s="30">
        <v>45876</v>
      </c>
      <c r="C9" s="31" t="s">
        <v>20</v>
      </c>
      <c r="D9" s="32">
        <v>10230.71</v>
      </c>
      <c r="E9" s="32" t="s">
        <v>20</v>
      </c>
      <c r="F9" s="51">
        <f t="shared" si="0"/>
        <v>256272.91</v>
      </c>
      <c r="G9" s="34" t="s">
        <v>518</v>
      </c>
      <c r="H9" s="36"/>
      <c r="I9" s="58">
        <v>945125400046100</v>
      </c>
      <c r="J9" s="42">
        <v>45876</v>
      </c>
      <c r="K9" s="42" t="s">
        <v>20</v>
      </c>
      <c r="L9" s="42" t="s">
        <v>20</v>
      </c>
      <c r="M9" s="42"/>
    </row>
    <row r="10" s="20" customFormat="1" ht="17" customHeight="1" spans="1:13">
      <c r="A10" s="50" t="s">
        <v>533</v>
      </c>
      <c r="B10" s="30">
        <v>45876</v>
      </c>
      <c r="C10" s="31" t="s">
        <v>20</v>
      </c>
      <c r="D10" s="32">
        <v>4202</v>
      </c>
      <c r="E10" s="32" t="s">
        <v>20</v>
      </c>
      <c r="F10" s="51">
        <f t="shared" si="0"/>
        <v>252070.91</v>
      </c>
      <c r="G10" s="34" t="s">
        <v>518</v>
      </c>
      <c r="H10" s="36"/>
      <c r="I10" s="56">
        <v>945125500003665</v>
      </c>
      <c r="J10" s="44">
        <v>45876</v>
      </c>
      <c r="K10" s="59" t="s">
        <v>20</v>
      </c>
      <c r="L10" s="42" t="s">
        <v>20</v>
      </c>
      <c r="M10" s="42"/>
    </row>
    <row r="11" s="20" customFormat="1" spans="1:13">
      <c r="A11" s="50" t="s">
        <v>606</v>
      </c>
      <c r="B11" s="30">
        <v>45881</v>
      </c>
      <c r="C11" s="31"/>
      <c r="D11" s="32">
        <v>8346.42</v>
      </c>
      <c r="E11" s="32"/>
      <c r="F11" s="51">
        <f t="shared" si="0"/>
        <v>243724.49</v>
      </c>
      <c r="G11" s="34" t="s">
        <v>518</v>
      </c>
      <c r="H11" s="36"/>
      <c r="I11" s="56">
        <v>945125400046662</v>
      </c>
      <c r="J11" s="44">
        <v>45881</v>
      </c>
      <c r="K11" s="44"/>
      <c r="L11" s="42"/>
      <c r="M11" s="42"/>
    </row>
    <row r="12" s="20" customFormat="1" spans="1:13">
      <c r="A12" s="52" t="s">
        <v>607</v>
      </c>
      <c r="B12" s="30">
        <v>45882</v>
      </c>
      <c r="C12" s="31"/>
      <c r="D12" s="52">
        <v>462.49</v>
      </c>
      <c r="E12" s="32"/>
      <c r="F12" s="51">
        <f t="shared" si="0"/>
        <v>243262</v>
      </c>
      <c r="G12" s="34" t="s">
        <v>608</v>
      </c>
      <c r="H12" s="36" t="s">
        <v>609</v>
      </c>
      <c r="I12" s="56">
        <v>945125400047161</v>
      </c>
      <c r="J12" s="44">
        <v>45882</v>
      </c>
      <c r="K12" s="44"/>
      <c r="L12" s="42"/>
      <c r="M12" s="42"/>
    </row>
    <row r="13" s="20" customFormat="1" spans="1:13">
      <c r="A13" s="50" t="s">
        <v>610</v>
      </c>
      <c r="B13" s="30">
        <v>45883</v>
      </c>
      <c r="C13" s="31"/>
      <c r="D13" s="32">
        <v>276.15</v>
      </c>
      <c r="E13" s="32"/>
      <c r="F13" s="51">
        <f t="shared" ref="F13:F21" si="1">F12-IF(ISNUMBER(D13),D13,0)+IF(ISNUMBER(E13),E13,0)</f>
        <v>242985.85</v>
      </c>
      <c r="G13" s="34" t="s">
        <v>518</v>
      </c>
      <c r="H13" s="36"/>
      <c r="I13" s="56">
        <v>945125700066462</v>
      </c>
      <c r="J13" s="44">
        <v>45883</v>
      </c>
      <c r="K13" s="44"/>
      <c r="L13" s="42"/>
      <c r="M13" s="42"/>
    </row>
    <row r="14" s="20" customFormat="1" spans="1:13">
      <c r="A14" s="50" t="s">
        <v>611</v>
      </c>
      <c r="B14" s="30">
        <v>45883</v>
      </c>
      <c r="C14" s="31"/>
      <c r="D14" s="32">
        <v>6592</v>
      </c>
      <c r="E14" s="32"/>
      <c r="F14" s="51">
        <f t="shared" si="1"/>
        <v>236393.85</v>
      </c>
      <c r="G14" s="34" t="s">
        <v>518</v>
      </c>
      <c r="H14" s="36"/>
      <c r="I14" s="56">
        <v>945125700066464</v>
      </c>
      <c r="J14" s="44">
        <v>45883</v>
      </c>
      <c r="K14" s="44"/>
      <c r="L14" s="42"/>
      <c r="M14" s="42"/>
    </row>
    <row r="15" s="20" customFormat="1" spans="1:13">
      <c r="A15" s="50" t="s">
        <v>612</v>
      </c>
      <c r="B15" s="30">
        <v>45883</v>
      </c>
      <c r="C15" s="31"/>
      <c r="D15" s="32">
        <v>2433.12</v>
      </c>
      <c r="E15" s="32"/>
      <c r="F15" s="51">
        <f t="shared" si="1"/>
        <v>233960.73</v>
      </c>
      <c r="G15" s="34" t="s">
        <v>518</v>
      </c>
      <c r="H15" s="36"/>
      <c r="I15" s="56">
        <v>945125700066447</v>
      </c>
      <c r="J15" s="44">
        <v>45883</v>
      </c>
      <c r="K15" s="44"/>
      <c r="L15" s="42"/>
      <c r="M15" s="42"/>
    </row>
    <row r="16" s="20" customFormat="1" spans="1:13">
      <c r="A16" s="50" t="s">
        <v>613</v>
      </c>
      <c r="B16" s="30">
        <v>45883</v>
      </c>
      <c r="C16" s="31"/>
      <c r="D16" s="32">
        <v>10833.87</v>
      </c>
      <c r="E16" s="32"/>
      <c r="F16" s="51">
        <f t="shared" si="1"/>
        <v>223126.86</v>
      </c>
      <c r="G16" s="34" t="s">
        <v>518</v>
      </c>
      <c r="H16" s="36"/>
      <c r="I16" s="56">
        <v>945125700066448</v>
      </c>
      <c r="J16" s="44">
        <v>45883</v>
      </c>
      <c r="K16" s="44"/>
      <c r="L16" s="42"/>
      <c r="M16" s="42"/>
    </row>
    <row r="17" s="20" customFormat="1" spans="1:13">
      <c r="A17" s="50" t="s">
        <v>614</v>
      </c>
      <c r="B17" s="30">
        <v>45883</v>
      </c>
      <c r="C17" s="31"/>
      <c r="D17" s="32">
        <v>1076.77</v>
      </c>
      <c r="E17" s="32"/>
      <c r="F17" s="51">
        <f t="shared" si="1"/>
        <v>222050.09</v>
      </c>
      <c r="G17" s="34" t="s">
        <v>518</v>
      </c>
      <c r="H17" s="36"/>
      <c r="I17" s="56">
        <v>945125400047481</v>
      </c>
      <c r="J17" s="44">
        <v>45883</v>
      </c>
      <c r="K17" s="44"/>
      <c r="L17" s="42"/>
      <c r="M17" s="42"/>
    </row>
    <row r="18" s="20" customFormat="1" spans="1:13">
      <c r="A18" s="50" t="s">
        <v>615</v>
      </c>
      <c r="B18" s="30">
        <v>45883</v>
      </c>
      <c r="C18" s="31"/>
      <c r="D18" s="32">
        <v>6526.14</v>
      </c>
      <c r="E18" s="32"/>
      <c r="F18" s="51">
        <f t="shared" si="1"/>
        <v>215523.95</v>
      </c>
      <c r="G18" s="34" t="s">
        <v>518</v>
      </c>
      <c r="H18" s="36"/>
      <c r="I18" s="56">
        <v>945125400047483</v>
      </c>
      <c r="J18" s="44">
        <v>45883</v>
      </c>
      <c r="K18" s="44"/>
      <c r="L18" s="42"/>
      <c r="M18" s="42"/>
    </row>
    <row r="19" s="20" customFormat="1" spans="1:13">
      <c r="A19" s="50" t="s">
        <v>616</v>
      </c>
      <c r="B19" s="30">
        <v>45883</v>
      </c>
      <c r="C19" s="31"/>
      <c r="D19" s="32">
        <v>6919.14</v>
      </c>
      <c r="E19" s="32"/>
      <c r="F19" s="51">
        <f t="shared" si="1"/>
        <v>208604.81</v>
      </c>
      <c r="G19" s="34" t="s">
        <v>518</v>
      </c>
      <c r="H19" s="36"/>
      <c r="I19" s="56">
        <v>945125400047470</v>
      </c>
      <c r="J19" s="44">
        <v>45883</v>
      </c>
      <c r="K19" s="44"/>
      <c r="L19" s="42"/>
      <c r="M19" s="42"/>
    </row>
    <row r="20" s="20" customFormat="1" spans="1:13">
      <c r="A20" s="50" t="s">
        <v>617</v>
      </c>
      <c r="B20" s="30">
        <v>45889</v>
      </c>
      <c r="C20" s="31"/>
      <c r="D20" s="32">
        <v>42779.82</v>
      </c>
      <c r="E20" s="32"/>
      <c r="F20" s="51">
        <f t="shared" si="1"/>
        <v>165824.99</v>
      </c>
      <c r="G20" s="34" t="s">
        <v>518</v>
      </c>
      <c r="H20" s="36"/>
      <c r="I20" s="56" t="s">
        <v>618</v>
      </c>
      <c r="J20" s="44">
        <v>45889</v>
      </c>
      <c r="K20" s="44"/>
      <c r="L20" s="42"/>
      <c r="M20" s="42"/>
    </row>
    <row r="21" s="20" customFormat="1" spans="1:13">
      <c r="A21" s="50" t="s">
        <v>619</v>
      </c>
      <c r="B21" s="30">
        <v>45894</v>
      </c>
      <c r="C21" s="31"/>
      <c r="D21" s="32">
        <v>13638.24</v>
      </c>
      <c r="E21" s="32"/>
      <c r="F21" s="51">
        <f t="shared" si="1"/>
        <v>152186.75</v>
      </c>
      <c r="G21" s="34" t="s">
        <v>205</v>
      </c>
      <c r="H21" s="36"/>
      <c r="I21" s="56"/>
      <c r="J21" s="44"/>
      <c r="K21" s="44"/>
      <c r="L21" s="42"/>
      <c r="M21" s="42"/>
    </row>
    <row r="22" s="20" customFormat="1" spans="1:13">
      <c r="A22" s="50"/>
      <c r="B22" s="30"/>
      <c r="C22" s="31"/>
      <c r="D22" s="32"/>
      <c r="E22" s="32"/>
      <c r="F22" s="32"/>
      <c r="G22" s="34"/>
      <c r="H22" s="36"/>
      <c r="I22" s="56"/>
      <c r="J22" s="44"/>
      <c r="K22" s="44"/>
      <c r="L22" s="42"/>
      <c r="M22" s="42"/>
    </row>
    <row r="23" s="20" customFormat="1" spans="1:13">
      <c r="A23" s="50"/>
      <c r="B23" s="30"/>
      <c r="C23" s="31"/>
      <c r="D23" s="32"/>
      <c r="E23" s="32"/>
      <c r="F23" s="32"/>
      <c r="G23" s="34"/>
      <c r="H23" s="36"/>
      <c r="I23" s="56"/>
      <c r="J23" s="44"/>
      <c r="K23" s="44"/>
      <c r="L23" s="42"/>
      <c r="M23" s="42"/>
    </row>
    <row r="24" s="20" customFormat="1" spans="1:13">
      <c r="A24" s="50"/>
      <c r="B24" s="30"/>
      <c r="C24" s="31"/>
      <c r="D24" s="32"/>
      <c r="E24" s="32"/>
      <c r="F24" s="32"/>
      <c r="G24" s="34"/>
      <c r="H24" s="36"/>
      <c r="I24" s="56"/>
      <c r="J24" s="44"/>
      <c r="K24" s="44"/>
      <c r="L24" s="42"/>
      <c r="M24" s="42"/>
    </row>
    <row r="25" s="20" customFormat="1" spans="1:13">
      <c r="A25" s="50"/>
      <c r="B25" s="30"/>
      <c r="C25" s="31"/>
      <c r="D25" s="32"/>
      <c r="E25" s="32"/>
      <c r="F25" s="32"/>
      <c r="G25" s="34"/>
      <c r="H25" s="36"/>
      <c r="I25" s="56"/>
      <c r="J25" s="44"/>
      <c r="K25" s="44"/>
      <c r="L25" s="42"/>
      <c r="M25" s="42"/>
    </row>
    <row r="26" s="20" customFormat="1" spans="1:13">
      <c r="A26" s="50"/>
      <c r="B26" s="30"/>
      <c r="C26" s="31"/>
      <c r="D26" s="32"/>
      <c r="E26" s="32"/>
      <c r="F26" s="32"/>
      <c r="G26" s="34"/>
      <c r="H26" s="36"/>
      <c r="I26" s="56"/>
      <c r="J26" s="44"/>
      <c r="K26" s="44"/>
      <c r="L26" s="42"/>
      <c r="M26" s="42"/>
    </row>
    <row r="27" s="20" customFormat="1" spans="1:13">
      <c r="A27" s="50"/>
      <c r="B27" s="30"/>
      <c r="C27" s="31"/>
      <c r="D27" s="32"/>
      <c r="E27" s="32"/>
      <c r="F27" s="32"/>
      <c r="G27" s="34"/>
      <c r="H27" s="36"/>
      <c r="I27" s="56"/>
      <c r="J27" s="44"/>
      <c r="K27" s="44"/>
      <c r="L27" s="42"/>
      <c r="M27" s="42"/>
    </row>
    <row r="28" s="20" customFormat="1" spans="1:13">
      <c r="A28" s="50"/>
      <c r="B28" s="30"/>
      <c r="C28" s="31"/>
      <c r="D28" s="32"/>
      <c r="E28" s="32"/>
      <c r="F28" s="32"/>
      <c r="G28" s="34"/>
      <c r="H28" s="36"/>
      <c r="I28" s="56"/>
      <c r="J28" s="44"/>
      <c r="K28" s="44"/>
      <c r="L28" s="42"/>
      <c r="M28" s="42"/>
    </row>
    <row r="29" s="20" customFormat="1" spans="1:13">
      <c r="A29" s="50"/>
      <c r="B29" s="30"/>
      <c r="C29" s="31"/>
      <c r="D29" s="32"/>
      <c r="E29" s="32"/>
      <c r="F29" s="32"/>
      <c r="G29" s="34"/>
      <c r="H29" s="36"/>
      <c r="I29" s="56"/>
      <c r="J29" s="44"/>
      <c r="K29" s="44"/>
      <c r="L29" s="42"/>
      <c r="M29" s="42"/>
    </row>
    <row r="30" s="20" customFormat="1" spans="1:13">
      <c r="A30" s="50"/>
      <c r="B30" s="30"/>
      <c r="C30" s="31"/>
      <c r="D30" s="32"/>
      <c r="E30" s="32"/>
      <c r="F30" s="32"/>
      <c r="G30" s="34"/>
      <c r="H30" s="36"/>
      <c r="I30" s="56"/>
      <c r="J30" s="44"/>
      <c r="K30" s="44"/>
      <c r="L30" s="42"/>
      <c r="M30" s="42"/>
    </row>
    <row r="31" s="20" customFormat="1" spans="1:13">
      <c r="A31" s="50"/>
      <c r="B31" s="30"/>
      <c r="C31" s="31"/>
      <c r="D31" s="32"/>
      <c r="E31" s="32"/>
      <c r="F31" s="32"/>
      <c r="G31" s="34"/>
      <c r="H31" s="36"/>
      <c r="I31" s="56"/>
      <c r="J31" s="44"/>
      <c r="K31" s="44"/>
      <c r="L31" s="42"/>
      <c r="M31" s="42"/>
    </row>
    <row r="32" s="20" customFormat="1" spans="1:13">
      <c r="A32" s="50"/>
      <c r="B32" s="30"/>
      <c r="C32" s="31"/>
      <c r="D32" s="32"/>
      <c r="E32" s="32"/>
      <c r="F32" s="32"/>
      <c r="G32" s="34"/>
      <c r="H32" s="36"/>
      <c r="I32" s="56"/>
      <c r="J32" s="44"/>
      <c r="K32" s="44"/>
      <c r="L32" s="42"/>
      <c r="M32" s="42"/>
    </row>
  </sheetData>
  <autoFilter xmlns:etc="http://www.wps.cn/officeDocument/2017/etCustomData" ref="A2:L32" etc:filterBottomFollowUsedRange="0">
    <sortState ref="A2:L32">
      <sortCondition ref="B2"/>
    </sortState>
    <extLst/>
  </autoFilter>
  <mergeCells count="1">
    <mergeCell ref="A1:C1"/>
  </mergeCells>
  <conditionalFormatting sqref="I1">
    <cfRule type="containsText" dxfId="0" priority="93" operator="between" text="待">
      <formula>NOT(ISERROR(SEARCH("待",I1)))</formula>
    </cfRule>
  </conditionalFormatting>
  <conditionalFormatting sqref="K1:M1">
    <cfRule type="containsText" dxfId="0" priority="94" operator="between" text="待附件">
      <formula>NOT(ISERROR(SEARCH("待附件",K1)))</formula>
    </cfRule>
    <cfRule type="containsText" dxfId="0" priority="95" operator="between" text="待提单">
      <formula>NOT(ISERROR(SEARCH("待提单",K1)))</formula>
    </cfRule>
  </conditionalFormatting>
  <conditionalFormatting sqref="L2:M2">
    <cfRule type="containsText" dxfId="0" priority="91" operator="between" text="待">
      <formula>NOT(ISERROR(SEARCH("待",L2)))</formula>
    </cfRule>
  </conditionalFormatting>
  <conditionalFormatting sqref="G3">
    <cfRule type="containsText" dxfId="0" priority="10" operator="between" text="待">
      <formula>NOT(ISERROR(SEARCH("待",G3)))</formula>
    </cfRule>
  </conditionalFormatting>
  <conditionalFormatting sqref="G4">
    <cfRule type="containsText" dxfId="0" priority="30" operator="between" text="待">
      <formula>NOT(ISERROR(SEARCH("待",G4)))</formula>
    </cfRule>
  </conditionalFormatting>
  <conditionalFormatting sqref="G5">
    <cfRule type="containsText" dxfId="0" priority="23" operator="between" text="待">
      <formula>NOT(ISERROR(SEARCH("待",G5)))</formula>
    </cfRule>
  </conditionalFormatting>
  <conditionalFormatting sqref="I5">
    <cfRule type="duplicateValues" dxfId="3" priority="22"/>
    <cfRule type="containsText" dxfId="0" priority="21" operator="between" text="待">
      <formula>NOT(ISERROR(SEARCH("待",I5)))</formula>
    </cfRule>
  </conditionalFormatting>
  <conditionalFormatting sqref="G6">
    <cfRule type="containsText" dxfId="0" priority="18" operator="between" text="待">
      <formula>NOT(ISERROR(SEARCH("待",G6)))</formula>
    </cfRule>
  </conditionalFormatting>
  <conditionalFormatting sqref="I6">
    <cfRule type="duplicateValues" dxfId="3" priority="20"/>
    <cfRule type="containsText" dxfId="0" priority="19" operator="between" text="待">
      <formula>NOT(ISERROR(SEARCH("待",I6)))</formula>
    </cfRule>
  </conditionalFormatting>
  <conditionalFormatting sqref="I10">
    <cfRule type="containsText" dxfId="2" priority="16" operator="between" text="待">
      <formula>NOT(ISERROR(SEARCH("待",I10)))</formula>
    </cfRule>
  </conditionalFormatting>
  <conditionalFormatting sqref="G11">
    <cfRule type="containsText" dxfId="0" priority="9" operator="between" text="待">
      <formula>NOT(ISERROR(SEARCH("待",G11)))</formula>
    </cfRule>
  </conditionalFormatting>
  <conditionalFormatting sqref="G12">
    <cfRule type="containsText" dxfId="2" priority="8" operator="between" text="待">
      <formula>NOT(ISERROR(SEARCH("待",G12)))</formula>
    </cfRule>
  </conditionalFormatting>
  <conditionalFormatting sqref="G13">
    <cfRule type="containsText" dxfId="0" priority="7" operator="between" text="待">
      <formula>NOT(ISERROR(SEARCH("待",G13)))</formula>
    </cfRule>
  </conditionalFormatting>
  <conditionalFormatting sqref="G14">
    <cfRule type="containsText" dxfId="0" priority="6" operator="between" text="待">
      <formula>NOT(ISERROR(SEARCH("待",G14)))</formula>
    </cfRule>
  </conditionalFormatting>
  <conditionalFormatting sqref="G15">
    <cfRule type="containsText" dxfId="0" priority="5" operator="between" text="待">
      <formula>NOT(ISERROR(SEARCH("待",G15)))</formula>
    </cfRule>
  </conditionalFormatting>
  <conditionalFormatting sqref="G16">
    <cfRule type="containsText" dxfId="0" priority="4" operator="between" text="待">
      <formula>NOT(ISERROR(SEARCH("待",G16)))</formula>
    </cfRule>
  </conditionalFormatting>
  <conditionalFormatting sqref="G17">
    <cfRule type="containsText" dxfId="0" priority="3" operator="between" text="待">
      <formula>NOT(ISERROR(SEARCH("待",G17)))</formula>
    </cfRule>
  </conditionalFormatting>
  <conditionalFormatting sqref="G18">
    <cfRule type="containsText" dxfId="0" priority="2" operator="between" text="待">
      <formula>NOT(ISERROR(SEARCH("待",G18)))</formula>
    </cfRule>
  </conditionalFormatting>
  <conditionalFormatting sqref="G19">
    <cfRule type="containsText" dxfId="0" priority="1" operator="between" text="待">
      <formula>NOT(ISERROR(SEARCH("待",G19)))</formula>
    </cfRule>
  </conditionalFormatting>
  <conditionalFormatting sqref="G8:G10">
    <cfRule type="containsText" dxfId="0" priority="13" operator="between" text="待">
      <formula>NOT(ISERROR(SEARCH("待",G8)))</formula>
    </cfRule>
  </conditionalFormatting>
  <conditionalFormatting sqref="H5:H6">
    <cfRule type="containsText" dxfId="0" priority="17" operator="between" text="待">
      <formula>NOT(ISERROR(SEARCH("待",H5)))</formula>
    </cfRule>
  </conditionalFormatting>
  <conditionalFormatting sqref="H8:H9">
    <cfRule type="containsText" dxfId="0" priority="39" operator="between" text="待">
      <formula>NOT(ISERROR(SEARCH("待",H8)))</formula>
    </cfRule>
  </conditionalFormatting>
  <conditionalFormatting sqref="I11:I1048576">
    <cfRule type="containsText" dxfId="0" priority="46" operator="between" text="待">
      <formula>NOT(ISERROR(SEARCH("待",I11)))</formula>
    </cfRule>
  </conditionalFormatting>
  <conditionalFormatting sqref="I1:I2 I11:I1048576">
    <cfRule type="duplicateValues" dxfId="3" priority="81"/>
  </conditionalFormatting>
  <conditionalFormatting sqref="G2 G7">
    <cfRule type="containsText" dxfId="0" priority="47" operator="between" text="待">
      <formula>NOT(ISERROR(SEARCH("待",G2)))</formula>
    </cfRule>
  </conditionalFormatting>
  <conditionalFormatting sqref="J2 K33:M1048576">
    <cfRule type="containsText" dxfId="0" priority="85" operator="between" text="待附件">
      <formula>NOT(ISERROR(SEARCH("待附件",J2)))</formula>
    </cfRule>
    <cfRule type="containsText" dxfId="0" priority="86" operator="between" text="待提单">
      <formula>NOT(ISERROR(SEARCH("待提单",J2)))</formula>
    </cfRule>
  </conditionalFormatting>
  <conditionalFormatting sqref="H8:H9 H11:H32">
    <cfRule type="duplicateValues" dxfId="3" priority="1053"/>
  </conditionalFormatting>
  <conditionalFormatting sqref="H11:H19 G20:H32">
    <cfRule type="containsText" dxfId="0" priority="32" operator="between" text="待">
      <formula>NOT(ISERROR(SEARCH("待",G11)))</formula>
    </cfRule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M19"/>
  <sheetViews>
    <sheetView zoomScale="115" zoomScaleNormal="115" workbookViewId="0">
      <selection activeCell="H30" sqref="H30"/>
    </sheetView>
  </sheetViews>
  <sheetFormatPr defaultColWidth="9" defaultRowHeight="15"/>
  <cols>
    <col min="1" max="1" width="20.8571428571429" customWidth="1"/>
    <col min="2" max="2" width="13.2857142857143" customWidth="1"/>
    <col min="3" max="3" width="13.4285714285714" customWidth="1"/>
    <col min="4" max="5" width="13" customWidth="1"/>
    <col min="6" max="6" width="16.8571428571429" customWidth="1"/>
    <col min="7" max="7" width="14" customWidth="1"/>
    <col min="8" max="8" width="41.8571428571429" customWidth="1"/>
    <col min="9" max="9" width="13.8571428571429" customWidth="1"/>
    <col min="10" max="10" width="8.42857142857143" customWidth="1"/>
    <col min="11" max="12" width="18.2857142857143" customWidth="1"/>
    <col min="13" max="13" width="4.85714285714286" customWidth="1"/>
  </cols>
  <sheetData>
    <row r="1" s="19" customFormat="1" ht="14.1" customHeight="1" spans="1:13">
      <c r="A1" s="21" t="s">
        <v>620</v>
      </c>
      <c r="B1" s="22"/>
      <c r="C1" s="23"/>
      <c r="D1" s="24"/>
      <c r="E1" s="24"/>
      <c r="F1" s="24"/>
      <c r="G1" s="24"/>
      <c r="H1" s="25"/>
      <c r="I1" s="37"/>
      <c r="J1" s="38"/>
      <c r="K1" s="37"/>
      <c r="L1" s="37"/>
      <c r="M1" s="37"/>
    </row>
    <row r="2" s="19" customFormat="1" ht="30" customHeight="1" spans="1:13">
      <c r="A2" s="26" t="s">
        <v>482</v>
      </c>
      <c r="B2" s="27" t="s">
        <v>483</v>
      </c>
      <c r="C2" s="27" t="s">
        <v>484</v>
      </c>
      <c r="D2" s="26" t="s">
        <v>485</v>
      </c>
      <c r="E2" s="26" t="s">
        <v>486</v>
      </c>
      <c r="F2" s="26" t="s">
        <v>407</v>
      </c>
      <c r="G2" s="28" t="s">
        <v>8</v>
      </c>
      <c r="H2" s="28" t="s">
        <v>9</v>
      </c>
      <c r="I2" s="28" t="s">
        <v>10</v>
      </c>
      <c r="J2" s="39" t="s">
        <v>516</v>
      </c>
      <c r="K2" s="28" t="s">
        <v>12</v>
      </c>
      <c r="L2" s="28" t="s">
        <v>13</v>
      </c>
      <c r="M2" s="40" t="s">
        <v>11</v>
      </c>
    </row>
    <row r="3" s="20" customFormat="1" ht="17" customHeight="1" spans="1:13">
      <c r="A3" s="29" t="s">
        <v>491</v>
      </c>
      <c r="B3" s="30">
        <v>45875</v>
      </c>
      <c r="C3" s="31" t="s">
        <v>20</v>
      </c>
      <c r="D3" s="32">
        <v>3.75</v>
      </c>
      <c r="E3" s="32" t="s">
        <v>20</v>
      </c>
      <c r="F3" s="33">
        <f>408566.87-D3</f>
        <v>408563.12</v>
      </c>
      <c r="G3" s="34" t="s">
        <v>26</v>
      </c>
      <c r="H3" s="35" t="s">
        <v>27</v>
      </c>
      <c r="I3" s="41" t="s">
        <v>20</v>
      </c>
      <c r="J3" s="41" t="s">
        <v>20</v>
      </c>
      <c r="K3" s="18">
        <v>45876</v>
      </c>
      <c r="L3" s="42" t="s">
        <v>20</v>
      </c>
      <c r="M3" s="42"/>
    </row>
    <row r="4" s="20" customFormat="1" spans="1:13">
      <c r="A4" s="31"/>
      <c r="B4" s="30"/>
      <c r="C4" s="31"/>
      <c r="D4" s="32"/>
      <c r="E4" s="32"/>
      <c r="F4" s="32"/>
      <c r="G4" s="34"/>
      <c r="H4" s="36"/>
      <c r="I4" s="43"/>
      <c r="J4" s="44"/>
      <c r="K4" s="42"/>
      <c r="L4" s="42"/>
      <c r="M4" s="42"/>
    </row>
    <row r="5" s="20" customFormat="1" spans="1:13">
      <c r="A5" s="31"/>
      <c r="B5" s="30"/>
      <c r="C5" s="31"/>
      <c r="D5" s="32"/>
      <c r="E5" s="32"/>
      <c r="F5" s="32"/>
      <c r="G5" s="34"/>
      <c r="H5" s="36"/>
      <c r="I5" s="43"/>
      <c r="J5" s="44"/>
      <c r="K5" s="42"/>
      <c r="L5" s="42"/>
      <c r="M5" s="42"/>
    </row>
    <row r="6" s="20" customFormat="1" spans="1:13">
      <c r="A6" s="31"/>
      <c r="B6" s="30"/>
      <c r="C6" s="31"/>
      <c r="D6" s="32"/>
      <c r="E6" s="32"/>
      <c r="F6" s="32"/>
      <c r="G6" s="34"/>
      <c r="H6" s="36"/>
      <c r="I6" s="43"/>
      <c r="J6" s="44"/>
      <c r="K6" s="42"/>
      <c r="L6" s="42"/>
      <c r="M6" s="42"/>
    </row>
    <row r="7" s="20" customFormat="1" spans="1:13">
      <c r="A7" s="31"/>
      <c r="B7" s="30"/>
      <c r="C7" s="31"/>
      <c r="D7" s="32"/>
      <c r="E7" s="32"/>
      <c r="F7" s="32"/>
      <c r="G7" s="34"/>
      <c r="H7" s="36"/>
      <c r="I7" s="43"/>
      <c r="J7" s="44"/>
      <c r="K7" s="42"/>
      <c r="L7" s="42"/>
      <c r="M7" s="42"/>
    </row>
    <row r="8" s="20" customFormat="1" spans="1:13">
      <c r="A8" s="31"/>
      <c r="B8" s="30"/>
      <c r="C8" s="31"/>
      <c r="D8" s="32"/>
      <c r="E8" s="32"/>
      <c r="F8" s="32"/>
      <c r="G8" s="34"/>
      <c r="H8" s="36"/>
      <c r="I8" s="43"/>
      <c r="J8" s="44"/>
      <c r="K8" s="42"/>
      <c r="L8" s="42"/>
      <c r="M8" s="42"/>
    </row>
    <row r="9" s="20" customFormat="1" spans="1:13">
      <c r="A9" s="31"/>
      <c r="B9" s="30"/>
      <c r="C9" s="31"/>
      <c r="D9" s="32"/>
      <c r="E9" s="32"/>
      <c r="F9" s="32"/>
      <c r="G9" s="34"/>
      <c r="H9" s="36"/>
      <c r="I9" s="43"/>
      <c r="J9" s="44"/>
      <c r="K9" s="42"/>
      <c r="L9" s="42"/>
      <c r="M9" s="42"/>
    </row>
    <row r="19" spans="8:8">
      <c r="H19" t="s">
        <v>621</v>
      </c>
    </row>
  </sheetData>
  <conditionalFormatting sqref="I1">
    <cfRule type="containsText" dxfId="0" priority="13" operator="between" text="待">
      <formula>NOT(ISERROR(SEARCH("待",I1)))</formula>
    </cfRule>
  </conditionalFormatting>
  <conditionalFormatting sqref="K1:M1">
    <cfRule type="containsText" dxfId="0" priority="14" operator="between" text="待附件">
      <formula>NOT(ISERROR(SEARCH("待附件",K1)))</formula>
    </cfRule>
    <cfRule type="containsText" dxfId="0" priority="15" operator="between" text="待提单">
      <formula>NOT(ISERROR(SEARCH("待提单",K1)))</formula>
    </cfRule>
  </conditionalFormatting>
  <conditionalFormatting sqref="J2">
    <cfRule type="containsText" dxfId="0" priority="9" operator="between" text="待附件">
      <formula>NOT(ISERROR(SEARCH("待附件",J2)))</formula>
    </cfRule>
    <cfRule type="containsText" dxfId="0" priority="10" operator="between" text="待提单">
      <formula>NOT(ISERROR(SEARCH("待提单",J2)))</formula>
    </cfRule>
  </conditionalFormatting>
  <conditionalFormatting sqref="L2:M2">
    <cfRule type="containsText" dxfId="0" priority="11" operator="between" text="待">
      <formula>NOT(ISERROR(SEARCH("待",L2)))</formula>
    </cfRule>
  </conditionalFormatting>
  <conditionalFormatting sqref="G3">
    <cfRule type="containsText" dxfId="0" priority="1" operator="between" text="待">
      <formula>NOT(ISERROR(SEARCH("待",G3)))</formula>
    </cfRule>
  </conditionalFormatting>
  <conditionalFormatting sqref="I3">
    <cfRule type="containsText" dxfId="2" priority="2" operator="between" text="待">
      <formula>NOT(ISERROR(SEARCH("待",I3)))</formula>
    </cfRule>
  </conditionalFormatting>
  <conditionalFormatting sqref="I1:I2 I4:I9">
    <cfRule type="duplicateValues" dxfId="3" priority="1019"/>
  </conditionalFormatting>
  <conditionalFormatting sqref="G2 G4:G9 I4:I9">
    <cfRule type="containsText" dxfId="0" priority="3" operator="between" text="待">
      <formula>NOT(ISERROR(SEARCH("待",G2)))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J3" sqref="J3"/>
    </sheetView>
  </sheetViews>
  <sheetFormatPr defaultColWidth="9" defaultRowHeight="15" outlineLevelRow="2"/>
  <cols>
    <col min="1" max="1" width="16.2857142857143" customWidth="1"/>
    <col min="2" max="2" width="2.28571428571429" customWidth="1"/>
    <col min="3" max="3" width="25.5714285714286" customWidth="1"/>
    <col min="4" max="4" width="22.8571428571429" customWidth="1"/>
    <col min="5" max="5" width="18.4285714285714" customWidth="1"/>
    <col min="6" max="6" width="11.5714285714286" customWidth="1"/>
    <col min="7" max="7" width="12.8571428571429" customWidth="1"/>
    <col min="8" max="8" width="34.2857142857143" customWidth="1"/>
    <col min="10" max="10" width="14.4285714285714" customWidth="1"/>
    <col min="12" max="12" width="11.4285714285714" customWidth="1"/>
    <col min="13" max="14" width="19.2857142857143" customWidth="1"/>
  </cols>
  <sheetData>
    <row r="1" s="1" customFormat="1" ht="20.1" customHeight="1" spans="1:9">
      <c r="A1" s="2" t="s">
        <v>622</v>
      </c>
      <c r="I1" s="12"/>
    </row>
    <row r="2" s="1" customFormat="1" ht="15.75" customHeight="1" spans="1:14">
      <c r="A2" s="3" t="s">
        <v>1</v>
      </c>
      <c r="B2" s="4"/>
      <c r="C2" s="4" t="s">
        <v>2</v>
      </c>
      <c r="D2" s="5" t="s">
        <v>3</v>
      </c>
      <c r="E2" s="5" t="s">
        <v>623</v>
      </c>
      <c r="F2" s="5" t="s">
        <v>5</v>
      </c>
      <c r="G2" s="5" t="s">
        <v>6</v>
      </c>
      <c r="H2" s="5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4" t="s">
        <v>12</v>
      </c>
      <c r="N2" s="13" t="s">
        <v>13</v>
      </c>
    </row>
    <row r="3" s="1" customFormat="1" ht="39.95" customHeight="1" spans="1:14">
      <c r="A3" s="6" t="s">
        <v>14</v>
      </c>
      <c r="B3" s="7"/>
      <c r="C3" s="8" t="s">
        <v>624</v>
      </c>
      <c r="D3" s="6" t="s">
        <v>20</v>
      </c>
      <c r="E3" s="6" t="s">
        <v>20</v>
      </c>
      <c r="F3" s="9" t="s">
        <v>20</v>
      </c>
      <c r="G3" s="10">
        <v>0.54</v>
      </c>
      <c r="H3" s="11" t="s">
        <v>20</v>
      </c>
      <c r="I3" s="15" t="s">
        <v>381</v>
      </c>
      <c r="J3" s="16" t="s">
        <v>434</v>
      </c>
      <c r="K3" s="17" t="s">
        <v>20</v>
      </c>
      <c r="L3" s="17" t="s">
        <v>20</v>
      </c>
      <c r="M3" s="18" t="s">
        <v>20</v>
      </c>
      <c r="N3" s="18" t="s">
        <v>20</v>
      </c>
    </row>
  </sheetData>
  <autoFilter xmlns:etc="http://www.wps.cn/officeDocument/2017/etCustomData" ref="A2:N3" etc:filterBottomFollowUsedRange="0">
    <extLst/>
  </autoFilter>
  <mergeCells count="1">
    <mergeCell ref="A1:H1"/>
  </mergeCells>
  <conditionalFormatting sqref="J2:J3">
    <cfRule type="containsText" dxfId="1" priority="1" operator="between" text="/">
      <formula>NOT(ISERROR(SEARCH("/",J2)))</formula>
    </cfRule>
  </conditionalFormatting>
  <conditionalFormatting sqref="L2:L3">
    <cfRule type="containsText" dxfId="0" priority="3" operator="between" text="待附件">
      <formula>NOT(ISERROR(SEARCH("待附件",L2)))</formula>
    </cfRule>
    <cfRule type="containsText" dxfId="0" priority="4" operator="between" text="待提单">
      <formula>NOT(ISERROR(SEARCH("待提单",L2)))</formula>
    </cfRule>
  </conditionalFormatting>
  <conditionalFormatting sqref="I2:K3">
    <cfRule type="containsText" dxfId="0" priority="2" operator="between" text="待">
      <formula>NOT(ISERROR(SEARCH("待",I2)))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CA1D-3817</vt:lpstr>
      <vt:lpstr>CA2D-6027</vt:lpstr>
      <vt:lpstr>CA3D-1680 </vt:lpstr>
      <vt:lpstr>CA4D-1699</vt:lpstr>
      <vt:lpstr>CA5D-6333</vt:lpstr>
      <vt:lpstr>CA6D-6317</vt:lpstr>
      <vt:lpstr>CA7D-CIBC 0401</vt:lpstr>
      <vt:lpstr>RBC 5401</vt:lpstr>
      <vt:lpstr>RBC 5419</vt:lpstr>
      <vt:lpstr>RBC0517-Hi Bowl</vt:lpstr>
      <vt:lpstr>RBC 0922（USD）</vt:lpstr>
      <vt:lpstr>RBC3088（USD）-Hi Bowl</vt:lpstr>
      <vt:lpstr>BMO美金-0798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苗达久</dc:creator>
  <cp:lastModifiedBy>qz154</cp:lastModifiedBy>
  <dcterms:created xsi:type="dcterms:W3CDTF">2023-02-01T02:43:00Z</dcterms:created>
  <dcterms:modified xsi:type="dcterms:W3CDTF">2025-08-27T16:53:57Z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1754470E160B496DA094664E316937FC_12</vt:lpwstr>
  </property>
  <property fmtid="{D5CDD505-2E9C-101B-9397-08002B2CF9AE}" pid="3" name="KSOProductBuildVer">
    <vt:lpwstr>1033-12.2.0.21931</vt:lpwstr>
  </property>
</Properties>
</file>